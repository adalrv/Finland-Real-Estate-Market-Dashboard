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en\OneDrive\Escritorio\"/>
    </mc:Choice>
  </mc:AlternateContent>
  <xr:revisionPtr revIDLastSave="0" documentId="13_ncr:1_{84143E14-8C5B-489A-8B48-5ACD93A238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Regions and Cities" sheetId="2" r:id="rId2"/>
  </sheets>
  <definedNames>
    <definedName name="_xlnm._FilterDatabase" localSheetId="0" hidden="1">Data!$A$1:$AN$703</definedName>
    <definedName name="_xlnm._FilterDatabase" localSheetId="1" hidden="1">'Regions and Cities'!$A$1:$B$1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702" i="1" l="1"/>
  <c r="AJ702" i="1"/>
  <c r="AK702" i="1"/>
  <c r="AL702" i="1"/>
  <c r="AM702" i="1"/>
  <c r="AN702" i="1"/>
  <c r="AI703" i="1"/>
  <c r="AJ703" i="1"/>
  <c r="AK703" i="1"/>
  <c r="AL703" i="1"/>
  <c r="AM703" i="1"/>
  <c r="AN703" i="1"/>
  <c r="AN503" i="1"/>
  <c r="AM503" i="1"/>
  <c r="AL503" i="1"/>
  <c r="AK503" i="1"/>
  <c r="AJ503" i="1"/>
  <c r="AI503" i="1"/>
  <c r="AN573" i="1"/>
  <c r="AM573" i="1"/>
  <c r="AL573" i="1"/>
  <c r="AK573" i="1"/>
  <c r="AJ573" i="1"/>
  <c r="AI573" i="1"/>
  <c r="AN362" i="1"/>
  <c r="AM362" i="1"/>
  <c r="AL362" i="1"/>
  <c r="AK362" i="1"/>
  <c r="AJ362" i="1"/>
  <c r="AI362" i="1"/>
  <c r="AN358" i="1"/>
  <c r="AM358" i="1"/>
  <c r="AL358" i="1"/>
  <c r="AK358" i="1"/>
  <c r="AJ358" i="1"/>
  <c r="AI358" i="1"/>
  <c r="AN320" i="1"/>
  <c r="AM320" i="1"/>
  <c r="AL320" i="1"/>
  <c r="AK320" i="1"/>
  <c r="AJ320" i="1"/>
  <c r="AI320" i="1"/>
  <c r="AN564" i="1"/>
  <c r="AM564" i="1"/>
  <c r="AL564" i="1"/>
  <c r="AK564" i="1"/>
  <c r="AJ564" i="1"/>
  <c r="AI564" i="1"/>
  <c r="AN282" i="1"/>
  <c r="AM282" i="1"/>
  <c r="AL282" i="1"/>
  <c r="AK282" i="1"/>
  <c r="AJ282" i="1"/>
  <c r="AI282" i="1"/>
  <c r="AN690" i="1"/>
  <c r="AM690" i="1"/>
  <c r="AL690" i="1"/>
  <c r="AK690" i="1"/>
  <c r="AJ690" i="1"/>
  <c r="AI690" i="1"/>
  <c r="AN412" i="1"/>
  <c r="AM412" i="1"/>
  <c r="AL412" i="1"/>
  <c r="AK412" i="1"/>
  <c r="AJ412" i="1"/>
  <c r="AI412" i="1"/>
  <c r="AN563" i="1"/>
  <c r="AM563" i="1"/>
  <c r="AL563" i="1"/>
  <c r="AK563" i="1"/>
  <c r="AJ563" i="1"/>
  <c r="AI563" i="1"/>
  <c r="AN516" i="1"/>
  <c r="AM516" i="1"/>
  <c r="AL516" i="1"/>
  <c r="AK516" i="1"/>
  <c r="AJ516" i="1"/>
  <c r="AI516" i="1"/>
  <c r="AN587" i="1"/>
  <c r="AM587" i="1"/>
  <c r="AL587" i="1"/>
  <c r="AK587" i="1"/>
  <c r="AJ587" i="1"/>
  <c r="AI587" i="1"/>
  <c r="AN629" i="1"/>
  <c r="AM629" i="1"/>
  <c r="AL629" i="1"/>
  <c r="AK629" i="1"/>
  <c r="AJ629" i="1"/>
  <c r="AI629" i="1"/>
  <c r="AN570" i="1"/>
  <c r="AM570" i="1"/>
  <c r="AL570" i="1"/>
  <c r="AK570" i="1"/>
  <c r="AJ570" i="1"/>
  <c r="AI570" i="1"/>
  <c r="AN233" i="1"/>
  <c r="AM233" i="1"/>
  <c r="AL233" i="1"/>
  <c r="AK233" i="1"/>
  <c r="AJ233" i="1"/>
  <c r="AI233" i="1"/>
  <c r="AN228" i="1"/>
  <c r="AM228" i="1"/>
  <c r="AL228" i="1"/>
  <c r="AK228" i="1"/>
  <c r="AJ228" i="1"/>
  <c r="AI228" i="1"/>
  <c r="AN479" i="1"/>
  <c r="AM479" i="1"/>
  <c r="AL479" i="1"/>
  <c r="AK479" i="1"/>
  <c r="AJ479" i="1"/>
  <c r="AI479" i="1"/>
  <c r="AN510" i="1"/>
  <c r="AM510" i="1"/>
  <c r="AL510" i="1"/>
  <c r="AK510" i="1"/>
  <c r="AJ510" i="1"/>
  <c r="AI510" i="1"/>
  <c r="AN24" i="1"/>
  <c r="AM24" i="1"/>
  <c r="AL24" i="1"/>
  <c r="AK24" i="1"/>
  <c r="AJ24" i="1"/>
  <c r="AI24" i="1"/>
  <c r="AN181" i="1"/>
  <c r="AM181" i="1"/>
  <c r="AL181" i="1"/>
  <c r="AK181" i="1"/>
  <c r="AJ181" i="1"/>
  <c r="AI181" i="1"/>
  <c r="AN180" i="1"/>
  <c r="AM180" i="1"/>
  <c r="AL180" i="1"/>
  <c r="AK180" i="1"/>
  <c r="AJ180" i="1"/>
  <c r="AI180" i="1"/>
  <c r="AN262" i="1"/>
  <c r="AM262" i="1"/>
  <c r="AL262" i="1"/>
  <c r="AK262" i="1"/>
  <c r="AJ262" i="1"/>
  <c r="AI262" i="1"/>
  <c r="AN179" i="1"/>
  <c r="AM179" i="1"/>
  <c r="AL179" i="1"/>
  <c r="AK179" i="1"/>
  <c r="AJ179" i="1"/>
  <c r="AI179" i="1"/>
  <c r="AN613" i="1"/>
  <c r="AM613" i="1"/>
  <c r="AL613" i="1"/>
  <c r="AK613" i="1"/>
  <c r="AJ613" i="1"/>
  <c r="AI613" i="1"/>
  <c r="AN177" i="1"/>
  <c r="AM177" i="1"/>
  <c r="AL177" i="1"/>
  <c r="AK177" i="1"/>
  <c r="AJ177" i="1"/>
  <c r="AI177" i="1"/>
  <c r="AN276" i="1"/>
  <c r="AM276" i="1"/>
  <c r="AL276" i="1"/>
  <c r="AK276" i="1"/>
  <c r="AJ276" i="1"/>
  <c r="AI276" i="1"/>
  <c r="AN557" i="1"/>
  <c r="AM557" i="1"/>
  <c r="AL557" i="1"/>
  <c r="AK557" i="1"/>
  <c r="AJ557" i="1"/>
  <c r="AI557" i="1"/>
  <c r="AN178" i="1"/>
  <c r="AM178" i="1"/>
  <c r="AL178" i="1"/>
  <c r="AK178" i="1"/>
  <c r="AJ178" i="1"/>
  <c r="AI178" i="1"/>
  <c r="AN154" i="1"/>
  <c r="AM154" i="1"/>
  <c r="AL154" i="1"/>
  <c r="AK154" i="1"/>
  <c r="AJ154" i="1"/>
  <c r="AI154" i="1"/>
  <c r="AN307" i="1"/>
  <c r="AM307" i="1"/>
  <c r="AL307" i="1"/>
  <c r="AK307" i="1"/>
  <c r="AJ307" i="1"/>
  <c r="AI307" i="1"/>
  <c r="AN418" i="1"/>
  <c r="AM418" i="1"/>
  <c r="AL418" i="1"/>
  <c r="AK418" i="1"/>
  <c r="AJ418" i="1"/>
  <c r="AI418" i="1"/>
  <c r="AN417" i="1"/>
  <c r="AM417" i="1"/>
  <c r="AL417" i="1"/>
  <c r="AK417" i="1"/>
  <c r="AJ417" i="1"/>
  <c r="AI417" i="1"/>
  <c r="AN420" i="1"/>
  <c r="AM420" i="1"/>
  <c r="AL420" i="1"/>
  <c r="AK420" i="1"/>
  <c r="AJ420" i="1"/>
  <c r="AI420" i="1"/>
  <c r="AN419" i="1"/>
  <c r="AM419" i="1"/>
  <c r="AL419" i="1"/>
  <c r="AK419" i="1"/>
  <c r="AJ419" i="1"/>
  <c r="AI419" i="1"/>
  <c r="AN116" i="1"/>
  <c r="AM116" i="1"/>
  <c r="AL116" i="1"/>
  <c r="AK116" i="1"/>
  <c r="AJ116" i="1"/>
  <c r="AI116" i="1"/>
  <c r="AN519" i="1"/>
  <c r="AM519" i="1"/>
  <c r="AL519" i="1"/>
  <c r="AK519" i="1"/>
  <c r="AJ519" i="1"/>
  <c r="AI519" i="1"/>
  <c r="AN620" i="1"/>
  <c r="AM620" i="1"/>
  <c r="AL620" i="1"/>
  <c r="AK620" i="1"/>
  <c r="AJ620" i="1"/>
  <c r="AI620" i="1"/>
  <c r="AN44" i="1"/>
  <c r="AM44" i="1"/>
  <c r="AL44" i="1"/>
  <c r="AK44" i="1"/>
  <c r="AJ44" i="1"/>
  <c r="AI44" i="1"/>
  <c r="AN49" i="1"/>
  <c r="AM49" i="1"/>
  <c r="AL49" i="1"/>
  <c r="AK49" i="1"/>
  <c r="AJ49" i="1"/>
  <c r="AI49" i="1"/>
  <c r="AN258" i="1"/>
  <c r="AM258" i="1"/>
  <c r="AL258" i="1"/>
  <c r="AK258" i="1"/>
  <c r="AJ258" i="1"/>
  <c r="AI258" i="1"/>
  <c r="AN631" i="1"/>
  <c r="AM631" i="1"/>
  <c r="AL631" i="1"/>
  <c r="AK631" i="1"/>
  <c r="AJ631" i="1"/>
  <c r="AI631" i="1"/>
  <c r="AN643" i="1"/>
  <c r="AM643" i="1"/>
  <c r="AL643" i="1"/>
  <c r="AK643" i="1"/>
  <c r="AJ643" i="1"/>
  <c r="AI643" i="1"/>
  <c r="AN686" i="1"/>
  <c r="AM686" i="1"/>
  <c r="AL686" i="1"/>
  <c r="AK686" i="1"/>
  <c r="AJ686" i="1"/>
  <c r="AI686" i="1"/>
  <c r="AN30" i="1"/>
  <c r="AM30" i="1"/>
  <c r="AL30" i="1"/>
  <c r="AK30" i="1"/>
  <c r="AJ30" i="1"/>
  <c r="AI30" i="1"/>
  <c r="AN413" i="1"/>
  <c r="AM413" i="1"/>
  <c r="AL413" i="1"/>
  <c r="AK413" i="1"/>
  <c r="AJ413" i="1"/>
  <c r="AI413" i="1"/>
  <c r="AN333" i="1"/>
  <c r="AM333" i="1"/>
  <c r="AL333" i="1"/>
  <c r="AK333" i="1"/>
  <c r="AJ333" i="1"/>
  <c r="AI333" i="1"/>
  <c r="AN209" i="1"/>
  <c r="AM209" i="1"/>
  <c r="AL209" i="1"/>
  <c r="AK209" i="1"/>
  <c r="AJ209" i="1"/>
  <c r="AI209" i="1"/>
  <c r="AN545" i="1"/>
  <c r="AM545" i="1"/>
  <c r="AL545" i="1"/>
  <c r="AK545" i="1"/>
  <c r="AJ545" i="1"/>
  <c r="AI545" i="1"/>
  <c r="AN652" i="1"/>
  <c r="AM652" i="1"/>
  <c r="AL652" i="1"/>
  <c r="AK652" i="1"/>
  <c r="AJ652" i="1"/>
  <c r="AI652" i="1"/>
  <c r="AN298" i="1"/>
  <c r="AM298" i="1"/>
  <c r="AL298" i="1"/>
  <c r="AK298" i="1"/>
  <c r="AJ298" i="1"/>
  <c r="AI298" i="1"/>
  <c r="AN304" i="1"/>
  <c r="AM304" i="1"/>
  <c r="AL304" i="1"/>
  <c r="AK304" i="1"/>
  <c r="AJ304" i="1"/>
  <c r="AI304" i="1"/>
  <c r="AN530" i="1"/>
  <c r="AM530" i="1"/>
  <c r="AL530" i="1"/>
  <c r="AK530" i="1"/>
  <c r="AJ530" i="1"/>
  <c r="AI530" i="1"/>
  <c r="AN465" i="1"/>
  <c r="AM465" i="1"/>
  <c r="AL465" i="1"/>
  <c r="AK465" i="1"/>
  <c r="AJ465" i="1"/>
  <c r="AI465" i="1"/>
  <c r="AN462" i="1"/>
  <c r="AM462" i="1"/>
  <c r="AL462" i="1"/>
  <c r="AK462" i="1"/>
  <c r="AJ462" i="1"/>
  <c r="AI462" i="1"/>
  <c r="AN182" i="1"/>
  <c r="AM182" i="1"/>
  <c r="AL182" i="1"/>
  <c r="AK182" i="1"/>
  <c r="AJ182" i="1"/>
  <c r="AI182" i="1"/>
  <c r="AN147" i="1"/>
  <c r="AM147" i="1"/>
  <c r="AL147" i="1"/>
  <c r="AK147" i="1"/>
  <c r="AJ147" i="1"/>
  <c r="AI147" i="1"/>
  <c r="AN143" i="1"/>
  <c r="AM143" i="1"/>
  <c r="AL143" i="1"/>
  <c r="AK143" i="1"/>
  <c r="AJ143" i="1"/>
  <c r="AI143" i="1"/>
  <c r="AN685" i="1"/>
  <c r="AM685" i="1"/>
  <c r="AL685" i="1"/>
  <c r="AK685" i="1"/>
  <c r="AJ685" i="1"/>
  <c r="AI685" i="1"/>
  <c r="AN467" i="1"/>
  <c r="AM467" i="1"/>
  <c r="AL467" i="1"/>
  <c r="AK467" i="1"/>
  <c r="AJ467" i="1"/>
  <c r="AI467" i="1"/>
  <c r="AN596" i="1"/>
  <c r="AM596" i="1"/>
  <c r="AL596" i="1"/>
  <c r="AK596" i="1"/>
  <c r="AJ596" i="1"/>
  <c r="AI596" i="1"/>
  <c r="AN167" i="1"/>
  <c r="AM167" i="1"/>
  <c r="AL167" i="1"/>
  <c r="AK167" i="1"/>
  <c r="AJ167" i="1"/>
  <c r="AI167" i="1"/>
  <c r="AN151" i="1"/>
  <c r="AM151" i="1"/>
  <c r="AL151" i="1"/>
  <c r="AK151" i="1"/>
  <c r="AJ151" i="1"/>
  <c r="AI151" i="1"/>
  <c r="AN389" i="1"/>
  <c r="AM389" i="1"/>
  <c r="AL389" i="1"/>
  <c r="AK389" i="1"/>
  <c r="AJ389" i="1"/>
  <c r="AI389" i="1"/>
  <c r="AN488" i="1"/>
  <c r="AM488" i="1"/>
  <c r="AL488" i="1"/>
  <c r="AK488" i="1"/>
  <c r="AJ488" i="1"/>
  <c r="AI488" i="1"/>
  <c r="AN40" i="1"/>
  <c r="AM40" i="1"/>
  <c r="AL40" i="1"/>
  <c r="AK40" i="1"/>
  <c r="AJ40" i="1"/>
  <c r="AI40" i="1"/>
  <c r="AN687" i="1"/>
  <c r="AM687" i="1"/>
  <c r="AL687" i="1"/>
  <c r="AK687" i="1"/>
  <c r="AJ687" i="1"/>
  <c r="AI687" i="1"/>
  <c r="AN348" i="1"/>
  <c r="AM348" i="1"/>
  <c r="AL348" i="1"/>
  <c r="AK348" i="1"/>
  <c r="AJ348" i="1"/>
  <c r="AI348" i="1"/>
  <c r="AN48" i="1"/>
  <c r="AM48" i="1"/>
  <c r="AL48" i="1"/>
  <c r="AK48" i="1"/>
  <c r="AJ48" i="1"/>
  <c r="AI48" i="1"/>
  <c r="AN91" i="1"/>
  <c r="AM91" i="1"/>
  <c r="AL91" i="1"/>
  <c r="AK91" i="1"/>
  <c r="AJ91" i="1"/>
  <c r="AI91" i="1"/>
  <c r="AN69" i="1"/>
  <c r="AM69" i="1"/>
  <c r="AL69" i="1"/>
  <c r="AK69" i="1"/>
  <c r="AJ69" i="1"/>
  <c r="AI69" i="1"/>
  <c r="AN58" i="1"/>
  <c r="AM58" i="1"/>
  <c r="AL58" i="1"/>
  <c r="AK58" i="1"/>
  <c r="AJ58" i="1"/>
  <c r="AI58" i="1"/>
  <c r="AN83" i="1"/>
  <c r="AM83" i="1"/>
  <c r="AL83" i="1"/>
  <c r="AK83" i="1"/>
  <c r="AJ83" i="1"/>
  <c r="AI83" i="1"/>
  <c r="AN80" i="1"/>
  <c r="AM80" i="1"/>
  <c r="AL80" i="1"/>
  <c r="AK80" i="1"/>
  <c r="AJ80" i="1"/>
  <c r="AI80" i="1"/>
  <c r="AN84" i="1"/>
  <c r="AM84" i="1"/>
  <c r="AL84" i="1"/>
  <c r="AK84" i="1"/>
  <c r="AJ84" i="1"/>
  <c r="AI84" i="1"/>
  <c r="AN85" i="1"/>
  <c r="AM85" i="1"/>
  <c r="AL85" i="1"/>
  <c r="AK85" i="1"/>
  <c r="AJ85" i="1"/>
  <c r="AI85" i="1"/>
  <c r="AN87" i="1"/>
  <c r="AM87" i="1"/>
  <c r="AL87" i="1"/>
  <c r="AK87" i="1"/>
  <c r="AJ87" i="1"/>
  <c r="AI87" i="1"/>
  <c r="AN86" i="1"/>
  <c r="AM86" i="1"/>
  <c r="AL86" i="1"/>
  <c r="AK86" i="1"/>
  <c r="AJ86" i="1"/>
  <c r="AI86" i="1"/>
  <c r="AN88" i="1"/>
  <c r="AM88" i="1"/>
  <c r="AL88" i="1"/>
  <c r="AK88" i="1"/>
  <c r="AJ88" i="1"/>
  <c r="AI88" i="1"/>
  <c r="AN59" i="1"/>
  <c r="AM59" i="1"/>
  <c r="AL59" i="1"/>
  <c r="AK59" i="1"/>
  <c r="AJ59" i="1"/>
  <c r="AI59" i="1"/>
  <c r="AN60" i="1"/>
  <c r="AM60" i="1"/>
  <c r="AL60" i="1"/>
  <c r="AK60" i="1"/>
  <c r="AJ60" i="1"/>
  <c r="AI60" i="1"/>
  <c r="AN61" i="1"/>
  <c r="AM61" i="1"/>
  <c r="AL61" i="1"/>
  <c r="AK61" i="1"/>
  <c r="AJ61" i="1"/>
  <c r="AI61" i="1"/>
  <c r="AN62" i="1"/>
  <c r="AM62" i="1"/>
  <c r="AL62" i="1"/>
  <c r="AK62" i="1"/>
  <c r="AJ62" i="1"/>
  <c r="AI62" i="1"/>
  <c r="AN63" i="1"/>
  <c r="AM63" i="1"/>
  <c r="AL63" i="1"/>
  <c r="AK63" i="1"/>
  <c r="AJ63" i="1"/>
  <c r="AI63" i="1"/>
  <c r="AN64" i="1"/>
  <c r="AM64" i="1"/>
  <c r="AL64" i="1"/>
  <c r="AK64" i="1"/>
  <c r="AJ64" i="1"/>
  <c r="AI64" i="1"/>
  <c r="AN66" i="1"/>
  <c r="AM66" i="1"/>
  <c r="AL66" i="1"/>
  <c r="AK66" i="1"/>
  <c r="AJ66" i="1"/>
  <c r="AI66" i="1"/>
  <c r="AN65" i="1"/>
  <c r="AM65" i="1"/>
  <c r="AL65" i="1"/>
  <c r="AK65" i="1"/>
  <c r="AJ65" i="1"/>
  <c r="AI65" i="1"/>
  <c r="AN67" i="1"/>
  <c r="AM67" i="1"/>
  <c r="AL67" i="1"/>
  <c r="AK67" i="1"/>
  <c r="AJ67" i="1"/>
  <c r="AI67" i="1"/>
  <c r="AN68" i="1"/>
  <c r="AM68" i="1"/>
  <c r="AL68" i="1"/>
  <c r="AK68" i="1"/>
  <c r="AJ68" i="1"/>
  <c r="AI68" i="1"/>
  <c r="AN70" i="1"/>
  <c r="AM70" i="1"/>
  <c r="AL70" i="1"/>
  <c r="AK70" i="1"/>
  <c r="AJ70" i="1"/>
  <c r="AI70" i="1"/>
  <c r="AN72" i="1"/>
  <c r="AM72" i="1"/>
  <c r="AL72" i="1"/>
  <c r="AK72" i="1"/>
  <c r="AJ72" i="1"/>
  <c r="AI72" i="1"/>
  <c r="AN74" i="1"/>
  <c r="AM74" i="1"/>
  <c r="AL74" i="1"/>
  <c r="AK74" i="1"/>
  <c r="AJ74" i="1"/>
  <c r="AI74" i="1"/>
  <c r="AN73" i="1"/>
  <c r="AM73" i="1"/>
  <c r="AL73" i="1"/>
  <c r="AK73" i="1"/>
  <c r="AJ73" i="1"/>
  <c r="AI73" i="1"/>
  <c r="AN77" i="1"/>
  <c r="AM77" i="1"/>
  <c r="AL77" i="1"/>
  <c r="AK77" i="1"/>
  <c r="AJ77" i="1"/>
  <c r="AI77" i="1"/>
  <c r="AN75" i="1"/>
  <c r="AM75" i="1"/>
  <c r="AL75" i="1"/>
  <c r="AK75" i="1"/>
  <c r="AJ75" i="1"/>
  <c r="AI75" i="1"/>
  <c r="AN76" i="1"/>
  <c r="AM76" i="1"/>
  <c r="AL76" i="1"/>
  <c r="AK76" i="1"/>
  <c r="AJ76" i="1"/>
  <c r="AI76" i="1"/>
  <c r="AN78" i="1"/>
  <c r="AM78" i="1"/>
  <c r="AL78" i="1"/>
  <c r="AK78" i="1"/>
  <c r="AJ78" i="1"/>
  <c r="AI78" i="1"/>
  <c r="AN79" i="1"/>
  <c r="AM79" i="1"/>
  <c r="AL79" i="1"/>
  <c r="AK79" i="1"/>
  <c r="AJ79" i="1"/>
  <c r="AI79" i="1"/>
  <c r="AN82" i="1"/>
  <c r="AM82" i="1"/>
  <c r="AL82" i="1"/>
  <c r="AK82" i="1"/>
  <c r="AJ82" i="1"/>
  <c r="AI82" i="1"/>
  <c r="AN81" i="1"/>
  <c r="AM81" i="1"/>
  <c r="AL81" i="1"/>
  <c r="AK81" i="1"/>
  <c r="AJ81" i="1"/>
  <c r="AI81" i="1"/>
  <c r="AN71" i="1"/>
  <c r="AM71" i="1"/>
  <c r="AL71" i="1"/>
  <c r="AK71" i="1"/>
  <c r="AJ71" i="1"/>
  <c r="AI71" i="1"/>
  <c r="AN115" i="1"/>
  <c r="AM115" i="1"/>
  <c r="AL115" i="1"/>
  <c r="AK115" i="1"/>
  <c r="AJ115" i="1"/>
  <c r="AI115" i="1"/>
  <c r="AN323" i="1"/>
  <c r="AM323" i="1"/>
  <c r="AL323" i="1"/>
  <c r="AK323" i="1"/>
  <c r="AJ323" i="1"/>
  <c r="AI323" i="1"/>
  <c r="AN98" i="1"/>
  <c r="AM98" i="1"/>
  <c r="AL98" i="1"/>
  <c r="AK98" i="1"/>
  <c r="AJ98" i="1"/>
  <c r="AI98" i="1"/>
  <c r="AN144" i="1"/>
  <c r="AM144" i="1"/>
  <c r="AL144" i="1"/>
  <c r="AK144" i="1"/>
  <c r="AJ144" i="1"/>
  <c r="AI144" i="1"/>
  <c r="AN567" i="1"/>
  <c r="AM567" i="1"/>
  <c r="AL567" i="1"/>
  <c r="AK567" i="1"/>
  <c r="AJ567" i="1"/>
  <c r="AI567" i="1"/>
  <c r="AN528" i="1"/>
  <c r="AM528" i="1"/>
  <c r="AL528" i="1"/>
  <c r="AK528" i="1"/>
  <c r="AJ528" i="1"/>
  <c r="AI528" i="1"/>
  <c r="AN38" i="1"/>
  <c r="AM38" i="1"/>
  <c r="AL38" i="1"/>
  <c r="AK38" i="1"/>
  <c r="AJ38" i="1"/>
  <c r="AI38" i="1"/>
  <c r="AN607" i="1"/>
  <c r="AM607" i="1"/>
  <c r="AL607" i="1"/>
  <c r="AK607" i="1"/>
  <c r="AJ607" i="1"/>
  <c r="AI607" i="1"/>
  <c r="AN468" i="1"/>
  <c r="AM468" i="1"/>
  <c r="AL468" i="1"/>
  <c r="AK468" i="1"/>
  <c r="AJ468" i="1"/>
  <c r="AI468" i="1"/>
  <c r="AN287" i="1"/>
  <c r="AM287" i="1"/>
  <c r="AL287" i="1"/>
  <c r="AK287" i="1"/>
  <c r="AJ287" i="1"/>
  <c r="AI287" i="1"/>
  <c r="AN299" i="1"/>
  <c r="AM299" i="1"/>
  <c r="AL299" i="1"/>
  <c r="AK299" i="1"/>
  <c r="AJ299" i="1"/>
  <c r="AI299" i="1"/>
  <c r="AN561" i="1"/>
  <c r="AM561" i="1"/>
  <c r="AL561" i="1"/>
  <c r="AK561" i="1"/>
  <c r="AJ561" i="1"/>
  <c r="AI561" i="1"/>
  <c r="AN610" i="1"/>
  <c r="AM610" i="1"/>
  <c r="AL610" i="1"/>
  <c r="AK610" i="1"/>
  <c r="AJ610" i="1"/>
  <c r="AI610" i="1"/>
  <c r="AN388" i="1"/>
  <c r="AM388" i="1"/>
  <c r="AL388" i="1"/>
  <c r="AK388" i="1"/>
  <c r="AJ388" i="1"/>
  <c r="AI388" i="1"/>
  <c r="AN243" i="1"/>
  <c r="AM243" i="1"/>
  <c r="AL243" i="1"/>
  <c r="AK243" i="1"/>
  <c r="AJ243" i="1"/>
  <c r="AI243" i="1"/>
  <c r="AN682" i="1"/>
  <c r="AM682" i="1"/>
  <c r="AL682" i="1"/>
  <c r="AK682" i="1"/>
  <c r="AJ682" i="1"/>
  <c r="AI682" i="1"/>
  <c r="AN314" i="1"/>
  <c r="AM314" i="1"/>
  <c r="AL314" i="1"/>
  <c r="AK314" i="1"/>
  <c r="AJ314" i="1"/>
  <c r="AI314" i="1"/>
  <c r="AN505" i="1"/>
  <c r="AM505" i="1"/>
  <c r="AL505" i="1"/>
  <c r="AK505" i="1"/>
  <c r="AJ505" i="1"/>
  <c r="AI505" i="1"/>
  <c r="AN441" i="1"/>
  <c r="AM441" i="1"/>
  <c r="AL441" i="1"/>
  <c r="AK441" i="1"/>
  <c r="AJ441" i="1"/>
  <c r="AI441" i="1"/>
  <c r="AN25" i="1"/>
  <c r="AM25" i="1"/>
  <c r="AL25" i="1"/>
  <c r="AK25" i="1"/>
  <c r="AJ25" i="1"/>
  <c r="AI25" i="1"/>
  <c r="AN7" i="1"/>
  <c r="AM7" i="1"/>
  <c r="AL7" i="1"/>
  <c r="AK7" i="1"/>
  <c r="AJ7" i="1"/>
  <c r="AI7" i="1"/>
  <c r="AN318" i="1"/>
  <c r="AM318" i="1"/>
  <c r="AL318" i="1"/>
  <c r="AK318" i="1"/>
  <c r="AJ318" i="1"/>
  <c r="AI318" i="1"/>
  <c r="AN111" i="1"/>
  <c r="AM111" i="1"/>
  <c r="AL111" i="1"/>
  <c r="AK111" i="1"/>
  <c r="AJ111" i="1"/>
  <c r="AI111" i="1"/>
  <c r="AN231" i="1"/>
  <c r="AM231" i="1"/>
  <c r="AL231" i="1"/>
  <c r="AK231" i="1"/>
  <c r="AJ231" i="1"/>
  <c r="AI231" i="1"/>
  <c r="AN337" i="1"/>
  <c r="AM337" i="1"/>
  <c r="AL337" i="1"/>
  <c r="AK337" i="1"/>
  <c r="AJ337" i="1"/>
  <c r="AI337" i="1"/>
  <c r="AN194" i="1"/>
  <c r="AM194" i="1"/>
  <c r="AL194" i="1"/>
  <c r="AK194" i="1"/>
  <c r="AJ194" i="1"/>
  <c r="AI194" i="1"/>
  <c r="AN378" i="1"/>
  <c r="AM378" i="1"/>
  <c r="AL378" i="1"/>
  <c r="AK378" i="1"/>
  <c r="AJ378" i="1"/>
  <c r="AI378" i="1"/>
  <c r="AN212" i="1"/>
  <c r="AM212" i="1"/>
  <c r="AL212" i="1"/>
  <c r="AK212" i="1"/>
  <c r="AJ212" i="1"/>
  <c r="AI212" i="1"/>
  <c r="AN195" i="1"/>
  <c r="AM195" i="1"/>
  <c r="AL195" i="1"/>
  <c r="AK195" i="1"/>
  <c r="AJ195" i="1"/>
  <c r="AI195" i="1"/>
  <c r="AN326" i="1"/>
  <c r="AM326" i="1"/>
  <c r="AL326" i="1"/>
  <c r="AK326" i="1"/>
  <c r="AJ326" i="1"/>
  <c r="AI326" i="1"/>
  <c r="AN543" i="1"/>
  <c r="AM543" i="1"/>
  <c r="AL543" i="1"/>
  <c r="AK543" i="1"/>
  <c r="AJ543" i="1"/>
  <c r="AI543" i="1"/>
  <c r="AN51" i="1"/>
  <c r="AM51" i="1"/>
  <c r="AL51" i="1"/>
  <c r="AK51" i="1"/>
  <c r="AJ51" i="1"/>
  <c r="AI51" i="1"/>
  <c r="AN433" i="1"/>
  <c r="AM433" i="1"/>
  <c r="AL433" i="1"/>
  <c r="AK433" i="1"/>
  <c r="AJ433" i="1"/>
  <c r="AI433" i="1"/>
  <c r="AN576" i="1"/>
  <c r="AM576" i="1"/>
  <c r="AL576" i="1"/>
  <c r="AK576" i="1"/>
  <c r="AJ576" i="1"/>
  <c r="AI576" i="1"/>
  <c r="AN141" i="1"/>
  <c r="AM141" i="1"/>
  <c r="AL141" i="1"/>
  <c r="AK141" i="1"/>
  <c r="AJ141" i="1"/>
  <c r="AI141" i="1"/>
  <c r="AN232" i="1"/>
  <c r="AM232" i="1"/>
  <c r="AL232" i="1"/>
  <c r="AK232" i="1"/>
  <c r="AJ232" i="1"/>
  <c r="AI232" i="1"/>
  <c r="AN150" i="1"/>
  <c r="AM150" i="1"/>
  <c r="AL150" i="1"/>
  <c r="AK150" i="1"/>
  <c r="AJ150" i="1"/>
  <c r="AI150" i="1"/>
  <c r="AN103" i="1"/>
  <c r="AM103" i="1"/>
  <c r="AL103" i="1"/>
  <c r="AK103" i="1"/>
  <c r="AJ103" i="1"/>
  <c r="AI103" i="1"/>
  <c r="AN104" i="1"/>
  <c r="AM104" i="1"/>
  <c r="AL104" i="1"/>
  <c r="AK104" i="1"/>
  <c r="AJ104" i="1"/>
  <c r="AI104" i="1"/>
  <c r="AN264" i="1"/>
  <c r="AM264" i="1"/>
  <c r="AL264" i="1"/>
  <c r="AK264" i="1"/>
  <c r="AJ264" i="1"/>
  <c r="AI264" i="1"/>
  <c r="AN562" i="1"/>
  <c r="AM562" i="1"/>
  <c r="AL562" i="1"/>
  <c r="AK562" i="1"/>
  <c r="AJ562" i="1"/>
  <c r="AI562" i="1"/>
  <c r="AN244" i="1"/>
  <c r="AM244" i="1"/>
  <c r="AL244" i="1"/>
  <c r="AK244" i="1"/>
  <c r="AJ244" i="1"/>
  <c r="AI244" i="1"/>
  <c r="AN145" i="1"/>
  <c r="AM145" i="1"/>
  <c r="AL145" i="1"/>
  <c r="AK145" i="1"/>
  <c r="AJ145" i="1"/>
  <c r="AI145" i="1"/>
  <c r="AN355" i="1"/>
  <c r="AM355" i="1"/>
  <c r="AL355" i="1"/>
  <c r="AK355" i="1"/>
  <c r="AJ355" i="1"/>
  <c r="AI355" i="1"/>
  <c r="AN295" i="1"/>
  <c r="AM295" i="1"/>
  <c r="AL295" i="1"/>
  <c r="AK295" i="1"/>
  <c r="AJ295" i="1"/>
  <c r="AI295" i="1"/>
  <c r="AN424" i="1"/>
  <c r="AM424" i="1"/>
  <c r="AL424" i="1"/>
  <c r="AK424" i="1"/>
  <c r="AJ424" i="1"/>
  <c r="AI424" i="1"/>
  <c r="AN395" i="1"/>
  <c r="AM395" i="1"/>
  <c r="AL395" i="1"/>
  <c r="AK395" i="1"/>
  <c r="AJ395" i="1"/>
  <c r="AI395" i="1"/>
  <c r="AN655" i="1"/>
  <c r="AM655" i="1"/>
  <c r="AL655" i="1"/>
  <c r="AK655" i="1"/>
  <c r="AJ655" i="1"/>
  <c r="AI655" i="1"/>
  <c r="AN392" i="1"/>
  <c r="AM392" i="1"/>
  <c r="AL392" i="1"/>
  <c r="AK392" i="1"/>
  <c r="AJ392" i="1"/>
  <c r="AI392" i="1"/>
  <c r="AN351" i="1"/>
  <c r="AM351" i="1"/>
  <c r="AL351" i="1"/>
  <c r="AK351" i="1"/>
  <c r="AJ351" i="1"/>
  <c r="AI351" i="1"/>
  <c r="AN366" i="1"/>
  <c r="AM366" i="1"/>
  <c r="AL366" i="1"/>
  <c r="AK366" i="1"/>
  <c r="AJ366" i="1"/>
  <c r="AI366" i="1"/>
  <c r="AN216" i="1"/>
  <c r="AM216" i="1"/>
  <c r="AL216" i="1"/>
  <c r="AK216" i="1"/>
  <c r="AJ216" i="1"/>
  <c r="AI216" i="1"/>
  <c r="AN460" i="1"/>
  <c r="AM460" i="1"/>
  <c r="AL460" i="1"/>
  <c r="AK460" i="1"/>
  <c r="AJ460" i="1"/>
  <c r="AI460" i="1"/>
  <c r="AN159" i="1"/>
  <c r="AM159" i="1"/>
  <c r="AL159" i="1"/>
  <c r="AK159" i="1"/>
  <c r="AJ159" i="1"/>
  <c r="AI159" i="1"/>
  <c r="AN368" i="1"/>
  <c r="AM368" i="1"/>
  <c r="AL368" i="1"/>
  <c r="AK368" i="1"/>
  <c r="AJ368" i="1"/>
  <c r="AI368" i="1"/>
  <c r="AN3" i="1"/>
  <c r="AM3" i="1"/>
  <c r="AL3" i="1"/>
  <c r="AK3" i="1"/>
  <c r="AJ3" i="1"/>
  <c r="AI3" i="1"/>
  <c r="AN675" i="1"/>
  <c r="AM675" i="1"/>
  <c r="AL675" i="1"/>
  <c r="AK675" i="1"/>
  <c r="AJ675" i="1"/>
  <c r="AI675" i="1"/>
  <c r="AN197" i="1"/>
  <c r="AM197" i="1"/>
  <c r="AL197" i="1"/>
  <c r="AK197" i="1"/>
  <c r="AJ197" i="1"/>
  <c r="AI197" i="1"/>
  <c r="AN486" i="1"/>
  <c r="AM486" i="1"/>
  <c r="AL486" i="1"/>
  <c r="AK486" i="1"/>
  <c r="AJ486" i="1"/>
  <c r="AI486" i="1"/>
  <c r="AN174" i="1"/>
  <c r="AM174" i="1"/>
  <c r="AL174" i="1"/>
  <c r="AK174" i="1"/>
  <c r="AJ174" i="1"/>
  <c r="AI174" i="1"/>
  <c r="AN46" i="1"/>
  <c r="AM46" i="1"/>
  <c r="AL46" i="1"/>
  <c r="AK46" i="1"/>
  <c r="AJ46" i="1"/>
  <c r="AI46" i="1"/>
  <c r="AN255" i="1"/>
  <c r="AM255" i="1"/>
  <c r="AL255" i="1"/>
  <c r="AK255" i="1"/>
  <c r="AJ255" i="1"/>
  <c r="AI255" i="1"/>
  <c r="AN292" i="1"/>
  <c r="AM292" i="1"/>
  <c r="AL292" i="1"/>
  <c r="AK292" i="1"/>
  <c r="AJ292" i="1"/>
  <c r="AI292" i="1"/>
  <c r="AN484" i="1"/>
  <c r="AM484" i="1"/>
  <c r="AL484" i="1"/>
  <c r="AK484" i="1"/>
  <c r="AJ484" i="1"/>
  <c r="AI484" i="1"/>
  <c r="AN520" i="1"/>
  <c r="AM520" i="1"/>
  <c r="AL520" i="1"/>
  <c r="AK520" i="1"/>
  <c r="AJ520" i="1"/>
  <c r="AI520" i="1"/>
  <c r="AN472" i="1"/>
  <c r="AM472" i="1"/>
  <c r="AL472" i="1"/>
  <c r="AK472" i="1"/>
  <c r="AJ472" i="1"/>
  <c r="AI472" i="1"/>
  <c r="AN636" i="1"/>
  <c r="AM636" i="1"/>
  <c r="AL636" i="1"/>
  <c r="AK636" i="1"/>
  <c r="AJ636" i="1"/>
  <c r="AI636" i="1"/>
  <c r="AN240" i="1"/>
  <c r="AM240" i="1"/>
  <c r="AL240" i="1"/>
  <c r="AK240" i="1"/>
  <c r="AJ240" i="1"/>
  <c r="AI240" i="1"/>
  <c r="AN265" i="1"/>
  <c r="AM265" i="1"/>
  <c r="AL265" i="1"/>
  <c r="AK265" i="1"/>
  <c r="AJ265" i="1"/>
  <c r="AI265" i="1"/>
  <c r="AN176" i="1"/>
  <c r="AM176" i="1"/>
  <c r="AL176" i="1"/>
  <c r="AK176" i="1"/>
  <c r="AJ176" i="1"/>
  <c r="AI176" i="1"/>
  <c r="AN267" i="1"/>
  <c r="AM267" i="1"/>
  <c r="AL267" i="1"/>
  <c r="AK267" i="1"/>
  <c r="AJ267" i="1"/>
  <c r="AI267" i="1"/>
  <c r="AN626" i="1"/>
  <c r="AM626" i="1"/>
  <c r="AL626" i="1"/>
  <c r="AK626" i="1"/>
  <c r="AJ626" i="1"/>
  <c r="AI626" i="1"/>
  <c r="AN331" i="1"/>
  <c r="AM331" i="1"/>
  <c r="AL331" i="1"/>
  <c r="AK331" i="1"/>
  <c r="AJ331" i="1"/>
  <c r="AI331" i="1"/>
  <c r="AN651" i="1"/>
  <c r="AM651" i="1"/>
  <c r="AL651" i="1"/>
  <c r="AK651" i="1"/>
  <c r="AJ651" i="1"/>
  <c r="AI651" i="1"/>
  <c r="AN560" i="1"/>
  <c r="AM560" i="1"/>
  <c r="AL560" i="1"/>
  <c r="AK560" i="1"/>
  <c r="AJ560" i="1"/>
  <c r="AI560" i="1"/>
  <c r="AN597" i="1"/>
  <c r="AM597" i="1"/>
  <c r="AL597" i="1"/>
  <c r="AK597" i="1"/>
  <c r="AJ597" i="1"/>
  <c r="AI597" i="1"/>
  <c r="AN422" i="1"/>
  <c r="AM422" i="1"/>
  <c r="AL422" i="1"/>
  <c r="AK422" i="1"/>
  <c r="AJ422" i="1"/>
  <c r="AI422" i="1"/>
  <c r="AN12" i="1"/>
  <c r="AM12" i="1"/>
  <c r="AL12" i="1"/>
  <c r="AK12" i="1"/>
  <c r="AJ12" i="1"/>
  <c r="AI12" i="1"/>
  <c r="AN604" i="1"/>
  <c r="AM604" i="1"/>
  <c r="AL604" i="1"/>
  <c r="AK604" i="1"/>
  <c r="AJ604" i="1"/>
  <c r="AI604" i="1"/>
  <c r="AN214" i="1"/>
  <c r="AM214" i="1"/>
  <c r="AL214" i="1"/>
  <c r="AK214" i="1"/>
  <c r="AJ214" i="1"/>
  <c r="AI214" i="1"/>
  <c r="AN327" i="1"/>
  <c r="AM327" i="1"/>
  <c r="AL327" i="1"/>
  <c r="AK327" i="1"/>
  <c r="AJ327" i="1"/>
  <c r="AI327" i="1"/>
  <c r="AN204" i="1"/>
  <c r="AM204" i="1"/>
  <c r="AL204" i="1"/>
  <c r="AK204" i="1"/>
  <c r="AJ204" i="1"/>
  <c r="AI204" i="1"/>
  <c r="AN189" i="1"/>
  <c r="AM189" i="1"/>
  <c r="AL189" i="1"/>
  <c r="AK189" i="1"/>
  <c r="AJ189" i="1"/>
  <c r="AI189" i="1"/>
  <c r="AN579" i="1"/>
  <c r="AM579" i="1"/>
  <c r="AL579" i="1"/>
  <c r="AK579" i="1"/>
  <c r="AJ579" i="1"/>
  <c r="AI579" i="1"/>
  <c r="AN589" i="1"/>
  <c r="AM589" i="1"/>
  <c r="AL589" i="1"/>
  <c r="AK589" i="1"/>
  <c r="AJ589" i="1"/>
  <c r="AI589" i="1"/>
  <c r="AN183" i="1"/>
  <c r="AM183" i="1"/>
  <c r="AL183" i="1"/>
  <c r="AK183" i="1"/>
  <c r="AJ183" i="1"/>
  <c r="AI183" i="1"/>
  <c r="AN612" i="1"/>
  <c r="AM612" i="1"/>
  <c r="AL612" i="1"/>
  <c r="AK612" i="1"/>
  <c r="AJ612" i="1"/>
  <c r="AI612" i="1"/>
  <c r="AN391" i="1"/>
  <c r="AM391" i="1"/>
  <c r="AL391" i="1"/>
  <c r="AK391" i="1"/>
  <c r="AJ391" i="1"/>
  <c r="AI391" i="1"/>
  <c r="AN41" i="1"/>
  <c r="AM41" i="1"/>
  <c r="AL41" i="1"/>
  <c r="AK41" i="1"/>
  <c r="AJ41" i="1"/>
  <c r="AI41" i="1"/>
  <c r="AN606" i="1"/>
  <c r="AM606" i="1"/>
  <c r="AL606" i="1"/>
  <c r="AK606" i="1"/>
  <c r="AJ606" i="1"/>
  <c r="AI606" i="1"/>
  <c r="AN21" i="1"/>
  <c r="AM21" i="1"/>
  <c r="AL21" i="1"/>
  <c r="AK21" i="1"/>
  <c r="AJ21" i="1"/>
  <c r="AI21" i="1"/>
  <c r="AN603" i="1"/>
  <c r="AM603" i="1"/>
  <c r="AL603" i="1"/>
  <c r="AK603" i="1"/>
  <c r="AJ603" i="1"/>
  <c r="AI603" i="1"/>
  <c r="AN349" i="1"/>
  <c r="AM349" i="1"/>
  <c r="AL349" i="1"/>
  <c r="AK349" i="1"/>
  <c r="AJ349" i="1"/>
  <c r="AI349" i="1"/>
  <c r="AN242" i="1"/>
  <c r="AM242" i="1"/>
  <c r="AL242" i="1"/>
  <c r="AK242" i="1"/>
  <c r="AJ242" i="1"/>
  <c r="AI242" i="1"/>
  <c r="AN56" i="1"/>
  <c r="AM56" i="1"/>
  <c r="AL56" i="1"/>
  <c r="AK56" i="1"/>
  <c r="AJ56" i="1"/>
  <c r="AI56" i="1"/>
  <c r="AN421" i="1"/>
  <c r="AM421" i="1"/>
  <c r="AL421" i="1"/>
  <c r="AK421" i="1"/>
  <c r="AJ421" i="1"/>
  <c r="AI421" i="1"/>
  <c r="AN679" i="1"/>
  <c r="AM679" i="1"/>
  <c r="AL679" i="1"/>
  <c r="AK679" i="1"/>
  <c r="AJ679" i="1"/>
  <c r="AI679" i="1"/>
  <c r="AN678" i="1"/>
  <c r="AM678" i="1"/>
  <c r="AL678" i="1"/>
  <c r="AK678" i="1"/>
  <c r="AJ678" i="1"/>
  <c r="AI678" i="1"/>
  <c r="AN399" i="1"/>
  <c r="AM399" i="1"/>
  <c r="AL399" i="1"/>
  <c r="AK399" i="1"/>
  <c r="AJ399" i="1"/>
  <c r="AI399" i="1"/>
  <c r="AN616" i="1"/>
  <c r="AM616" i="1"/>
  <c r="AL616" i="1"/>
  <c r="AK616" i="1"/>
  <c r="AJ616" i="1"/>
  <c r="AI616" i="1"/>
  <c r="AN296" i="1"/>
  <c r="AM296" i="1"/>
  <c r="AL296" i="1"/>
  <c r="AK296" i="1"/>
  <c r="AJ296" i="1"/>
  <c r="AI296" i="1"/>
  <c r="AN187" i="1"/>
  <c r="AM187" i="1"/>
  <c r="AL187" i="1"/>
  <c r="AK187" i="1"/>
  <c r="AJ187" i="1"/>
  <c r="AI187" i="1"/>
  <c r="AN329" i="1"/>
  <c r="AM329" i="1"/>
  <c r="AL329" i="1"/>
  <c r="AK329" i="1"/>
  <c r="AJ329" i="1"/>
  <c r="AI329" i="1"/>
  <c r="AN427" i="1"/>
  <c r="AM427" i="1"/>
  <c r="AL427" i="1"/>
  <c r="AK427" i="1"/>
  <c r="AJ427" i="1"/>
  <c r="AI427" i="1"/>
  <c r="AN23" i="1"/>
  <c r="AM23" i="1"/>
  <c r="AL23" i="1"/>
  <c r="AK23" i="1"/>
  <c r="AJ23" i="1"/>
  <c r="AI23" i="1"/>
  <c r="AN512" i="1"/>
  <c r="AM512" i="1"/>
  <c r="AL512" i="1"/>
  <c r="AK512" i="1"/>
  <c r="AJ512" i="1"/>
  <c r="AI512" i="1"/>
  <c r="AN518" i="1"/>
  <c r="AM518" i="1"/>
  <c r="AL518" i="1"/>
  <c r="AK518" i="1"/>
  <c r="AJ518" i="1"/>
  <c r="AI518" i="1"/>
  <c r="AN248" i="1"/>
  <c r="AM248" i="1"/>
  <c r="AL248" i="1"/>
  <c r="AK248" i="1"/>
  <c r="AJ248" i="1"/>
  <c r="AI248" i="1"/>
  <c r="AN105" i="1"/>
  <c r="AM105" i="1"/>
  <c r="AL105" i="1"/>
  <c r="AK105" i="1"/>
  <c r="AJ105" i="1"/>
  <c r="AI105" i="1"/>
  <c r="AN152" i="1"/>
  <c r="AM152" i="1"/>
  <c r="AL152" i="1"/>
  <c r="AK152" i="1"/>
  <c r="AJ152" i="1"/>
  <c r="AI152" i="1"/>
  <c r="AN385" i="1"/>
  <c r="AM385" i="1"/>
  <c r="AL385" i="1"/>
  <c r="AK385" i="1"/>
  <c r="AJ385" i="1"/>
  <c r="AI385" i="1"/>
  <c r="AN357" i="1"/>
  <c r="AM357" i="1"/>
  <c r="AL357" i="1"/>
  <c r="AK357" i="1"/>
  <c r="AJ357" i="1"/>
  <c r="AI357" i="1"/>
  <c r="AN191" i="1"/>
  <c r="AM191" i="1"/>
  <c r="AL191" i="1"/>
  <c r="AK191" i="1"/>
  <c r="AJ191" i="1"/>
  <c r="AI191" i="1"/>
  <c r="AN119" i="1"/>
  <c r="AM119" i="1"/>
  <c r="AL119" i="1"/>
  <c r="AK119" i="1"/>
  <c r="AJ119" i="1"/>
  <c r="AI119" i="1"/>
  <c r="AN251" i="1"/>
  <c r="AM251" i="1"/>
  <c r="AL251" i="1"/>
  <c r="AK251" i="1"/>
  <c r="AJ251" i="1"/>
  <c r="AI251" i="1"/>
  <c r="AN605" i="1"/>
  <c r="AM605" i="1"/>
  <c r="AL605" i="1"/>
  <c r="AK605" i="1"/>
  <c r="AJ605" i="1"/>
  <c r="AI605" i="1"/>
  <c r="AN206" i="1"/>
  <c r="AM206" i="1"/>
  <c r="AL206" i="1"/>
  <c r="AK206" i="1"/>
  <c r="AJ206" i="1"/>
  <c r="AI206" i="1"/>
  <c r="AN382" i="1"/>
  <c r="AM382" i="1"/>
  <c r="AL382" i="1"/>
  <c r="AK382" i="1"/>
  <c r="AJ382" i="1"/>
  <c r="AI382" i="1"/>
  <c r="AN448" i="1"/>
  <c r="AM448" i="1"/>
  <c r="AL448" i="1"/>
  <c r="AK448" i="1"/>
  <c r="AJ448" i="1"/>
  <c r="AI448" i="1"/>
  <c r="AN641" i="1"/>
  <c r="AM641" i="1"/>
  <c r="AL641" i="1"/>
  <c r="AK641" i="1"/>
  <c r="AJ641" i="1"/>
  <c r="AI641" i="1"/>
  <c r="AN372" i="1"/>
  <c r="AM372" i="1"/>
  <c r="AL372" i="1"/>
  <c r="AK372" i="1"/>
  <c r="AJ372" i="1"/>
  <c r="AI372" i="1"/>
  <c r="AN445" i="1"/>
  <c r="AM445" i="1"/>
  <c r="AL445" i="1"/>
  <c r="AK445" i="1"/>
  <c r="AJ445" i="1"/>
  <c r="AI445" i="1"/>
  <c r="AN531" i="1"/>
  <c r="AM531" i="1"/>
  <c r="AL531" i="1"/>
  <c r="AK531" i="1"/>
  <c r="AJ531" i="1"/>
  <c r="AI531" i="1"/>
  <c r="AN379" i="1"/>
  <c r="AM379" i="1"/>
  <c r="AL379" i="1"/>
  <c r="AK379" i="1"/>
  <c r="AJ379" i="1"/>
  <c r="AI379" i="1"/>
  <c r="AN440" i="1"/>
  <c r="AM440" i="1"/>
  <c r="AL440" i="1"/>
  <c r="AK440" i="1"/>
  <c r="AJ440" i="1"/>
  <c r="AI440" i="1"/>
  <c r="AN312" i="1"/>
  <c r="AM312" i="1"/>
  <c r="AL312" i="1"/>
  <c r="AK312" i="1"/>
  <c r="AJ312" i="1"/>
  <c r="AI312" i="1"/>
  <c r="AN571" i="1"/>
  <c r="AM571" i="1"/>
  <c r="AL571" i="1"/>
  <c r="AK571" i="1"/>
  <c r="AJ571" i="1"/>
  <c r="AI571" i="1"/>
  <c r="AN322" i="1"/>
  <c r="AM322" i="1"/>
  <c r="AL322" i="1"/>
  <c r="AK322" i="1"/>
  <c r="AJ322" i="1"/>
  <c r="AI322" i="1"/>
  <c r="AN294" i="1"/>
  <c r="AM294" i="1"/>
  <c r="AL294" i="1"/>
  <c r="AK294" i="1"/>
  <c r="AJ294" i="1"/>
  <c r="AI294" i="1"/>
  <c r="AN474" i="1"/>
  <c r="AM474" i="1"/>
  <c r="AL474" i="1"/>
  <c r="AK474" i="1"/>
  <c r="AJ474" i="1"/>
  <c r="AI474" i="1"/>
  <c r="AN548" i="1"/>
  <c r="AM548" i="1"/>
  <c r="AL548" i="1"/>
  <c r="AK548" i="1"/>
  <c r="AJ548" i="1"/>
  <c r="AI548" i="1"/>
  <c r="AN449" i="1"/>
  <c r="AM449" i="1"/>
  <c r="AL449" i="1"/>
  <c r="AK449" i="1"/>
  <c r="AJ449" i="1"/>
  <c r="AI449" i="1"/>
  <c r="AN591" i="1"/>
  <c r="AM591" i="1"/>
  <c r="AL591" i="1"/>
  <c r="AK591" i="1"/>
  <c r="AJ591" i="1"/>
  <c r="AI591" i="1"/>
  <c r="AN507" i="1"/>
  <c r="AM507" i="1"/>
  <c r="AL507" i="1"/>
  <c r="AK507" i="1"/>
  <c r="AJ507" i="1"/>
  <c r="AI507" i="1"/>
  <c r="AN344" i="1"/>
  <c r="AM344" i="1"/>
  <c r="AL344" i="1"/>
  <c r="AK344" i="1"/>
  <c r="AJ344" i="1"/>
  <c r="AI344" i="1"/>
  <c r="AN480" i="1"/>
  <c r="AM480" i="1"/>
  <c r="AL480" i="1"/>
  <c r="AK480" i="1"/>
  <c r="AJ480" i="1"/>
  <c r="AI480" i="1"/>
  <c r="AN11" i="1"/>
  <c r="AM11" i="1"/>
  <c r="AL11" i="1"/>
  <c r="AK11" i="1"/>
  <c r="AJ11" i="1"/>
  <c r="AI11" i="1"/>
  <c r="AN554" i="1"/>
  <c r="AM554" i="1"/>
  <c r="AL554" i="1"/>
  <c r="AK554" i="1"/>
  <c r="AJ554" i="1"/>
  <c r="AI554" i="1"/>
  <c r="AN13" i="1"/>
  <c r="AM13" i="1"/>
  <c r="AL13" i="1"/>
  <c r="AK13" i="1"/>
  <c r="AJ13" i="1"/>
  <c r="AI13" i="1"/>
  <c r="AN586" i="1"/>
  <c r="AM586" i="1"/>
  <c r="AL586" i="1"/>
  <c r="AK586" i="1"/>
  <c r="AJ586" i="1"/>
  <c r="AI586" i="1"/>
  <c r="AN57" i="1"/>
  <c r="AM57" i="1"/>
  <c r="AL57" i="1"/>
  <c r="AK57" i="1"/>
  <c r="AJ57" i="1"/>
  <c r="AI57" i="1"/>
  <c r="AN463" i="1"/>
  <c r="AM463" i="1"/>
  <c r="AL463" i="1"/>
  <c r="AK463" i="1"/>
  <c r="AJ463" i="1"/>
  <c r="AI463" i="1"/>
  <c r="AN383" i="1"/>
  <c r="AM383" i="1"/>
  <c r="AL383" i="1"/>
  <c r="AK383" i="1"/>
  <c r="AJ383" i="1"/>
  <c r="AI383" i="1"/>
  <c r="AN553" i="1"/>
  <c r="AM553" i="1"/>
  <c r="AL553" i="1"/>
  <c r="AK553" i="1"/>
  <c r="AJ553" i="1"/>
  <c r="AI553" i="1"/>
  <c r="AN650" i="1"/>
  <c r="AM650" i="1"/>
  <c r="AL650" i="1"/>
  <c r="AK650" i="1"/>
  <c r="AJ650" i="1"/>
  <c r="AI650" i="1"/>
  <c r="AN473" i="1"/>
  <c r="AM473" i="1"/>
  <c r="AL473" i="1"/>
  <c r="AK473" i="1"/>
  <c r="AJ473" i="1"/>
  <c r="AI473" i="1"/>
  <c r="AN550" i="1"/>
  <c r="AM550" i="1"/>
  <c r="AL550" i="1"/>
  <c r="AK550" i="1"/>
  <c r="AJ550" i="1"/>
  <c r="AI550" i="1"/>
  <c r="AN645" i="1"/>
  <c r="AM645" i="1"/>
  <c r="AL645" i="1"/>
  <c r="AK645" i="1"/>
  <c r="AJ645" i="1"/>
  <c r="AI645" i="1"/>
  <c r="AN203" i="1"/>
  <c r="AM203" i="1"/>
  <c r="AL203" i="1"/>
  <c r="AK203" i="1"/>
  <c r="AJ203" i="1"/>
  <c r="AI203" i="1"/>
  <c r="AN588" i="1"/>
  <c r="AM588" i="1"/>
  <c r="AL588" i="1"/>
  <c r="AK588" i="1"/>
  <c r="AJ588" i="1"/>
  <c r="AI588" i="1"/>
  <c r="AN210" i="1"/>
  <c r="AM210" i="1"/>
  <c r="AL210" i="1"/>
  <c r="AK210" i="1"/>
  <c r="AJ210" i="1"/>
  <c r="AI210" i="1"/>
  <c r="AN539" i="1"/>
  <c r="AM539" i="1"/>
  <c r="AL539" i="1"/>
  <c r="AK539" i="1"/>
  <c r="AJ539" i="1"/>
  <c r="AI539" i="1"/>
  <c r="AN158" i="1"/>
  <c r="AM158" i="1"/>
  <c r="AL158" i="1"/>
  <c r="AK158" i="1"/>
  <c r="AJ158" i="1"/>
  <c r="AI158" i="1"/>
  <c r="AN114" i="1"/>
  <c r="AM114" i="1"/>
  <c r="AL114" i="1"/>
  <c r="AK114" i="1"/>
  <c r="AJ114" i="1"/>
  <c r="AI114" i="1"/>
  <c r="AN482" i="1"/>
  <c r="AM482" i="1"/>
  <c r="AL482" i="1"/>
  <c r="AK482" i="1"/>
  <c r="AJ482" i="1"/>
  <c r="AI482" i="1"/>
  <c r="AN630" i="1"/>
  <c r="AM630" i="1"/>
  <c r="AL630" i="1"/>
  <c r="AK630" i="1"/>
  <c r="AJ630" i="1"/>
  <c r="AI630" i="1"/>
  <c r="AN387" i="1"/>
  <c r="AM387" i="1"/>
  <c r="AL387" i="1"/>
  <c r="AK387" i="1"/>
  <c r="AJ387" i="1"/>
  <c r="AI387" i="1"/>
  <c r="AN495" i="1"/>
  <c r="AM495" i="1"/>
  <c r="AL495" i="1"/>
  <c r="AK495" i="1"/>
  <c r="AJ495" i="1"/>
  <c r="AI495" i="1"/>
  <c r="AN481" i="1"/>
  <c r="AM481" i="1"/>
  <c r="AL481" i="1"/>
  <c r="AK481" i="1"/>
  <c r="AJ481" i="1"/>
  <c r="AI481" i="1"/>
  <c r="AN684" i="1"/>
  <c r="AM684" i="1"/>
  <c r="AL684" i="1"/>
  <c r="AK684" i="1"/>
  <c r="AJ684" i="1"/>
  <c r="AI684" i="1"/>
  <c r="AN523" i="1"/>
  <c r="AM523" i="1"/>
  <c r="AL523" i="1"/>
  <c r="AK523" i="1"/>
  <c r="AJ523" i="1"/>
  <c r="AI523" i="1"/>
  <c r="AN664" i="1"/>
  <c r="AM664" i="1"/>
  <c r="AL664" i="1"/>
  <c r="AK664" i="1"/>
  <c r="AJ664" i="1"/>
  <c r="AI664" i="1"/>
  <c r="AN397" i="1"/>
  <c r="AM397" i="1"/>
  <c r="AL397" i="1"/>
  <c r="AK397" i="1"/>
  <c r="AJ397" i="1"/>
  <c r="AI397" i="1"/>
  <c r="AN688" i="1"/>
  <c r="AM688" i="1"/>
  <c r="AL688" i="1"/>
  <c r="AK688" i="1"/>
  <c r="AJ688" i="1"/>
  <c r="AI688" i="1"/>
  <c r="AN15" i="1"/>
  <c r="AM15" i="1"/>
  <c r="AL15" i="1"/>
  <c r="AK15" i="1"/>
  <c r="AJ15" i="1"/>
  <c r="AI15" i="1"/>
  <c r="AN575" i="1"/>
  <c r="AM575" i="1"/>
  <c r="AL575" i="1"/>
  <c r="AK575" i="1"/>
  <c r="AJ575" i="1"/>
  <c r="AI575" i="1"/>
  <c r="AN500" i="1"/>
  <c r="AM500" i="1"/>
  <c r="AL500" i="1"/>
  <c r="AK500" i="1"/>
  <c r="AJ500" i="1"/>
  <c r="AI500" i="1"/>
  <c r="AN342" i="1"/>
  <c r="AM342" i="1"/>
  <c r="AL342" i="1"/>
  <c r="AK342" i="1"/>
  <c r="AJ342" i="1"/>
  <c r="AI342" i="1"/>
  <c r="AN118" i="1"/>
  <c r="AM118" i="1"/>
  <c r="AL118" i="1"/>
  <c r="AK118" i="1"/>
  <c r="AJ118" i="1"/>
  <c r="AI118" i="1"/>
  <c r="AN414" i="1"/>
  <c r="AM414" i="1"/>
  <c r="AL414" i="1"/>
  <c r="AK414" i="1"/>
  <c r="AJ414" i="1"/>
  <c r="AI414" i="1"/>
  <c r="AN455" i="1"/>
  <c r="AM455" i="1"/>
  <c r="AL455" i="1"/>
  <c r="AK455" i="1"/>
  <c r="AJ455" i="1"/>
  <c r="AI455" i="1"/>
  <c r="AN552" i="1"/>
  <c r="AM552" i="1"/>
  <c r="AL552" i="1"/>
  <c r="AK552" i="1"/>
  <c r="AJ552" i="1"/>
  <c r="AI552" i="1"/>
  <c r="AN527" i="1"/>
  <c r="AM527" i="1"/>
  <c r="AL527" i="1"/>
  <c r="AK527" i="1"/>
  <c r="AJ527" i="1"/>
  <c r="AI527" i="1"/>
  <c r="AN170" i="1"/>
  <c r="AM170" i="1"/>
  <c r="AL170" i="1"/>
  <c r="AK170" i="1"/>
  <c r="AJ170" i="1"/>
  <c r="AI170" i="1"/>
  <c r="AN112" i="1"/>
  <c r="AM112" i="1"/>
  <c r="AL112" i="1"/>
  <c r="AK112" i="1"/>
  <c r="AJ112" i="1"/>
  <c r="AI112" i="1"/>
  <c r="AN129" i="1"/>
  <c r="AM129" i="1"/>
  <c r="AL129" i="1"/>
  <c r="AK129" i="1"/>
  <c r="AJ129" i="1"/>
  <c r="AI129" i="1"/>
  <c r="AN405" i="1"/>
  <c r="AM405" i="1"/>
  <c r="AL405" i="1"/>
  <c r="AK405" i="1"/>
  <c r="AJ405" i="1"/>
  <c r="AI405" i="1"/>
  <c r="AN190" i="1"/>
  <c r="AM190" i="1"/>
  <c r="AL190" i="1"/>
  <c r="AK190" i="1"/>
  <c r="AJ190" i="1"/>
  <c r="AI190" i="1"/>
  <c r="AN692" i="1"/>
  <c r="AM692" i="1"/>
  <c r="AL692" i="1"/>
  <c r="AK692" i="1"/>
  <c r="AJ692" i="1"/>
  <c r="AI692" i="1"/>
  <c r="AN459" i="1"/>
  <c r="AM459" i="1"/>
  <c r="AL459" i="1"/>
  <c r="AK459" i="1"/>
  <c r="AJ459" i="1"/>
  <c r="AI459" i="1"/>
  <c r="AN343" i="1"/>
  <c r="AM343" i="1"/>
  <c r="AL343" i="1"/>
  <c r="AK343" i="1"/>
  <c r="AJ343" i="1"/>
  <c r="AI343" i="1"/>
  <c r="AN475" i="1"/>
  <c r="AM475" i="1"/>
  <c r="AL475" i="1"/>
  <c r="AK475" i="1"/>
  <c r="AJ475" i="1"/>
  <c r="AI475" i="1"/>
  <c r="AN416" i="1"/>
  <c r="AM416" i="1"/>
  <c r="AL416" i="1"/>
  <c r="AK416" i="1"/>
  <c r="AJ416" i="1"/>
  <c r="AI416" i="1"/>
  <c r="AN498" i="1"/>
  <c r="AM498" i="1"/>
  <c r="AL498" i="1"/>
  <c r="AK498" i="1"/>
  <c r="AJ498" i="1"/>
  <c r="AI498" i="1"/>
  <c r="AN278" i="1"/>
  <c r="AM278" i="1"/>
  <c r="AL278" i="1"/>
  <c r="AK278" i="1"/>
  <c r="AJ278" i="1"/>
  <c r="AI278" i="1"/>
  <c r="AN625" i="1"/>
  <c r="AM625" i="1"/>
  <c r="AL625" i="1"/>
  <c r="AK625" i="1"/>
  <c r="AJ625" i="1"/>
  <c r="AI625" i="1"/>
  <c r="AN624" i="1"/>
  <c r="AM624" i="1"/>
  <c r="AL624" i="1"/>
  <c r="AK624" i="1"/>
  <c r="AJ624" i="1"/>
  <c r="AI624" i="1"/>
  <c r="AN2" i="1"/>
  <c r="AM2" i="1"/>
  <c r="AL2" i="1"/>
  <c r="AK2" i="1"/>
  <c r="AJ2" i="1"/>
  <c r="AI2" i="1"/>
  <c r="AN34" i="1"/>
  <c r="AM34" i="1"/>
  <c r="AL34" i="1"/>
  <c r="AK34" i="1"/>
  <c r="AJ34" i="1"/>
  <c r="AI34" i="1"/>
  <c r="AN315" i="1"/>
  <c r="AM315" i="1"/>
  <c r="AL315" i="1"/>
  <c r="AK315" i="1"/>
  <c r="AJ315" i="1"/>
  <c r="AI315" i="1"/>
  <c r="AN396" i="1"/>
  <c r="AM396" i="1"/>
  <c r="AL396" i="1"/>
  <c r="AK396" i="1"/>
  <c r="AJ396" i="1"/>
  <c r="AI396" i="1"/>
  <c r="AN429" i="1"/>
  <c r="AM429" i="1"/>
  <c r="AL429" i="1"/>
  <c r="AK429" i="1"/>
  <c r="AJ429" i="1"/>
  <c r="AI429" i="1"/>
  <c r="AN529" i="1"/>
  <c r="AM529" i="1"/>
  <c r="AL529" i="1"/>
  <c r="AK529" i="1"/>
  <c r="AJ529" i="1"/>
  <c r="AI529" i="1"/>
  <c r="AN499" i="1"/>
  <c r="AM499" i="1"/>
  <c r="AL499" i="1"/>
  <c r="AK499" i="1"/>
  <c r="AJ499" i="1"/>
  <c r="AI499" i="1"/>
  <c r="AN489" i="1"/>
  <c r="AM489" i="1"/>
  <c r="AL489" i="1"/>
  <c r="AK489" i="1"/>
  <c r="AJ489" i="1"/>
  <c r="AI489" i="1"/>
  <c r="AN568" i="1"/>
  <c r="AM568" i="1"/>
  <c r="AL568" i="1"/>
  <c r="AK568" i="1"/>
  <c r="AJ568" i="1"/>
  <c r="AI568" i="1"/>
  <c r="AN347" i="1"/>
  <c r="AM347" i="1"/>
  <c r="AL347" i="1"/>
  <c r="AK347" i="1"/>
  <c r="AJ347" i="1"/>
  <c r="AI347" i="1"/>
  <c r="AN313" i="1"/>
  <c r="AM313" i="1"/>
  <c r="AL313" i="1"/>
  <c r="AK313" i="1"/>
  <c r="AJ313" i="1"/>
  <c r="AI313" i="1"/>
  <c r="AN95" i="1"/>
  <c r="AM95" i="1"/>
  <c r="AL95" i="1"/>
  <c r="AK95" i="1"/>
  <c r="AJ95" i="1"/>
  <c r="AI95" i="1"/>
  <c r="AN442" i="1"/>
  <c r="AM442" i="1"/>
  <c r="AL442" i="1"/>
  <c r="AK442" i="1"/>
  <c r="AJ442" i="1"/>
  <c r="AI442" i="1"/>
  <c r="AN283" i="1"/>
  <c r="AM283" i="1"/>
  <c r="AL283" i="1"/>
  <c r="AK283" i="1"/>
  <c r="AJ283" i="1"/>
  <c r="AI283" i="1"/>
  <c r="AN163" i="1"/>
  <c r="AM163" i="1"/>
  <c r="AL163" i="1"/>
  <c r="AK163" i="1"/>
  <c r="AJ163" i="1"/>
  <c r="AI163" i="1"/>
  <c r="AN371" i="1"/>
  <c r="AM371" i="1"/>
  <c r="AL371" i="1"/>
  <c r="AK371" i="1"/>
  <c r="AJ371" i="1"/>
  <c r="AI371" i="1"/>
  <c r="AN124" i="1"/>
  <c r="AM124" i="1"/>
  <c r="AL124" i="1"/>
  <c r="AK124" i="1"/>
  <c r="AJ124" i="1"/>
  <c r="AI124" i="1"/>
  <c r="AN293" i="1"/>
  <c r="AM293" i="1"/>
  <c r="AL293" i="1"/>
  <c r="AK293" i="1"/>
  <c r="AJ293" i="1"/>
  <c r="AI293" i="1"/>
  <c r="AN273" i="1"/>
  <c r="AM273" i="1"/>
  <c r="AL273" i="1"/>
  <c r="AK273" i="1"/>
  <c r="AJ273" i="1"/>
  <c r="AI273" i="1"/>
  <c r="AN308" i="1"/>
  <c r="AM308" i="1"/>
  <c r="AL308" i="1"/>
  <c r="AK308" i="1"/>
  <c r="AJ308" i="1"/>
  <c r="AI308" i="1"/>
  <c r="AN640" i="1"/>
  <c r="AM640" i="1"/>
  <c r="AL640" i="1"/>
  <c r="AK640" i="1"/>
  <c r="AJ640" i="1"/>
  <c r="AI640" i="1"/>
  <c r="AN572" i="1"/>
  <c r="AM572" i="1"/>
  <c r="AL572" i="1"/>
  <c r="AK572" i="1"/>
  <c r="AJ572" i="1"/>
  <c r="AI572" i="1"/>
  <c r="AN386" i="1"/>
  <c r="AM386" i="1"/>
  <c r="AL386" i="1"/>
  <c r="AK386" i="1"/>
  <c r="AJ386" i="1"/>
  <c r="AI386" i="1"/>
  <c r="AN109" i="1"/>
  <c r="AM109" i="1"/>
  <c r="AL109" i="1"/>
  <c r="AK109" i="1"/>
  <c r="AJ109" i="1"/>
  <c r="AI109" i="1"/>
  <c r="AN426" i="1"/>
  <c r="AM426" i="1"/>
  <c r="AL426" i="1"/>
  <c r="AK426" i="1"/>
  <c r="AJ426" i="1"/>
  <c r="AI426" i="1"/>
  <c r="AN28" i="1"/>
  <c r="AM28" i="1"/>
  <c r="AL28" i="1"/>
  <c r="AK28" i="1"/>
  <c r="AJ28" i="1"/>
  <c r="AI28" i="1"/>
  <c r="AN52" i="1"/>
  <c r="AM52" i="1"/>
  <c r="AL52" i="1"/>
  <c r="AK52" i="1"/>
  <c r="AJ52" i="1"/>
  <c r="AI52" i="1"/>
  <c r="AN157" i="1"/>
  <c r="AM157" i="1"/>
  <c r="AL157" i="1"/>
  <c r="AK157" i="1"/>
  <c r="AJ157" i="1"/>
  <c r="AI157" i="1"/>
  <c r="AN410" i="1"/>
  <c r="AM410" i="1"/>
  <c r="AL410" i="1"/>
  <c r="AK410" i="1"/>
  <c r="AJ410" i="1"/>
  <c r="AI410" i="1"/>
  <c r="AN456" i="1"/>
  <c r="AM456" i="1"/>
  <c r="AL456" i="1"/>
  <c r="AK456" i="1"/>
  <c r="AJ456" i="1"/>
  <c r="AI456" i="1"/>
  <c r="AN92" i="1"/>
  <c r="AM92" i="1"/>
  <c r="AL92" i="1"/>
  <c r="AK92" i="1"/>
  <c r="AJ92" i="1"/>
  <c r="AI92" i="1"/>
  <c r="AN544" i="1"/>
  <c r="AM544" i="1"/>
  <c r="AL544" i="1"/>
  <c r="AK544" i="1"/>
  <c r="AJ544" i="1"/>
  <c r="AI544" i="1"/>
  <c r="AN434" i="1"/>
  <c r="AM434" i="1"/>
  <c r="AL434" i="1"/>
  <c r="AK434" i="1"/>
  <c r="AJ434" i="1"/>
  <c r="AI434" i="1"/>
  <c r="AN602" i="1"/>
  <c r="AM602" i="1"/>
  <c r="AL602" i="1"/>
  <c r="AK602" i="1"/>
  <c r="AJ602" i="1"/>
  <c r="AI602" i="1"/>
  <c r="AN600" i="1"/>
  <c r="AM600" i="1"/>
  <c r="AL600" i="1"/>
  <c r="AK600" i="1"/>
  <c r="AJ600" i="1"/>
  <c r="AI600" i="1"/>
  <c r="AN471" i="1"/>
  <c r="AM471" i="1"/>
  <c r="AL471" i="1"/>
  <c r="AK471" i="1"/>
  <c r="AJ471" i="1"/>
  <c r="AI471" i="1"/>
  <c r="AN614" i="1"/>
  <c r="AM614" i="1"/>
  <c r="AL614" i="1"/>
  <c r="AK614" i="1"/>
  <c r="AJ614" i="1"/>
  <c r="AI614" i="1"/>
  <c r="AN578" i="1"/>
  <c r="AM578" i="1"/>
  <c r="AL578" i="1"/>
  <c r="AK578" i="1"/>
  <c r="AJ578" i="1"/>
  <c r="AI578" i="1"/>
  <c r="AN20" i="1"/>
  <c r="AM20" i="1"/>
  <c r="AL20" i="1"/>
  <c r="AK20" i="1"/>
  <c r="AJ20" i="1"/>
  <c r="AI20" i="1"/>
  <c r="AN270" i="1"/>
  <c r="AM270" i="1"/>
  <c r="AL270" i="1"/>
  <c r="AK270" i="1"/>
  <c r="AJ270" i="1"/>
  <c r="AI270" i="1"/>
  <c r="AN128" i="1"/>
  <c r="AM128" i="1"/>
  <c r="AL128" i="1"/>
  <c r="AK128" i="1"/>
  <c r="AJ128" i="1"/>
  <c r="AI128" i="1"/>
  <c r="AN364" i="1"/>
  <c r="AM364" i="1"/>
  <c r="AL364" i="1"/>
  <c r="AK364" i="1"/>
  <c r="AJ364" i="1"/>
  <c r="AI364" i="1"/>
  <c r="AN615" i="1"/>
  <c r="AM615" i="1"/>
  <c r="AL615" i="1"/>
  <c r="AK615" i="1"/>
  <c r="AJ615" i="1"/>
  <c r="AI615" i="1"/>
  <c r="AN132" i="1"/>
  <c r="AM132" i="1"/>
  <c r="AL132" i="1"/>
  <c r="AK132" i="1"/>
  <c r="AJ132" i="1"/>
  <c r="AI132" i="1"/>
  <c r="AN350" i="1"/>
  <c r="AM350" i="1"/>
  <c r="AL350" i="1"/>
  <c r="AK350" i="1"/>
  <c r="AJ350" i="1"/>
  <c r="AI350" i="1"/>
  <c r="AN37" i="1"/>
  <c r="AM37" i="1"/>
  <c r="AL37" i="1"/>
  <c r="AK37" i="1"/>
  <c r="AJ37" i="1"/>
  <c r="AI37" i="1"/>
  <c r="AN642" i="1"/>
  <c r="AM642" i="1"/>
  <c r="AL642" i="1"/>
  <c r="AK642" i="1"/>
  <c r="AJ642" i="1"/>
  <c r="AI642" i="1"/>
  <c r="AN490" i="1"/>
  <c r="AM490" i="1"/>
  <c r="AL490" i="1"/>
  <c r="AK490" i="1"/>
  <c r="AJ490" i="1"/>
  <c r="AI490" i="1"/>
  <c r="AN341" i="1"/>
  <c r="AM341" i="1"/>
  <c r="AL341" i="1"/>
  <c r="AK341" i="1"/>
  <c r="AJ341" i="1"/>
  <c r="AI341" i="1"/>
  <c r="AN598" i="1"/>
  <c r="AM598" i="1"/>
  <c r="AL598" i="1"/>
  <c r="AK598" i="1"/>
  <c r="AJ598" i="1"/>
  <c r="AI598" i="1"/>
  <c r="AN26" i="1"/>
  <c r="AM26" i="1"/>
  <c r="AL26" i="1"/>
  <c r="AK26" i="1"/>
  <c r="AJ26" i="1"/>
  <c r="AI26" i="1"/>
  <c r="AN156" i="1"/>
  <c r="AM156" i="1"/>
  <c r="AL156" i="1"/>
  <c r="AK156" i="1"/>
  <c r="AJ156" i="1"/>
  <c r="AI156" i="1"/>
  <c r="AN306" i="1"/>
  <c r="AM306" i="1"/>
  <c r="AL306" i="1"/>
  <c r="AK306" i="1"/>
  <c r="AJ306" i="1"/>
  <c r="AI306" i="1"/>
  <c r="AN406" i="1"/>
  <c r="AM406" i="1"/>
  <c r="AL406" i="1"/>
  <c r="AK406" i="1"/>
  <c r="AJ406" i="1"/>
  <c r="AI406" i="1"/>
  <c r="AN99" i="1"/>
  <c r="AM99" i="1"/>
  <c r="AL99" i="1"/>
  <c r="AK99" i="1"/>
  <c r="AJ99" i="1"/>
  <c r="AI99" i="1"/>
  <c r="AN502" i="1"/>
  <c r="AM502" i="1"/>
  <c r="AL502" i="1"/>
  <c r="AK502" i="1"/>
  <c r="AJ502" i="1"/>
  <c r="AI502" i="1"/>
  <c r="AN325" i="1"/>
  <c r="AM325" i="1"/>
  <c r="AL325" i="1"/>
  <c r="AK325" i="1"/>
  <c r="AJ325" i="1"/>
  <c r="AI325" i="1"/>
  <c r="AN577" i="1"/>
  <c r="AM577" i="1"/>
  <c r="AL577" i="1"/>
  <c r="AK577" i="1"/>
  <c r="AJ577" i="1"/>
  <c r="AI577" i="1"/>
  <c r="AN186" i="1"/>
  <c r="AM186" i="1"/>
  <c r="AL186" i="1"/>
  <c r="AK186" i="1"/>
  <c r="AJ186" i="1"/>
  <c r="AI186" i="1"/>
  <c r="AN493" i="1"/>
  <c r="AM493" i="1"/>
  <c r="AL493" i="1"/>
  <c r="AK493" i="1"/>
  <c r="AJ493" i="1"/>
  <c r="AI493" i="1"/>
  <c r="AN437" i="1"/>
  <c r="AM437" i="1"/>
  <c r="AL437" i="1"/>
  <c r="AK437" i="1"/>
  <c r="AJ437" i="1"/>
  <c r="AI437" i="1"/>
  <c r="AN277" i="1"/>
  <c r="AM277" i="1"/>
  <c r="AL277" i="1"/>
  <c r="AK277" i="1"/>
  <c r="AJ277" i="1"/>
  <c r="AI277" i="1"/>
  <c r="AN676" i="1"/>
  <c r="AM676" i="1"/>
  <c r="AL676" i="1"/>
  <c r="AK676" i="1"/>
  <c r="AJ676" i="1"/>
  <c r="AI676" i="1"/>
  <c r="AN127" i="1"/>
  <c r="AM127" i="1"/>
  <c r="AL127" i="1"/>
  <c r="AK127" i="1"/>
  <c r="AJ127" i="1"/>
  <c r="AI127" i="1"/>
  <c r="AN566" i="1"/>
  <c r="AM566" i="1"/>
  <c r="AL566" i="1"/>
  <c r="AK566" i="1"/>
  <c r="AJ566" i="1"/>
  <c r="AI566" i="1"/>
  <c r="AN50" i="1"/>
  <c r="AM50" i="1"/>
  <c r="AL50" i="1"/>
  <c r="AK50" i="1"/>
  <c r="AJ50" i="1"/>
  <c r="AI50" i="1"/>
  <c r="AN22" i="1"/>
  <c r="AM22" i="1"/>
  <c r="AL22" i="1"/>
  <c r="AK22" i="1"/>
  <c r="AJ22" i="1"/>
  <c r="AI22" i="1"/>
  <c r="AN601" i="1"/>
  <c r="AM601" i="1"/>
  <c r="AL601" i="1"/>
  <c r="AK601" i="1"/>
  <c r="AJ601" i="1"/>
  <c r="AI601" i="1"/>
  <c r="AN526" i="1"/>
  <c r="AM526" i="1"/>
  <c r="AL526" i="1"/>
  <c r="AK526" i="1"/>
  <c r="AJ526" i="1"/>
  <c r="AI526" i="1"/>
  <c r="AN674" i="1"/>
  <c r="AM674" i="1"/>
  <c r="AL674" i="1"/>
  <c r="AK674" i="1"/>
  <c r="AJ674" i="1"/>
  <c r="AI674" i="1"/>
  <c r="AN148" i="1"/>
  <c r="AM148" i="1"/>
  <c r="AL148" i="1"/>
  <c r="AK148" i="1"/>
  <c r="AJ148" i="1"/>
  <c r="AI148" i="1"/>
  <c r="AN638" i="1"/>
  <c r="AM638" i="1"/>
  <c r="AL638" i="1"/>
  <c r="AK638" i="1"/>
  <c r="AJ638" i="1"/>
  <c r="AI638" i="1"/>
  <c r="AN257" i="1"/>
  <c r="AM257" i="1"/>
  <c r="AL257" i="1"/>
  <c r="AK257" i="1"/>
  <c r="AJ257" i="1"/>
  <c r="AI257" i="1"/>
  <c r="AN234" i="1"/>
  <c r="AM234" i="1"/>
  <c r="AL234" i="1"/>
  <c r="AK234" i="1"/>
  <c r="AJ234" i="1"/>
  <c r="AI234" i="1"/>
  <c r="AN162" i="1"/>
  <c r="AM162" i="1"/>
  <c r="AL162" i="1"/>
  <c r="AK162" i="1"/>
  <c r="AJ162" i="1"/>
  <c r="AI162" i="1"/>
  <c r="AN496" i="1"/>
  <c r="AM496" i="1"/>
  <c r="AL496" i="1"/>
  <c r="AK496" i="1"/>
  <c r="AJ496" i="1"/>
  <c r="AI496" i="1"/>
  <c r="AN217" i="1"/>
  <c r="AM217" i="1"/>
  <c r="AL217" i="1"/>
  <c r="AK217" i="1"/>
  <c r="AJ217" i="1"/>
  <c r="AI217" i="1"/>
  <c r="AN138" i="1"/>
  <c r="AM138" i="1"/>
  <c r="AL138" i="1"/>
  <c r="AK138" i="1"/>
  <c r="AJ138" i="1"/>
  <c r="AI138" i="1"/>
  <c r="AN301" i="1"/>
  <c r="AM301" i="1"/>
  <c r="AL301" i="1"/>
  <c r="AK301" i="1"/>
  <c r="AJ301" i="1"/>
  <c r="AI301" i="1"/>
  <c r="AN309" i="1"/>
  <c r="AM309" i="1"/>
  <c r="AL309" i="1"/>
  <c r="AK309" i="1"/>
  <c r="AJ309" i="1"/>
  <c r="AI309" i="1"/>
  <c r="AN271" i="1"/>
  <c r="AM271" i="1"/>
  <c r="AL271" i="1"/>
  <c r="AK271" i="1"/>
  <c r="AJ271" i="1"/>
  <c r="AI271" i="1"/>
  <c r="AN16" i="1"/>
  <c r="AM16" i="1"/>
  <c r="AL16" i="1"/>
  <c r="AK16" i="1"/>
  <c r="AJ16" i="1"/>
  <c r="AI16" i="1"/>
  <c r="AN634" i="1"/>
  <c r="AM634" i="1"/>
  <c r="AL634" i="1"/>
  <c r="AK634" i="1"/>
  <c r="AJ634" i="1"/>
  <c r="AI634" i="1"/>
  <c r="AN274" i="1"/>
  <c r="AM274" i="1"/>
  <c r="AL274" i="1"/>
  <c r="AK274" i="1"/>
  <c r="AJ274" i="1"/>
  <c r="AI274" i="1"/>
  <c r="AN254" i="1"/>
  <c r="AM254" i="1"/>
  <c r="AL254" i="1"/>
  <c r="AK254" i="1"/>
  <c r="AJ254" i="1"/>
  <c r="AI254" i="1"/>
  <c r="AN653" i="1"/>
  <c r="AM653" i="1"/>
  <c r="AL653" i="1"/>
  <c r="AK653" i="1"/>
  <c r="AJ653" i="1"/>
  <c r="AI653" i="1"/>
  <c r="AN45" i="1"/>
  <c r="AM45" i="1"/>
  <c r="AL45" i="1"/>
  <c r="AK45" i="1"/>
  <c r="AJ45" i="1"/>
  <c r="AI45" i="1"/>
  <c r="AN411" i="1"/>
  <c r="AM411" i="1"/>
  <c r="AL411" i="1"/>
  <c r="AK411" i="1"/>
  <c r="AJ411" i="1"/>
  <c r="AI411" i="1"/>
  <c r="AN668" i="1"/>
  <c r="AM668" i="1"/>
  <c r="AL668" i="1"/>
  <c r="AK668" i="1"/>
  <c r="AJ668" i="1"/>
  <c r="AI668" i="1"/>
  <c r="AN670" i="1"/>
  <c r="AM670" i="1"/>
  <c r="AL670" i="1"/>
  <c r="AK670" i="1"/>
  <c r="AJ670" i="1"/>
  <c r="AI670" i="1"/>
  <c r="AN286" i="1"/>
  <c r="AM286" i="1"/>
  <c r="AL286" i="1"/>
  <c r="AK286" i="1"/>
  <c r="AJ286" i="1"/>
  <c r="AI286" i="1"/>
  <c r="AN431" i="1"/>
  <c r="AM431" i="1"/>
  <c r="AL431" i="1"/>
  <c r="AK431" i="1"/>
  <c r="AJ431" i="1"/>
  <c r="AI431" i="1"/>
  <c r="AN246" i="1"/>
  <c r="AM246" i="1"/>
  <c r="AL246" i="1"/>
  <c r="AK246" i="1"/>
  <c r="AJ246" i="1"/>
  <c r="AI246" i="1"/>
  <c r="AN164" i="1"/>
  <c r="AM164" i="1"/>
  <c r="AL164" i="1"/>
  <c r="AK164" i="1"/>
  <c r="AJ164" i="1"/>
  <c r="AI164" i="1"/>
  <c r="AN403" i="1"/>
  <c r="AM403" i="1"/>
  <c r="AL403" i="1"/>
  <c r="AK403" i="1"/>
  <c r="AJ403" i="1"/>
  <c r="AI403" i="1"/>
  <c r="AN425" i="1"/>
  <c r="AM425" i="1"/>
  <c r="AL425" i="1"/>
  <c r="AK425" i="1"/>
  <c r="AJ425" i="1"/>
  <c r="AI425" i="1"/>
  <c r="AN514" i="1"/>
  <c r="AM514" i="1"/>
  <c r="AL514" i="1"/>
  <c r="AK514" i="1"/>
  <c r="AJ514" i="1"/>
  <c r="AI514" i="1"/>
  <c r="AN227" i="1"/>
  <c r="AM227" i="1"/>
  <c r="AL227" i="1"/>
  <c r="AK227" i="1"/>
  <c r="AJ227" i="1"/>
  <c r="AI227" i="1"/>
  <c r="AN439" i="1"/>
  <c r="AM439" i="1"/>
  <c r="AL439" i="1"/>
  <c r="AK439" i="1"/>
  <c r="AJ439" i="1"/>
  <c r="AI439" i="1"/>
  <c r="AN669" i="1"/>
  <c r="AM669" i="1"/>
  <c r="AL669" i="1"/>
  <c r="AK669" i="1"/>
  <c r="AJ669" i="1"/>
  <c r="AI669" i="1"/>
  <c r="AN671" i="1"/>
  <c r="AM671" i="1"/>
  <c r="AL671" i="1"/>
  <c r="AK671" i="1"/>
  <c r="AJ671" i="1"/>
  <c r="AI671" i="1"/>
  <c r="AN672" i="1"/>
  <c r="AM672" i="1"/>
  <c r="AL672" i="1"/>
  <c r="AK672" i="1"/>
  <c r="AJ672" i="1"/>
  <c r="AI672" i="1"/>
  <c r="AN667" i="1"/>
  <c r="AM667" i="1"/>
  <c r="AL667" i="1"/>
  <c r="AK667" i="1"/>
  <c r="AJ667" i="1"/>
  <c r="AI667" i="1"/>
  <c r="AN238" i="1"/>
  <c r="AM238" i="1"/>
  <c r="AL238" i="1"/>
  <c r="AK238" i="1"/>
  <c r="AJ238" i="1"/>
  <c r="AI238" i="1"/>
  <c r="AN236" i="1"/>
  <c r="AM236" i="1"/>
  <c r="AL236" i="1"/>
  <c r="AK236" i="1"/>
  <c r="AJ236" i="1"/>
  <c r="AI236" i="1"/>
  <c r="AN235" i="1"/>
  <c r="AM235" i="1"/>
  <c r="AL235" i="1"/>
  <c r="AK235" i="1"/>
  <c r="AJ235" i="1"/>
  <c r="AI235" i="1"/>
  <c r="AN237" i="1"/>
  <c r="AM237" i="1"/>
  <c r="AL237" i="1"/>
  <c r="AK237" i="1"/>
  <c r="AJ237" i="1"/>
  <c r="AI237" i="1"/>
  <c r="AN599" i="1"/>
  <c r="AM599" i="1"/>
  <c r="AL599" i="1"/>
  <c r="AK599" i="1"/>
  <c r="AJ599" i="1"/>
  <c r="AI599" i="1"/>
  <c r="AN239" i="1"/>
  <c r="AM239" i="1"/>
  <c r="AL239" i="1"/>
  <c r="AK239" i="1"/>
  <c r="AJ239" i="1"/>
  <c r="AI239" i="1"/>
  <c r="AN436" i="1"/>
  <c r="AM436" i="1"/>
  <c r="AL436" i="1"/>
  <c r="AK436" i="1"/>
  <c r="AJ436" i="1"/>
  <c r="AI436" i="1"/>
  <c r="AN173" i="1"/>
  <c r="AM173" i="1"/>
  <c r="AL173" i="1"/>
  <c r="AK173" i="1"/>
  <c r="AJ173" i="1"/>
  <c r="AI173" i="1"/>
  <c r="AN381" i="1"/>
  <c r="AM381" i="1"/>
  <c r="AL381" i="1"/>
  <c r="AK381" i="1"/>
  <c r="AJ381" i="1"/>
  <c r="AI381" i="1"/>
  <c r="AN256" i="1"/>
  <c r="AM256" i="1"/>
  <c r="AL256" i="1"/>
  <c r="AK256" i="1"/>
  <c r="AJ256" i="1"/>
  <c r="AI256" i="1"/>
  <c r="AN200" i="1"/>
  <c r="AM200" i="1"/>
  <c r="AL200" i="1"/>
  <c r="AK200" i="1"/>
  <c r="AJ200" i="1"/>
  <c r="AI200" i="1"/>
  <c r="AN165" i="1"/>
  <c r="AM165" i="1"/>
  <c r="AL165" i="1"/>
  <c r="AK165" i="1"/>
  <c r="AJ165" i="1"/>
  <c r="AI165" i="1"/>
  <c r="AN666" i="1"/>
  <c r="AM666" i="1"/>
  <c r="AL666" i="1"/>
  <c r="AK666" i="1"/>
  <c r="AJ666" i="1"/>
  <c r="AI666" i="1"/>
  <c r="AN452" i="1"/>
  <c r="AM452" i="1"/>
  <c r="AL452" i="1"/>
  <c r="AK452" i="1"/>
  <c r="AJ452" i="1"/>
  <c r="AI452" i="1"/>
  <c r="AN444" i="1"/>
  <c r="AM444" i="1"/>
  <c r="AL444" i="1"/>
  <c r="AK444" i="1"/>
  <c r="AJ444" i="1"/>
  <c r="AI444" i="1"/>
  <c r="AN161" i="1"/>
  <c r="AM161" i="1"/>
  <c r="AL161" i="1"/>
  <c r="AK161" i="1"/>
  <c r="AJ161" i="1"/>
  <c r="AI161" i="1"/>
  <c r="AN375" i="1"/>
  <c r="AM375" i="1"/>
  <c r="AL375" i="1"/>
  <c r="AK375" i="1"/>
  <c r="AJ375" i="1"/>
  <c r="AI375" i="1"/>
  <c r="AN205" i="1"/>
  <c r="AM205" i="1"/>
  <c r="AL205" i="1"/>
  <c r="AK205" i="1"/>
  <c r="AJ205" i="1"/>
  <c r="AI205" i="1"/>
  <c r="AN647" i="1"/>
  <c r="AM647" i="1"/>
  <c r="AL647" i="1"/>
  <c r="AK647" i="1"/>
  <c r="AJ647" i="1"/>
  <c r="AI647" i="1"/>
  <c r="AN618" i="1"/>
  <c r="AM618" i="1"/>
  <c r="AL618" i="1"/>
  <c r="AK618" i="1"/>
  <c r="AJ618" i="1"/>
  <c r="AI618" i="1"/>
  <c r="AN483" i="1"/>
  <c r="AM483" i="1"/>
  <c r="AL483" i="1"/>
  <c r="AK483" i="1"/>
  <c r="AJ483" i="1"/>
  <c r="AI483" i="1"/>
  <c r="AN617" i="1"/>
  <c r="AM617" i="1"/>
  <c r="AL617" i="1"/>
  <c r="AK617" i="1"/>
  <c r="AJ617" i="1"/>
  <c r="AI617" i="1"/>
  <c r="AN32" i="1"/>
  <c r="AM32" i="1"/>
  <c r="AL32" i="1"/>
  <c r="AK32" i="1"/>
  <c r="AJ32" i="1"/>
  <c r="AI32" i="1"/>
  <c r="AN288" i="1"/>
  <c r="AM288" i="1"/>
  <c r="AL288" i="1"/>
  <c r="AK288" i="1"/>
  <c r="AJ288" i="1"/>
  <c r="AI288" i="1"/>
  <c r="AN90" i="1"/>
  <c r="AM90" i="1"/>
  <c r="AL90" i="1"/>
  <c r="AK90" i="1"/>
  <c r="AJ90" i="1"/>
  <c r="AI90" i="1"/>
  <c r="AN681" i="1"/>
  <c r="AM681" i="1"/>
  <c r="AL681" i="1"/>
  <c r="AK681" i="1"/>
  <c r="AJ681" i="1"/>
  <c r="AI681" i="1"/>
  <c r="AN466" i="1"/>
  <c r="AM466" i="1"/>
  <c r="AL466" i="1"/>
  <c r="AK466" i="1"/>
  <c r="AJ466" i="1"/>
  <c r="AI466" i="1"/>
  <c r="AN443" i="1"/>
  <c r="AM443" i="1"/>
  <c r="AL443" i="1"/>
  <c r="AK443" i="1"/>
  <c r="AJ443" i="1"/>
  <c r="AI443" i="1"/>
  <c r="AN551" i="1"/>
  <c r="AM551" i="1"/>
  <c r="AL551" i="1"/>
  <c r="AK551" i="1"/>
  <c r="AJ551" i="1"/>
  <c r="AI551" i="1"/>
  <c r="AN574" i="1"/>
  <c r="AM574" i="1"/>
  <c r="AL574" i="1"/>
  <c r="AK574" i="1"/>
  <c r="AJ574" i="1"/>
  <c r="AI574" i="1"/>
  <c r="AN305" i="1"/>
  <c r="AM305" i="1"/>
  <c r="AL305" i="1"/>
  <c r="AK305" i="1"/>
  <c r="AJ305" i="1"/>
  <c r="AI305" i="1"/>
  <c r="AN380" i="1"/>
  <c r="AM380" i="1"/>
  <c r="AL380" i="1"/>
  <c r="AK380" i="1"/>
  <c r="AJ380" i="1"/>
  <c r="AI380" i="1"/>
  <c r="AN665" i="1"/>
  <c r="AM665" i="1"/>
  <c r="AL665" i="1"/>
  <c r="AK665" i="1"/>
  <c r="AJ665" i="1"/>
  <c r="AI665" i="1"/>
  <c r="AN269" i="1"/>
  <c r="AM269" i="1"/>
  <c r="AL269" i="1"/>
  <c r="AK269" i="1"/>
  <c r="AJ269" i="1"/>
  <c r="AI269" i="1"/>
  <c r="AN211" i="1"/>
  <c r="AM211" i="1"/>
  <c r="AL211" i="1"/>
  <c r="AK211" i="1"/>
  <c r="AJ211" i="1"/>
  <c r="AI211" i="1"/>
  <c r="AN363" i="1"/>
  <c r="AM363" i="1"/>
  <c r="AL363" i="1"/>
  <c r="AK363" i="1"/>
  <c r="AJ363" i="1"/>
  <c r="AI363" i="1"/>
  <c r="AN504" i="1"/>
  <c r="AM504" i="1"/>
  <c r="AL504" i="1"/>
  <c r="AK504" i="1"/>
  <c r="AJ504" i="1"/>
  <c r="AI504" i="1"/>
  <c r="AN275" i="1"/>
  <c r="AM275" i="1"/>
  <c r="AL275" i="1"/>
  <c r="AK275" i="1"/>
  <c r="AJ275" i="1"/>
  <c r="AI275" i="1"/>
  <c r="AN511" i="1"/>
  <c r="AM511" i="1"/>
  <c r="AL511" i="1"/>
  <c r="AK511" i="1"/>
  <c r="AJ511" i="1"/>
  <c r="AI511" i="1"/>
  <c r="AN450" i="1"/>
  <c r="AM450" i="1"/>
  <c r="AL450" i="1"/>
  <c r="AK450" i="1"/>
  <c r="AJ450" i="1"/>
  <c r="AI450" i="1"/>
  <c r="AN673" i="1"/>
  <c r="AM673" i="1"/>
  <c r="AL673" i="1"/>
  <c r="AK673" i="1"/>
  <c r="AJ673" i="1"/>
  <c r="AI673" i="1"/>
  <c r="AN423" i="1"/>
  <c r="AM423" i="1"/>
  <c r="AL423" i="1"/>
  <c r="AK423" i="1"/>
  <c r="AJ423" i="1"/>
  <c r="AI423" i="1"/>
  <c r="AN470" i="1"/>
  <c r="AM470" i="1"/>
  <c r="AL470" i="1"/>
  <c r="AK470" i="1"/>
  <c r="AJ470" i="1"/>
  <c r="AI470" i="1"/>
  <c r="AN359" i="1"/>
  <c r="AM359" i="1"/>
  <c r="AL359" i="1"/>
  <c r="AK359" i="1"/>
  <c r="AJ359" i="1"/>
  <c r="AI359" i="1"/>
  <c r="AN55" i="1"/>
  <c r="AM55" i="1"/>
  <c r="AL55" i="1"/>
  <c r="AK55" i="1"/>
  <c r="AJ55" i="1"/>
  <c r="AI55" i="1"/>
  <c r="AN432" i="1"/>
  <c r="AM432" i="1"/>
  <c r="AL432" i="1"/>
  <c r="AK432" i="1"/>
  <c r="AJ432" i="1"/>
  <c r="AI432" i="1"/>
  <c r="AN247" i="1"/>
  <c r="AM247" i="1"/>
  <c r="AL247" i="1"/>
  <c r="AK247" i="1"/>
  <c r="AJ247" i="1"/>
  <c r="AI247" i="1"/>
  <c r="AN137" i="1"/>
  <c r="AM137" i="1"/>
  <c r="AL137" i="1"/>
  <c r="AK137" i="1"/>
  <c r="AJ137" i="1"/>
  <c r="AI137" i="1"/>
  <c r="AN139" i="1"/>
  <c r="AM139" i="1"/>
  <c r="AL139" i="1"/>
  <c r="AK139" i="1"/>
  <c r="AJ139" i="1"/>
  <c r="AI139" i="1"/>
  <c r="AN106" i="1"/>
  <c r="AM106" i="1"/>
  <c r="AL106" i="1"/>
  <c r="AK106" i="1"/>
  <c r="AJ106" i="1"/>
  <c r="AI106" i="1"/>
  <c r="AN509" i="1"/>
  <c r="AM509" i="1"/>
  <c r="AL509" i="1"/>
  <c r="AK509" i="1"/>
  <c r="AJ509" i="1"/>
  <c r="AI509" i="1"/>
  <c r="AN361" i="1"/>
  <c r="AM361" i="1"/>
  <c r="AL361" i="1"/>
  <c r="AK361" i="1"/>
  <c r="AJ361" i="1"/>
  <c r="AI361" i="1"/>
  <c r="AN353" i="1"/>
  <c r="AM353" i="1"/>
  <c r="AL353" i="1"/>
  <c r="AK353" i="1"/>
  <c r="AJ353" i="1"/>
  <c r="AI353" i="1"/>
  <c r="AN155" i="1"/>
  <c r="AM155" i="1"/>
  <c r="AL155" i="1"/>
  <c r="AK155" i="1"/>
  <c r="AJ155" i="1"/>
  <c r="AI155" i="1"/>
  <c r="AN451" i="1"/>
  <c r="AM451" i="1"/>
  <c r="AL451" i="1"/>
  <c r="AK451" i="1"/>
  <c r="AJ451" i="1"/>
  <c r="AI451" i="1"/>
  <c r="AN583" i="1"/>
  <c r="AM583" i="1"/>
  <c r="AL583" i="1"/>
  <c r="AK583" i="1"/>
  <c r="AJ583" i="1"/>
  <c r="AI583" i="1"/>
  <c r="AN215" i="1"/>
  <c r="AM215" i="1"/>
  <c r="AL215" i="1"/>
  <c r="AK215" i="1"/>
  <c r="AJ215" i="1"/>
  <c r="AI215" i="1"/>
  <c r="AN131" i="1"/>
  <c r="AM131" i="1"/>
  <c r="AL131" i="1"/>
  <c r="AK131" i="1"/>
  <c r="AJ131" i="1"/>
  <c r="AI131" i="1"/>
  <c r="AN525" i="1"/>
  <c r="AM525" i="1"/>
  <c r="AL525" i="1"/>
  <c r="AK525" i="1"/>
  <c r="AJ525" i="1"/>
  <c r="AI525" i="1"/>
  <c r="AN226" i="1"/>
  <c r="AM226" i="1"/>
  <c r="AL226" i="1"/>
  <c r="AK226" i="1"/>
  <c r="AJ226" i="1"/>
  <c r="AI226" i="1"/>
  <c r="AN540" i="1"/>
  <c r="AM540" i="1"/>
  <c r="AL540" i="1"/>
  <c r="AK540" i="1"/>
  <c r="AJ540" i="1"/>
  <c r="AI540" i="1"/>
  <c r="AN695" i="1"/>
  <c r="AM695" i="1"/>
  <c r="AL695" i="1"/>
  <c r="AK695" i="1"/>
  <c r="AJ695" i="1"/>
  <c r="AI695" i="1"/>
  <c r="AN697" i="1"/>
  <c r="AM697" i="1"/>
  <c r="AL697" i="1"/>
  <c r="AK697" i="1"/>
  <c r="AJ697" i="1"/>
  <c r="AI697" i="1"/>
  <c r="AN694" i="1"/>
  <c r="AM694" i="1"/>
  <c r="AL694" i="1"/>
  <c r="AK694" i="1"/>
  <c r="AJ694" i="1"/>
  <c r="AI694" i="1"/>
  <c r="AN698" i="1"/>
  <c r="AM698" i="1"/>
  <c r="AL698" i="1"/>
  <c r="AK698" i="1"/>
  <c r="AJ698" i="1"/>
  <c r="AI698" i="1"/>
  <c r="AN699" i="1"/>
  <c r="AM699" i="1"/>
  <c r="AL699" i="1"/>
  <c r="AK699" i="1"/>
  <c r="AJ699" i="1"/>
  <c r="AI699" i="1"/>
  <c r="AN696" i="1"/>
  <c r="AM696" i="1"/>
  <c r="AL696" i="1"/>
  <c r="AK696" i="1"/>
  <c r="AJ696" i="1"/>
  <c r="AI696" i="1"/>
  <c r="AN693" i="1"/>
  <c r="AM693" i="1"/>
  <c r="AL693" i="1"/>
  <c r="AK693" i="1"/>
  <c r="AJ693" i="1"/>
  <c r="AI693" i="1"/>
  <c r="AN701" i="1"/>
  <c r="AM701" i="1"/>
  <c r="AL701" i="1"/>
  <c r="AK701" i="1"/>
  <c r="AJ701" i="1"/>
  <c r="AI701" i="1"/>
  <c r="AN700" i="1"/>
  <c r="AM700" i="1"/>
  <c r="AL700" i="1"/>
  <c r="AK700" i="1"/>
  <c r="AJ700" i="1"/>
  <c r="AI700" i="1"/>
  <c r="AN373" i="1"/>
  <c r="AM373" i="1"/>
  <c r="AL373" i="1"/>
  <c r="AK373" i="1"/>
  <c r="AJ373" i="1"/>
  <c r="AI373" i="1"/>
  <c r="AN384" i="1"/>
  <c r="AM384" i="1"/>
  <c r="AL384" i="1"/>
  <c r="AK384" i="1"/>
  <c r="AJ384" i="1"/>
  <c r="AI384" i="1"/>
  <c r="AN252" i="1"/>
  <c r="AM252" i="1"/>
  <c r="AL252" i="1"/>
  <c r="AK252" i="1"/>
  <c r="AJ252" i="1"/>
  <c r="AI252" i="1"/>
  <c r="AN108" i="1"/>
  <c r="AM108" i="1"/>
  <c r="AL108" i="1"/>
  <c r="AK108" i="1"/>
  <c r="AJ108" i="1"/>
  <c r="AI108" i="1"/>
  <c r="AN680" i="1"/>
  <c r="AM680" i="1"/>
  <c r="AL680" i="1"/>
  <c r="AK680" i="1"/>
  <c r="AJ680" i="1"/>
  <c r="AI680" i="1"/>
  <c r="AN17" i="1"/>
  <c r="AM17" i="1"/>
  <c r="AL17" i="1"/>
  <c r="AK17" i="1"/>
  <c r="AJ17" i="1"/>
  <c r="AI17" i="1"/>
  <c r="AN377" i="1"/>
  <c r="AM377" i="1"/>
  <c r="AL377" i="1"/>
  <c r="AK377" i="1"/>
  <c r="AJ377" i="1"/>
  <c r="AI377" i="1"/>
  <c r="AN53" i="1"/>
  <c r="AM53" i="1"/>
  <c r="AL53" i="1"/>
  <c r="AK53" i="1"/>
  <c r="AJ53" i="1"/>
  <c r="AI53" i="1"/>
  <c r="AN541" i="1"/>
  <c r="AM541" i="1"/>
  <c r="AL541" i="1"/>
  <c r="AK541" i="1"/>
  <c r="AJ541" i="1"/>
  <c r="AI541" i="1"/>
  <c r="AN43" i="1"/>
  <c r="AM43" i="1"/>
  <c r="AL43" i="1"/>
  <c r="AK43" i="1"/>
  <c r="AJ43" i="1"/>
  <c r="AI43" i="1"/>
  <c r="AN290" i="1"/>
  <c r="AM290" i="1"/>
  <c r="AL290" i="1"/>
  <c r="AK290" i="1"/>
  <c r="AJ290" i="1"/>
  <c r="AI290" i="1"/>
  <c r="AN280" i="1"/>
  <c r="AM280" i="1"/>
  <c r="AL280" i="1"/>
  <c r="AK280" i="1"/>
  <c r="AJ280" i="1"/>
  <c r="AI280" i="1"/>
  <c r="AN101" i="1"/>
  <c r="AM101" i="1"/>
  <c r="AL101" i="1"/>
  <c r="AK101" i="1"/>
  <c r="AJ101" i="1"/>
  <c r="AI101" i="1"/>
  <c r="AN485" i="1"/>
  <c r="AM485" i="1"/>
  <c r="AL485" i="1"/>
  <c r="AK485" i="1"/>
  <c r="AJ485" i="1"/>
  <c r="AI485" i="1"/>
  <c r="AN487" i="1"/>
  <c r="AM487" i="1"/>
  <c r="AL487" i="1"/>
  <c r="AK487" i="1"/>
  <c r="AJ487" i="1"/>
  <c r="AI487" i="1"/>
  <c r="AN125" i="1"/>
  <c r="AM125" i="1"/>
  <c r="AL125" i="1"/>
  <c r="AK125" i="1"/>
  <c r="AJ125" i="1"/>
  <c r="AI125" i="1"/>
  <c r="AN608" i="1"/>
  <c r="AM608" i="1"/>
  <c r="AL608" i="1"/>
  <c r="AK608" i="1"/>
  <c r="AJ608" i="1"/>
  <c r="AI608" i="1"/>
  <c r="AN622" i="1"/>
  <c r="AM622" i="1"/>
  <c r="AL622" i="1"/>
  <c r="AK622" i="1"/>
  <c r="AJ622" i="1"/>
  <c r="AI622" i="1"/>
  <c r="AN648" i="1"/>
  <c r="AM648" i="1"/>
  <c r="AL648" i="1"/>
  <c r="AK648" i="1"/>
  <c r="AJ648" i="1"/>
  <c r="AI648" i="1"/>
  <c r="AN222" i="1"/>
  <c r="AM222" i="1"/>
  <c r="AL222" i="1"/>
  <c r="AK222" i="1"/>
  <c r="AJ222" i="1"/>
  <c r="AI222" i="1"/>
  <c r="AN409" i="1"/>
  <c r="AM409" i="1"/>
  <c r="AL409" i="1"/>
  <c r="AK409" i="1"/>
  <c r="AJ409" i="1"/>
  <c r="AI409" i="1"/>
  <c r="AN289" i="1"/>
  <c r="AM289" i="1"/>
  <c r="AL289" i="1"/>
  <c r="AK289" i="1"/>
  <c r="AJ289" i="1"/>
  <c r="AI289" i="1"/>
  <c r="AN135" i="1"/>
  <c r="AM135" i="1"/>
  <c r="AL135" i="1"/>
  <c r="AK135" i="1"/>
  <c r="AJ135" i="1"/>
  <c r="AI135" i="1"/>
  <c r="AN175" i="1"/>
  <c r="AM175" i="1"/>
  <c r="AL175" i="1"/>
  <c r="AK175" i="1"/>
  <c r="AJ175" i="1"/>
  <c r="AI175" i="1"/>
  <c r="AN302" i="1"/>
  <c r="AM302" i="1"/>
  <c r="AL302" i="1"/>
  <c r="AK302" i="1"/>
  <c r="AJ302" i="1"/>
  <c r="AI302" i="1"/>
  <c r="AN369" i="1"/>
  <c r="AM369" i="1"/>
  <c r="AL369" i="1"/>
  <c r="AK369" i="1"/>
  <c r="AJ369" i="1"/>
  <c r="AI369" i="1"/>
  <c r="AN453" i="1"/>
  <c r="AM453" i="1"/>
  <c r="AL453" i="1"/>
  <c r="AK453" i="1"/>
  <c r="AJ453" i="1"/>
  <c r="AI453" i="1"/>
  <c r="AN113" i="1"/>
  <c r="AM113" i="1"/>
  <c r="AL113" i="1"/>
  <c r="AK113" i="1"/>
  <c r="AJ113" i="1"/>
  <c r="AI113" i="1"/>
  <c r="AN110" i="1"/>
  <c r="AM110" i="1"/>
  <c r="AL110" i="1"/>
  <c r="AK110" i="1"/>
  <c r="AJ110" i="1"/>
  <c r="AI110" i="1"/>
  <c r="AN153" i="1"/>
  <c r="AM153" i="1"/>
  <c r="AL153" i="1"/>
  <c r="AK153" i="1"/>
  <c r="AJ153" i="1"/>
  <c r="AI153" i="1"/>
  <c r="AN447" i="1"/>
  <c r="AM447" i="1"/>
  <c r="AL447" i="1"/>
  <c r="AK447" i="1"/>
  <c r="AJ447" i="1"/>
  <c r="AI447" i="1"/>
  <c r="AN316" i="1"/>
  <c r="AM316" i="1"/>
  <c r="AL316" i="1"/>
  <c r="AK316" i="1"/>
  <c r="AJ316" i="1"/>
  <c r="AI316" i="1"/>
  <c r="AN584" i="1"/>
  <c r="AM584" i="1"/>
  <c r="AL584" i="1"/>
  <c r="AK584" i="1"/>
  <c r="AJ584" i="1"/>
  <c r="AI584" i="1"/>
  <c r="AN241" i="1"/>
  <c r="AM241" i="1"/>
  <c r="AL241" i="1"/>
  <c r="AK241" i="1"/>
  <c r="AJ241" i="1"/>
  <c r="AI241" i="1"/>
  <c r="AN555" i="1"/>
  <c r="AM555" i="1"/>
  <c r="AL555" i="1"/>
  <c r="AK555" i="1"/>
  <c r="AJ555" i="1"/>
  <c r="AI555" i="1"/>
  <c r="AN585" i="1"/>
  <c r="AM585" i="1"/>
  <c r="AL585" i="1"/>
  <c r="AK585" i="1"/>
  <c r="AJ585" i="1"/>
  <c r="AI585" i="1"/>
  <c r="AN501" i="1"/>
  <c r="AM501" i="1"/>
  <c r="AL501" i="1"/>
  <c r="AK501" i="1"/>
  <c r="AJ501" i="1"/>
  <c r="AI501" i="1"/>
  <c r="AN547" i="1"/>
  <c r="AM547" i="1"/>
  <c r="AL547" i="1"/>
  <c r="AK547" i="1"/>
  <c r="AJ547" i="1"/>
  <c r="AI547" i="1"/>
  <c r="AN477" i="1"/>
  <c r="AM477" i="1"/>
  <c r="AL477" i="1"/>
  <c r="AK477" i="1"/>
  <c r="AJ477" i="1"/>
  <c r="AI477" i="1"/>
  <c r="AN394" i="1"/>
  <c r="AM394" i="1"/>
  <c r="AL394" i="1"/>
  <c r="AK394" i="1"/>
  <c r="AJ394" i="1"/>
  <c r="AI394" i="1"/>
  <c r="AN121" i="1"/>
  <c r="AM121" i="1"/>
  <c r="AL121" i="1"/>
  <c r="AK121" i="1"/>
  <c r="AJ121" i="1"/>
  <c r="AI121" i="1"/>
  <c r="AN285" i="1"/>
  <c r="AM285" i="1"/>
  <c r="AL285" i="1"/>
  <c r="AK285" i="1"/>
  <c r="AJ285" i="1"/>
  <c r="AI285" i="1"/>
  <c r="AN663" i="1"/>
  <c r="AM663" i="1"/>
  <c r="AL663" i="1"/>
  <c r="AK663" i="1"/>
  <c r="AJ663" i="1"/>
  <c r="AI663" i="1"/>
  <c r="AN284" i="1"/>
  <c r="AM284" i="1"/>
  <c r="AL284" i="1"/>
  <c r="AK284" i="1"/>
  <c r="AJ284" i="1"/>
  <c r="AI284" i="1"/>
  <c r="AN549" i="1"/>
  <c r="AM549" i="1"/>
  <c r="AL549" i="1"/>
  <c r="AK549" i="1"/>
  <c r="AJ549" i="1"/>
  <c r="AI549" i="1"/>
  <c r="AN556" i="1"/>
  <c r="AM556" i="1"/>
  <c r="AL556" i="1"/>
  <c r="AK556" i="1"/>
  <c r="AJ556" i="1"/>
  <c r="AI556" i="1"/>
  <c r="AN339" i="1"/>
  <c r="AM339" i="1"/>
  <c r="AL339" i="1"/>
  <c r="AK339" i="1"/>
  <c r="AJ339" i="1"/>
  <c r="AI339" i="1"/>
  <c r="AN590" i="1"/>
  <c r="AM590" i="1"/>
  <c r="AL590" i="1"/>
  <c r="AK590" i="1"/>
  <c r="AJ590" i="1"/>
  <c r="AI590" i="1"/>
  <c r="AN142" i="1"/>
  <c r="AM142" i="1"/>
  <c r="AL142" i="1"/>
  <c r="AK142" i="1"/>
  <c r="AJ142" i="1"/>
  <c r="AI142" i="1"/>
  <c r="AN594" i="1"/>
  <c r="AM594" i="1"/>
  <c r="AL594" i="1"/>
  <c r="AK594" i="1"/>
  <c r="AJ594" i="1"/>
  <c r="AI594" i="1"/>
  <c r="AN230" i="1"/>
  <c r="AM230" i="1"/>
  <c r="AL230" i="1"/>
  <c r="AK230" i="1"/>
  <c r="AJ230" i="1"/>
  <c r="AI230" i="1"/>
  <c r="AN393" i="1"/>
  <c r="AM393" i="1"/>
  <c r="AL393" i="1"/>
  <c r="AK393" i="1"/>
  <c r="AJ393" i="1"/>
  <c r="AI393" i="1"/>
  <c r="AN454" i="1"/>
  <c r="AM454" i="1"/>
  <c r="AL454" i="1"/>
  <c r="AK454" i="1"/>
  <c r="AJ454" i="1"/>
  <c r="AI454" i="1"/>
  <c r="AN338" i="1"/>
  <c r="AM338" i="1"/>
  <c r="AL338" i="1"/>
  <c r="AK338" i="1"/>
  <c r="AJ338" i="1"/>
  <c r="AI338" i="1"/>
  <c r="AN253" i="1"/>
  <c r="AM253" i="1"/>
  <c r="AL253" i="1"/>
  <c r="AK253" i="1"/>
  <c r="AJ253" i="1"/>
  <c r="AI253" i="1"/>
  <c r="AN515" i="1"/>
  <c r="AM515" i="1"/>
  <c r="AL515" i="1"/>
  <c r="AK515" i="1"/>
  <c r="AJ515" i="1"/>
  <c r="AI515" i="1"/>
  <c r="AN335" i="1"/>
  <c r="AM335" i="1"/>
  <c r="AL335" i="1"/>
  <c r="AK335" i="1"/>
  <c r="AJ335" i="1"/>
  <c r="AI335" i="1"/>
  <c r="AN311" i="1"/>
  <c r="AM311" i="1"/>
  <c r="AL311" i="1"/>
  <c r="AK311" i="1"/>
  <c r="AJ311" i="1"/>
  <c r="AI311" i="1"/>
  <c r="AN400" i="1"/>
  <c r="AM400" i="1"/>
  <c r="AL400" i="1"/>
  <c r="AK400" i="1"/>
  <c r="AJ400" i="1"/>
  <c r="AI400" i="1"/>
  <c r="AN522" i="1"/>
  <c r="AM522" i="1"/>
  <c r="AL522" i="1"/>
  <c r="AK522" i="1"/>
  <c r="AJ522" i="1"/>
  <c r="AI522" i="1"/>
  <c r="AN8" i="1"/>
  <c r="AM8" i="1"/>
  <c r="AL8" i="1"/>
  <c r="AK8" i="1"/>
  <c r="AJ8" i="1"/>
  <c r="AI8" i="1"/>
  <c r="AN33" i="1"/>
  <c r="AM33" i="1"/>
  <c r="AL33" i="1"/>
  <c r="AK33" i="1"/>
  <c r="AJ33" i="1"/>
  <c r="AI33" i="1"/>
  <c r="AN508" i="1"/>
  <c r="AM508" i="1"/>
  <c r="AL508" i="1"/>
  <c r="AK508" i="1"/>
  <c r="AJ508" i="1"/>
  <c r="AI508" i="1"/>
  <c r="AN658" i="1"/>
  <c r="AM658" i="1"/>
  <c r="AL658" i="1"/>
  <c r="AK658" i="1"/>
  <c r="AJ658" i="1"/>
  <c r="AI658" i="1"/>
  <c r="AN619" i="1"/>
  <c r="AM619" i="1"/>
  <c r="AL619" i="1"/>
  <c r="AK619" i="1"/>
  <c r="AJ619" i="1"/>
  <c r="AI619" i="1"/>
  <c r="AN188" i="1"/>
  <c r="AM188" i="1"/>
  <c r="AL188" i="1"/>
  <c r="AK188" i="1"/>
  <c r="AJ188" i="1"/>
  <c r="AI188" i="1"/>
  <c r="AN476" i="1"/>
  <c r="AM476" i="1"/>
  <c r="AL476" i="1"/>
  <c r="AK476" i="1"/>
  <c r="AJ476" i="1"/>
  <c r="AI476" i="1"/>
  <c r="AN446" i="1"/>
  <c r="AM446" i="1"/>
  <c r="AL446" i="1"/>
  <c r="AK446" i="1"/>
  <c r="AJ446" i="1"/>
  <c r="AI446" i="1"/>
  <c r="AN404" i="1"/>
  <c r="AM404" i="1"/>
  <c r="AL404" i="1"/>
  <c r="AK404" i="1"/>
  <c r="AJ404" i="1"/>
  <c r="AI404" i="1"/>
  <c r="AN185" i="1"/>
  <c r="AM185" i="1"/>
  <c r="AL185" i="1"/>
  <c r="AK185" i="1"/>
  <c r="AJ185" i="1"/>
  <c r="AI185" i="1"/>
  <c r="AN506" i="1"/>
  <c r="AM506" i="1"/>
  <c r="AL506" i="1"/>
  <c r="AK506" i="1"/>
  <c r="AJ506" i="1"/>
  <c r="AI506" i="1"/>
  <c r="AN595" i="1"/>
  <c r="AM595" i="1"/>
  <c r="AL595" i="1"/>
  <c r="AK595" i="1"/>
  <c r="AJ595" i="1"/>
  <c r="AI595" i="1"/>
  <c r="AN469" i="1"/>
  <c r="AM469" i="1"/>
  <c r="AL469" i="1"/>
  <c r="AK469" i="1"/>
  <c r="AJ469" i="1"/>
  <c r="AI469" i="1"/>
  <c r="AN201" i="1"/>
  <c r="AM201" i="1"/>
  <c r="AL201" i="1"/>
  <c r="AK201" i="1"/>
  <c r="AJ201" i="1"/>
  <c r="AI201" i="1"/>
  <c r="AN582" i="1"/>
  <c r="AM582" i="1"/>
  <c r="AL582" i="1"/>
  <c r="AK582" i="1"/>
  <c r="AJ582" i="1"/>
  <c r="AI582" i="1"/>
  <c r="AN202" i="1"/>
  <c r="AM202" i="1"/>
  <c r="AL202" i="1"/>
  <c r="AK202" i="1"/>
  <c r="AJ202" i="1"/>
  <c r="AI202" i="1"/>
  <c r="AN580" i="1"/>
  <c r="AM580" i="1"/>
  <c r="AL580" i="1"/>
  <c r="AK580" i="1"/>
  <c r="AJ580" i="1"/>
  <c r="AI580" i="1"/>
  <c r="AN47" i="1"/>
  <c r="AM47" i="1"/>
  <c r="AL47" i="1"/>
  <c r="AK47" i="1"/>
  <c r="AJ47" i="1"/>
  <c r="AI47" i="1"/>
  <c r="AN565" i="1"/>
  <c r="AM565" i="1"/>
  <c r="AL565" i="1"/>
  <c r="AK565" i="1"/>
  <c r="AJ565" i="1"/>
  <c r="AI565" i="1"/>
  <c r="AN402" i="1"/>
  <c r="AM402" i="1"/>
  <c r="AL402" i="1"/>
  <c r="AK402" i="1"/>
  <c r="AJ402" i="1"/>
  <c r="AI402" i="1"/>
  <c r="AN328" i="1"/>
  <c r="AM328" i="1"/>
  <c r="AL328" i="1"/>
  <c r="AK328" i="1"/>
  <c r="AJ328" i="1"/>
  <c r="AI328" i="1"/>
  <c r="AN330" i="1"/>
  <c r="AM330" i="1"/>
  <c r="AL330" i="1"/>
  <c r="AK330" i="1"/>
  <c r="AJ330" i="1"/>
  <c r="AI330" i="1"/>
  <c r="AN657" i="1"/>
  <c r="AM657" i="1"/>
  <c r="AL657" i="1"/>
  <c r="AK657" i="1"/>
  <c r="AJ657" i="1"/>
  <c r="AI657" i="1"/>
  <c r="AN54" i="1"/>
  <c r="AM54" i="1"/>
  <c r="AL54" i="1"/>
  <c r="AK54" i="1"/>
  <c r="AJ54" i="1"/>
  <c r="AI54" i="1"/>
  <c r="AN317" i="1"/>
  <c r="AM317" i="1"/>
  <c r="AL317" i="1"/>
  <c r="AK317" i="1"/>
  <c r="AJ317" i="1"/>
  <c r="AI317" i="1"/>
  <c r="AN272" i="1"/>
  <c r="AM272" i="1"/>
  <c r="AL272" i="1"/>
  <c r="AK272" i="1"/>
  <c r="AJ272" i="1"/>
  <c r="AI272" i="1"/>
  <c r="AN321" i="1"/>
  <c r="AM321" i="1"/>
  <c r="AL321" i="1"/>
  <c r="AK321" i="1"/>
  <c r="AJ321" i="1"/>
  <c r="AI321" i="1"/>
  <c r="AN621" i="1"/>
  <c r="AM621" i="1"/>
  <c r="AL621" i="1"/>
  <c r="AK621" i="1"/>
  <c r="AJ621" i="1"/>
  <c r="AI621" i="1"/>
  <c r="AN661" i="1"/>
  <c r="AM661" i="1"/>
  <c r="AL661" i="1"/>
  <c r="AK661" i="1"/>
  <c r="AJ661" i="1"/>
  <c r="AI661" i="1"/>
  <c r="AN260" i="1"/>
  <c r="AM260" i="1"/>
  <c r="AL260" i="1"/>
  <c r="AK260" i="1"/>
  <c r="AJ260" i="1"/>
  <c r="AI260" i="1"/>
  <c r="AN259" i="1"/>
  <c r="AM259" i="1"/>
  <c r="AL259" i="1"/>
  <c r="AK259" i="1"/>
  <c r="AJ259" i="1"/>
  <c r="AI259" i="1"/>
  <c r="AN123" i="1"/>
  <c r="AM123" i="1"/>
  <c r="AL123" i="1"/>
  <c r="AK123" i="1"/>
  <c r="AJ123" i="1"/>
  <c r="AI123" i="1"/>
  <c r="AN149" i="1"/>
  <c r="AM149" i="1"/>
  <c r="AL149" i="1"/>
  <c r="AK149" i="1"/>
  <c r="AJ149" i="1"/>
  <c r="AI149" i="1"/>
  <c r="AN633" i="1"/>
  <c r="AM633" i="1"/>
  <c r="AL633" i="1"/>
  <c r="AK633" i="1"/>
  <c r="AJ633" i="1"/>
  <c r="AI633" i="1"/>
  <c r="AN542" i="1"/>
  <c r="AM542" i="1"/>
  <c r="AL542" i="1"/>
  <c r="AK542" i="1"/>
  <c r="AJ542" i="1"/>
  <c r="AI542" i="1"/>
  <c r="AN146" i="1"/>
  <c r="AM146" i="1"/>
  <c r="AL146" i="1"/>
  <c r="AK146" i="1"/>
  <c r="AJ146" i="1"/>
  <c r="AI146" i="1"/>
  <c r="AN120" i="1"/>
  <c r="AM120" i="1"/>
  <c r="AL120" i="1"/>
  <c r="AK120" i="1"/>
  <c r="AJ120" i="1"/>
  <c r="AI120" i="1"/>
  <c r="AN558" i="1"/>
  <c r="AM558" i="1"/>
  <c r="AL558" i="1"/>
  <c r="AK558" i="1"/>
  <c r="AJ558" i="1"/>
  <c r="AI558" i="1"/>
  <c r="AN29" i="1"/>
  <c r="AM29" i="1"/>
  <c r="AL29" i="1"/>
  <c r="AK29" i="1"/>
  <c r="AJ29" i="1"/>
  <c r="AI29" i="1"/>
  <c r="AN677" i="1"/>
  <c r="AM677" i="1"/>
  <c r="AL677" i="1"/>
  <c r="AK677" i="1"/>
  <c r="AJ677" i="1"/>
  <c r="AI677" i="1"/>
  <c r="AN478" i="1"/>
  <c r="AM478" i="1"/>
  <c r="AL478" i="1"/>
  <c r="AK478" i="1"/>
  <c r="AJ478" i="1"/>
  <c r="AI478" i="1"/>
  <c r="AN219" i="1"/>
  <c r="AM219" i="1"/>
  <c r="AL219" i="1"/>
  <c r="AK219" i="1"/>
  <c r="AJ219" i="1"/>
  <c r="AI219" i="1"/>
  <c r="AN9" i="1"/>
  <c r="AM9" i="1"/>
  <c r="AL9" i="1"/>
  <c r="AK9" i="1"/>
  <c r="AJ9" i="1"/>
  <c r="AI9" i="1"/>
  <c r="AN172" i="1"/>
  <c r="AM172" i="1"/>
  <c r="AL172" i="1"/>
  <c r="AK172" i="1"/>
  <c r="AJ172" i="1"/>
  <c r="AI172" i="1"/>
  <c r="AN171" i="1"/>
  <c r="AM171" i="1"/>
  <c r="AL171" i="1"/>
  <c r="AK171" i="1"/>
  <c r="AJ171" i="1"/>
  <c r="AI171" i="1"/>
  <c r="AN199" i="1"/>
  <c r="AM199" i="1"/>
  <c r="AL199" i="1"/>
  <c r="AK199" i="1"/>
  <c r="AJ199" i="1"/>
  <c r="AI199" i="1"/>
  <c r="AN435" i="1"/>
  <c r="AM435" i="1"/>
  <c r="AL435" i="1"/>
  <c r="AK435" i="1"/>
  <c r="AJ435" i="1"/>
  <c r="AI435" i="1"/>
  <c r="AN334" i="1"/>
  <c r="AM334" i="1"/>
  <c r="AL334" i="1"/>
  <c r="AK334" i="1"/>
  <c r="AJ334" i="1"/>
  <c r="AI334" i="1"/>
  <c r="AN430" i="1"/>
  <c r="AM430" i="1"/>
  <c r="AL430" i="1"/>
  <c r="AK430" i="1"/>
  <c r="AJ430" i="1"/>
  <c r="AI430" i="1"/>
  <c r="AN225" i="1"/>
  <c r="AM225" i="1"/>
  <c r="AL225" i="1"/>
  <c r="AK225" i="1"/>
  <c r="AJ225" i="1"/>
  <c r="AI225" i="1"/>
  <c r="AN250" i="1"/>
  <c r="AM250" i="1"/>
  <c r="AL250" i="1"/>
  <c r="AK250" i="1"/>
  <c r="AJ250" i="1"/>
  <c r="AI250" i="1"/>
  <c r="AN220" i="1"/>
  <c r="AM220" i="1"/>
  <c r="AL220" i="1"/>
  <c r="AK220" i="1"/>
  <c r="AJ220" i="1"/>
  <c r="AI220" i="1"/>
  <c r="AN627" i="1"/>
  <c r="AM627" i="1"/>
  <c r="AL627" i="1"/>
  <c r="AK627" i="1"/>
  <c r="AJ627" i="1"/>
  <c r="AI627" i="1"/>
  <c r="AN169" i="1"/>
  <c r="AM169" i="1"/>
  <c r="AL169" i="1"/>
  <c r="AK169" i="1"/>
  <c r="AJ169" i="1"/>
  <c r="AI169" i="1"/>
  <c r="AN168" i="1"/>
  <c r="AM168" i="1"/>
  <c r="AL168" i="1"/>
  <c r="AK168" i="1"/>
  <c r="AJ168" i="1"/>
  <c r="AI168" i="1"/>
  <c r="AN497" i="1"/>
  <c r="AM497" i="1"/>
  <c r="AL497" i="1"/>
  <c r="AK497" i="1"/>
  <c r="AJ497" i="1"/>
  <c r="AI497" i="1"/>
  <c r="AN192" i="1"/>
  <c r="AM192" i="1"/>
  <c r="AL192" i="1"/>
  <c r="AK192" i="1"/>
  <c r="AJ192" i="1"/>
  <c r="AI192" i="1"/>
  <c r="AN365" i="1"/>
  <c r="AM365" i="1"/>
  <c r="AL365" i="1"/>
  <c r="AK365" i="1"/>
  <c r="AJ365" i="1"/>
  <c r="AI365" i="1"/>
  <c r="AN609" i="1"/>
  <c r="AM609" i="1"/>
  <c r="AL609" i="1"/>
  <c r="AK609" i="1"/>
  <c r="AJ609" i="1"/>
  <c r="AI609" i="1"/>
  <c r="AN18" i="1"/>
  <c r="AM18" i="1"/>
  <c r="AL18" i="1"/>
  <c r="AK18" i="1"/>
  <c r="AJ18" i="1"/>
  <c r="AI18" i="1"/>
  <c r="AN491" i="1"/>
  <c r="AM491" i="1"/>
  <c r="AL491" i="1"/>
  <c r="AK491" i="1"/>
  <c r="AJ491" i="1"/>
  <c r="AI491" i="1"/>
  <c r="AN319" i="1"/>
  <c r="AM319" i="1"/>
  <c r="AL319" i="1"/>
  <c r="AK319" i="1"/>
  <c r="AJ319" i="1"/>
  <c r="AI319" i="1"/>
  <c r="AN223" i="1"/>
  <c r="AM223" i="1"/>
  <c r="AL223" i="1"/>
  <c r="AK223" i="1"/>
  <c r="AJ223" i="1"/>
  <c r="AI223" i="1"/>
  <c r="AN390" i="1"/>
  <c r="AM390" i="1"/>
  <c r="AL390" i="1"/>
  <c r="AK390" i="1"/>
  <c r="AJ390" i="1"/>
  <c r="AI390" i="1"/>
  <c r="AN133" i="1"/>
  <c r="AM133" i="1"/>
  <c r="AL133" i="1"/>
  <c r="AK133" i="1"/>
  <c r="AJ133" i="1"/>
  <c r="AI133" i="1"/>
  <c r="AN35" i="1"/>
  <c r="AM35" i="1"/>
  <c r="AL35" i="1"/>
  <c r="AK35" i="1"/>
  <c r="AJ35" i="1"/>
  <c r="AI35" i="1"/>
  <c r="AN438" i="1"/>
  <c r="AM438" i="1"/>
  <c r="AL438" i="1"/>
  <c r="AK438" i="1"/>
  <c r="AJ438" i="1"/>
  <c r="AI438" i="1"/>
  <c r="AN96" i="1"/>
  <c r="AM96" i="1"/>
  <c r="AL96" i="1"/>
  <c r="AK96" i="1"/>
  <c r="AJ96" i="1"/>
  <c r="AI96" i="1"/>
  <c r="AN517" i="1"/>
  <c r="AM517" i="1"/>
  <c r="AL517" i="1"/>
  <c r="AK517" i="1"/>
  <c r="AJ517" i="1"/>
  <c r="AI517" i="1"/>
  <c r="AN623" i="1"/>
  <c r="AM623" i="1"/>
  <c r="AL623" i="1"/>
  <c r="AK623" i="1"/>
  <c r="AJ623" i="1"/>
  <c r="AI623" i="1"/>
  <c r="AN659" i="1"/>
  <c r="AM659" i="1"/>
  <c r="AL659" i="1"/>
  <c r="AK659" i="1"/>
  <c r="AJ659" i="1"/>
  <c r="AI659" i="1"/>
  <c r="AN221" i="1"/>
  <c r="AM221" i="1"/>
  <c r="AL221" i="1"/>
  <c r="AK221" i="1"/>
  <c r="AJ221" i="1"/>
  <c r="AI221" i="1"/>
  <c r="AN689" i="1"/>
  <c r="AM689" i="1"/>
  <c r="AL689" i="1"/>
  <c r="AK689" i="1"/>
  <c r="AJ689" i="1"/>
  <c r="AI689" i="1"/>
  <c r="AN93" i="1"/>
  <c r="AM93" i="1"/>
  <c r="AL93" i="1"/>
  <c r="AK93" i="1"/>
  <c r="AJ93" i="1"/>
  <c r="AI93" i="1"/>
  <c r="AN134" i="1"/>
  <c r="AM134" i="1"/>
  <c r="AL134" i="1"/>
  <c r="AK134" i="1"/>
  <c r="AJ134" i="1"/>
  <c r="AI134" i="1"/>
  <c r="AN193" i="1"/>
  <c r="AM193" i="1"/>
  <c r="AL193" i="1"/>
  <c r="AK193" i="1"/>
  <c r="AJ193" i="1"/>
  <c r="AI193" i="1"/>
  <c r="AN340" i="1"/>
  <c r="AM340" i="1"/>
  <c r="AL340" i="1"/>
  <c r="AK340" i="1"/>
  <c r="AJ340" i="1"/>
  <c r="AI340" i="1"/>
  <c r="AN31" i="1"/>
  <c r="AM31" i="1"/>
  <c r="AL31" i="1"/>
  <c r="AK31" i="1"/>
  <c r="AJ31" i="1"/>
  <c r="AI31" i="1"/>
  <c r="AN611" i="1"/>
  <c r="AM611" i="1"/>
  <c r="AL611" i="1"/>
  <c r="AK611" i="1"/>
  <c r="AJ611" i="1"/>
  <c r="AI611" i="1"/>
  <c r="AN94" i="1"/>
  <c r="AM94" i="1"/>
  <c r="AL94" i="1"/>
  <c r="AK94" i="1"/>
  <c r="AJ94" i="1"/>
  <c r="AI94" i="1"/>
  <c r="AN268" i="1"/>
  <c r="AM268" i="1"/>
  <c r="AL268" i="1"/>
  <c r="AK268" i="1"/>
  <c r="AJ268" i="1"/>
  <c r="AI268" i="1"/>
  <c r="AN184" i="1"/>
  <c r="AM184" i="1"/>
  <c r="AL184" i="1"/>
  <c r="AK184" i="1"/>
  <c r="AJ184" i="1"/>
  <c r="AI184" i="1"/>
  <c r="AN524" i="1"/>
  <c r="AM524" i="1"/>
  <c r="AL524" i="1"/>
  <c r="AK524" i="1"/>
  <c r="AJ524" i="1"/>
  <c r="AI524" i="1"/>
  <c r="AN376" i="1"/>
  <c r="AM376" i="1"/>
  <c r="AL376" i="1"/>
  <c r="AK376" i="1"/>
  <c r="AJ376" i="1"/>
  <c r="AI376" i="1"/>
  <c r="AN628" i="1"/>
  <c r="AM628" i="1"/>
  <c r="AL628" i="1"/>
  <c r="AK628" i="1"/>
  <c r="AJ628" i="1"/>
  <c r="AI628" i="1"/>
  <c r="AN107" i="1"/>
  <c r="AM107" i="1"/>
  <c r="AL107" i="1"/>
  <c r="AK107" i="1"/>
  <c r="AJ107" i="1"/>
  <c r="AI107" i="1"/>
  <c r="AN261" i="1"/>
  <c r="AM261" i="1"/>
  <c r="AL261" i="1"/>
  <c r="AK261" i="1"/>
  <c r="AJ261" i="1"/>
  <c r="AI261" i="1"/>
  <c r="AN303" i="1"/>
  <c r="AM303" i="1"/>
  <c r="AL303" i="1"/>
  <c r="AK303" i="1"/>
  <c r="AJ303" i="1"/>
  <c r="AI303" i="1"/>
  <c r="AN102" i="1"/>
  <c r="AM102" i="1"/>
  <c r="AL102" i="1"/>
  <c r="AK102" i="1"/>
  <c r="AJ102" i="1"/>
  <c r="AI102" i="1"/>
  <c r="AN593" i="1"/>
  <c r="AM593" i="1"/>
  <c r="AL593" i="1"/>
  <c r="AK593" i="1"/>
  <c r="AJ593" i="1"/>
  <c r="AI593" i="1"/>
  <c r="AN592" i="1"/>
  <c r="AM592" i="1"/>
  <c r="AL592" i="1"/>
  <c r="AK592" i="1"/>
  <c r="AJ592" i="1"/>
  <c r="AI592" i="1"/>
  <c r="AN39" i="1"/>
  <c r="AM39" i="1"/>
  <c r="AL39" i="1"/>
  <c r="AK39" i="1"/>
  <c r="AJ39" i="1"/>
  <c r="AI39" i="1"/>
  <c r="AN208" i="1"/>
  <c r="AM208" i="1"/>
  <c r="AL208" i="1"/>
  <c r="AK208" i="1"/>
  <c r="AJ208" i="1"/>
  <c r="AI208" i="1"/>
  <c r="AN415" i="1"/>
  <c r="AM415" i="1"/>
  <c r="AL415" i="1"/>
  <c r="AK415" i="1"/>
  <c r="AJ415" i="1"/>
  <c r="AI415" i="1"/>
  <c r="AN300" i="1"/>
  <c r="AM300" i="1"/>
  <c r="AL300" i="1"/>
  <c r="AK300" i="1"/>
  <c r="AJ300" i="1"/>
  <c r="AI300" i="1"/>
  <c r="AN428" i="1"/>
  <c r="AM428" i="1"/>
  <c r="AL428" i="1"/>
  <c r="AK428" i="1"/>
  <c r="AJ428" i="1"/>
  <c r="AI428" i="1"/>
  <c r="AN310" i="1"/>
  <c r="AM310" i="1"/>
  <c r="AL310" i="1"/>
  <c r="AK310" i="1"/>
  <c r="AJ310" i="1"/>
  <c r="AI310" i="1"/>
  <c r="AN126" i="1"/>
  <c r="AM126" i="1"/>
  <c r="AL126" i="1"/>
  <c r="AK126" i="1"/>
  <c r="AJ126" i="1"/>
  <c r="AI126" i="1"/>
  <c r="AN374" i="1"/>
  <c r="AM374" i="1"/>
  <c r="AL374" i="1"/>
  <c r="AK374" i="1"/>
  <c r="AJ374" i="1"/>
  <c r="AI374" i="1"/>
  <c r="AN367" i="1"/>
  <c r="AM367" i="1"/>
  <c r="AL367" i="1"/>
  <c r="AK367" i="1"/>
  <c r="AJ367" i="1"/>
  <c r="AI367" i="1"/>
  <c r="AN122" i="1"/>
  <c r="AM122" i="1"/>
  <c r="AL122" i="1"/>
  <c r="AK122" i="1"/>
  <c r="AJ122" i="1"/>
  <c r="AI122" i="1"/>
  <c r="AN457" i="1"/>
  <c r="AM457" i="1"/>
  <c r="AL457" i="1"/>
  <c r="AK457" i="1"/>
  <c r="AJ457" i="1"/>
  <c r="AI457" i="1"/>
  <c r="AN458" i="1"/>
  <c r="AM458" i="1"/>
  <c r="AL458" i="1"/>
  <c r="AK458" i="1"/>
  <c r="AJ458" i="1"/>
  <c r="AI458" i="1"/>
  <c r="AN398" i="1"/>
  <c r="AM398" i="1"/>
  <c r="AL398" i="1"/>
  <c r="AK398" i="1"/>
  <c r="AJ398" i="1"/>
  <c r="AI398" i="1"/>
  <c r="AN297" i="1"/>
  <c r="AM297" i="1"/>
  <c r="AL297" i="1"/>
  <c r="AK297" i="1"/>
  <c r="AJ297" i="1"/>
  <c r="AI297" i="1"/>
  <c r="AN356" i="1"/>
  <c r="AM356" i="1"/>
  <c r="AL356" i="1"/>
  <c r="AK356" i="1"/>
  <c r="AJ356" i="1"/>
  <c r="AI356" i="1"/>
  <c r="AN100" i="1"/>
  <c r="AM100" i="1"/>
  <c r="AL100" i="1"/>
  <c r="AK100" i="1"/>
  <c r="AJ100" i="1"/>
  <c r="AI100" i="1"/>
  <c r="AN291" i="1"/>
  <c r="AM291" i="1"/>
  <c r="AL291" i="1"/>
  <c r="AK291" i="1"/>
  <c r="AJ291" i="1"/>
  <c r="AI291" i="1"/>
  <c r="AN196" i="1"/>
  <c r="AM196" i="1"/>
  <c r="AL196" i="1"/>
  <c r="AK196" i="1"/>
  <c r="AJ196" i="1"/>
  <c r="AI196" i="1"/>
  <c r="AN166" i="1"/>
  <c r="AM166" i="1"/>
  <c r="AL166" i="1"/>
  <c r="AK166" i="1"/>
  <c r="AJ166" i="1"/>
  <c r="AI166" i="1"/>
  <c r="AN662" i="1"/>
  <c r="AM662" i="1"/>
  <c r="AL662" i="1"/>
  <c r="AK662" i="1"/>
  <c r="AJ662" i="1"/>
  <c r="AI662" i="1"/>
  <c r="AN546" i="1"/>
  <c r="AM546" i="1"/>
  <c r="AL546" i="1"/>
  <c r="AK546" i="1"/>
  <c r="AJ546" i="1"/>
  <c r="AI546" i="1"/>
  <c r="AN36" i="1"/>
  <c r="AM36" i="1"/>
  <c r="AL36" i="1"/>
  <c r="AK36" i="1"/>
  <c r="AJ36" i="1"/>
  <c r="AI36" i="1"/>
  <c r="AN538" i="1"/>
  <c r="AM538" i="1"/>
  <c r="AL538" i="1"/>
  <c r="AK538" i="1"/>
  <c r="AJ538" i="1"/>
  <c r="AI538" i="1"/>
  <c r="AN534" i="1"/>
  <c r="AM534" i="1"/>
  <c r="AL534" i="1"/>
  <c r="AK534" i="1"/>
  <c r="AJ534" i="1"/>
  <c r="AI534" i="1"/>
  <c r="AN535" i="1"/>
  <c r="AM535" i="1"/>
  <c r="AL535" i="1"/>
  <c r="AK535" i="1"/>
  <c r="AJ535" i="1"/>
  <c r="AI535" i="1"/>
  <c r="AN649" i="1"/>
  <c r="AM649" i="1"/>
  <c r="AL649" i="1"/>
  <c r="AK649" i="1"/>
  <c r="AJ649" i="1"/>
  <c r="AI649" i="1"/>
  <c r="AN6" i="1"/>
  <c r="AM6" i="1"/>
  <c r="AL6" i="1"/>
  <c r="AK6" i="1"/>
  <c r="AJ6" i="1"/>
  <c r="AI6" i="1"/>
  <c r="AN536" i="1"/>
  <c r="AM536" i="1"/>
  <c r="AL536" i="1"/>
  <c r="AK536" i="1"/>
  <c r="AJ536" i="1"/>
  <c r="AI536" i="1"/>
  <c r="AN559" i="1"/>
  <c r="AM559" i="1"/>
  <c r="AL559" i="1"/>
  <c r="AK559" i="1"/>
  <c r="AJ559" i="1"/>
  <c r="AI559" i="1"/>
  <c r="AN537" i="1"/>
  <c r="AM537" i="1"/>
  <c r="AL537" i="1"/>
  <c r="AK537" i="1"/>
  <c r="AJ537" i="1"/>
  <c r="AI537" i="1"/>
  <c r="AN532" i="1"/>
  <c r="AM532" i="1"/>
  <c r="AL532" i="1"/>
  <c r="AK532" i="1"/>
  <c r="AJ532" i="1"/>
  <c r="AI532" i="1"/>
  <c r="AN407" i="1"/>
  <c r="AM407" i="1"/>
  <c r="AL407" i="1"/>
  <c r="AK407" i="1"/>
  <c r="AJ407" i="1"/>
  <c r="AI407" i="1"/>
  <c r="AN533" i="1"/>
  <c r="AM533" i="1"/>
  <c r="AL533" i="1"/>
  <c r="AK533" i="1"/>
  <c r="AJ533" i="1"/>
  <c r="AI533" i="1"/>
  <c r="AN19" i="1"/>
  <c r="AM19" i="1"/>
  <c r="AL19" i="1"/>
  <c r="AK19" i="1"/>
  <c r="AJ19" i="1"/>
  <c r="AI19" i="1"/>
  <c r="AN494" i="1"/>
  <c r="AM494" i="1"/>
  <c r="AL494" i="1"/>
  <c r="AK494" i="1"/>
  <c r="AJ494" i="1"/>
  <c r="AI494" i="1"/>
  <c r="AN637" i="1"/>
  <c r="AM637" i="1"/>
  <c r="AL637" i="1"/>
  <c r="AK637" i="1"/>
  <c r="AJ637" i="1"/>
  <c r="AI637" i="1"/>
  <c r="AN224" i="1"/>
  <c r="AM224" i="1"/>
  <c r="AL224" i="1"/>
  <c r="AK224" i="1"/>
  <c r="AJ224" i="1"/>
  <c r="AI224" i="1"/>
  <c r="AN464" i="1"/>
  <c r="AM464" i="1"/>
  <c r="AL464" i="1"/>
  <c r="AK464" i="1"/>
  <c r="AJ464" i="1"/>
  <c r="AI464" i="1"/>
  <c r="AN336" i="1"/>
  <c r="AM336" i="1"/>
  <c r="AL336" i="1"/>
  <c r="AK336" i="1"/>
  <c r="AJ336" i="1"/>
  <c r="AI336" i="1"/>
  <c r="AN352" i="1"/>
  <c r="AM352" i="1"/>
  <c r="AL352" i="1"/>
  <c r="AK352" i="1"/>
  <c r="AJ352" i="1"/>
  <c r="AI352" i="1"/>
  <c r="AN461" i="1"/>
  <c r="AM461" i="1"/>
  <c r="AL461" i="1"/>
  <c r="AK461" i="1"/>
  <c r="AJ461" i="1"/>
  <c r="AI461" i="1"/>
  <c r="AN117" i="1"/>
  <c r="AM117" i="1"/>
  <c r="AL117" i="1"/>
  <c r="AK117" i="1"/>
  <c r="AJ117" i="1"/>
  <c r="AI117" i="1"/>
  <c r="AN639" i="1"/>
  <c r="AM639" i="1"/>
  <c r="AL639" i="1"/>
  <c r="AK639" i="1"/>
  <c r="AJ639" i="1"/>
  <c r="AI639" i="1"/>
  <c r="AN408" i="1"/>
  <c r="AM408" i="1"/>
  <c r="AL408" i="1"/>
  <c r="AK408" i="1"/>
  <c r="AJ408" i="1"/>
  <c r="AI408" i="1"/>
  <c r="AN89" i="1"/>
  <c r="AM89" i="1"/>
  <c r="AL89" i="1"/>
  <c r="AK89" i="1"/>
  <c r="AJ89" i="1"/>
  <c r="AI89" i="1"/>
  <c r="AN654" i="1"/>
  <c r="AM654" i="1"/>
  <c r="AL654" i="1"/>
  <c r="AK654" i="1"/>
  <c r="AJ654" i="1"/>
  <c r="AI654" i="1"/>
  <c r="AN345" i="1"/>
  <c r="AM345" i="1"/>
  <c r="AL345" i="1"/>
  <c r="AK345" i="1"/>
  <c r="AJ345" i="1"/>
  <c r="AI345" i="1"/>
  <c r="AN492" i="1"/>
  <c r="AM492" i="1"/>
  <c r="AL492" i="1"/>
  <c r="AK492" i="1"/>
  <c r="AJ492" i="1"/>
  <c r="AI492" i="1"/>
  <c r="AN279" i="1"/>
  <c r="AM279" i="1"/>
  <c r="AL279" i="1"/>
  <c r="AK279" i="1"/>
  <c r="AJ279" i="1"/>
  <c r="AI279" i="1"/>
  <c r="AN198" i="1"/>
  <c r="AM198" i="1"/>
  <c r="AL198" i="1"/>
  <c r="AK198" i="1"/>
  <c r="AJ198" i="1"/>
  <c r="AI198" i="1"/>
  <c r="AN245" i="1"/>
  <c r="AM245" i="1"/>
  <c r="AL245" i="1"/>
  <c r="AK245" i="1"/>
  <c r="AJ245" i="1"/>
  <c r="AI245" i="1"/>
  <c r="AN4" i="1"/>
  <c r="AM4" i="1"/>
  <c r="AL4" i="1"/>
  <c r="AK4" i="1"/>
  <c r="AJ4" i="1"/>
  <c r="AI4" i="1"/>
  <c r="AN130" i="1"/>
  <c r="AM130" i="1"/>
  <c r="AL130" i="1"/>
  <c r="AK130" i="1"/>
  <c r="AJ130" i="1"/>
  <c r="AI130" i="1"/>
  <c r="AN513" i="1"/>
  <c r="AM513" i="1"/>
  <c r="AL513" i="1"/>
  <c r="AK513" i="1"/>
  <c r="AJ513" i="1"/>
  <c r="AI513" i="1"/>
  <c r="AN521" i="1"/>
  <c r="AM521" i="1"/>
  <c r="AL521" i="1"/>
  <c r="AK521" i="1"/>
  <c r="AJ521" i="1"/>
  <c r="AI521" i="1"/>
  <c r="AN581" i="1"/>
  <c r="AM581" i="1"/>
  <c r="AL581" i="1"/>
  <c r="AK581" i="1"/>
  <c r="AJ581" i="1"/>
  <c r="AI581" i="1"/>
  <c r="AN14" i="1"/>
  <c r="AM14" i="1"/>
  <c r="AL14" i="1"/>
  <c r="AK14" i="1"/>
  <c r="AJ14" i="1"/>
  <c r="AI14" i="1"/>
  <c r="AN354" i="1"/>
  <c r="AM354" i="1"/>
  <c r="AL354" i="1"/>
  <c r="AK354" i="1"/>
  <c r="AJ354" i="1"/>
  <c r="AI354" i="1"/>
  <c r="AN324" i="1"/>
  <c r="AM324" i="1"/>
  <c r="AL324" i="1"/>
  <c r="AK324" i="1"/>
  <c r="AJ324" i="1"/>
  <c r="AI324" i="1"/>
  <c r="AN207" i="1"/>
  <c r="AM207" i="1"/>
  <c r="AL207" i="1"/>
  <c r="AK207" i="1"/>
  <c r="AJ207" i="1"/>
  <c r="AI207" i="1"/>
  <c r="AN656" i="1"/>
  <c r="AM656" i="1"/>
  <c r="AL656" i="1"/>
  <c r="AK656" i="1"/>
  <c r="AJ656" i="1"/>
  <c r="AI656" i="1"/>
  <c r="AN683" i="1"/>
  <c r="AM683" i="1"/>
  <c r="AL683" i="1"/>
  <c r="AK683" i="1"/>
  <c r="AJ683" i="1"/>
  <c r="AI683" i="1"/>
  <c r="AN140" i="1"/>
  <c r="AM140" i="1"/>
  <c r="AL140" i="1"/>
  <c r="AK140" i="1"/>
  <c r="AJ140" i="1"/>
  <c r="AI140" i="1"/>
  <c r="AN249" i="1"/>
  <c r="AM249" i="1"/>
  <c r="AL249" i="1"/>
  <c r="AK249" i="1"/>
  <c r="AJ249" i="1"/>
  <c r="AI249" i="1"/>
  <c r="AN660" i="1"/>
  <c r="AM660" i="1"/>
  <c r="AL660" i="1"/>
  <c r="AK660" i="1"/>
  <c r="AJ660" i="1"/>
  <c r="AI660" i="1"/>
  <c r="AN691" i="1"/>
  <c r="AM691" i="1"/>
  <c r="AL691" i="1"/>
  <c r="AK691" i="1"/>
  <c r="AJ691" i="1"/>
  <c r="AI691" i="1"/>
  <c r="AN97" i="1"/>
  <c r="AM97" i="1"/>
  <c r="AL97" i="1"/>
  <c r="AK97" i="1"/>
  <c r="AJ97" i="1"/>
  <c r="AI97" i="1"/>
  <c r="AN160" i="1"/>
  <c r="AM160" i="1"/>
  <c r="AL160" i="1"/>
  <c r="AK160" i="1"/>
  <c r="AJ160" i="1"/>
  <c r="AI160" i="1"/>
  <c r="AN370" i="1"/>
  <c r="AM370" i="1"/>
  <c r="AL370" i="1"/>
  <c r="AK370" i="1"/>
  <c r="AJ370" i="1"/>
  <c r="AI370" i="1"/>
  <c r="AN401" i="1"/>
  <c r="AM401" i="1"/>
  <c r="AL401" i="1"/>
  <c r="AK401" i="1"/>
  <c r="AJ401" i="1"/>
  <c r="AI401" i="1"/>
  <c r="AN360" i="1"/>
  <c r="AM360" i="1"/>
  <c r="AL360" i="1"/>
  <c r="AK360" i="1"/>
  <c r="AJ360" i="1"/>
  <c r="AI360" i="1"/>
  <c r="AN5" i="1"/>
  <c r="AM5" i="1"/>
  <c r="AL5" i="1"/>
  <c r="AK5" i="1"/>
  <c r="AJ5" i="1"/>
  <c r="AI5" i="1"/>
  <c r="AN332" i="1"/>
  <c r="AM332" i="1"/>
  <c r="AL332" i="1"/>
  <c r="AK332" i="1"/>
  <c r="AJ332" i="1"/>
  <c r="AI332" i="1"/>
  <c r="AN10" i="1"/>
  <c r="AM10" i="1"/>
  <c r="AL10" i="1"/>
  <c r="AK10" i="1"/>
  <c r="AJ10" i="1"/>
  <c r="AI10" i="1"/>
  <c r="AN644" i="1"/>
  <c r="AM644" i="1"/>
  <c r="AL644" i="1"/>
  <c r="AK644" i="1"/>
  <c r="AJ644" i="1"/>
  <c r="AI644" i="1"/>
  <c r="AN646" i="1"/>
  <c r="AM646" i="1"/>
  <c r="AL646" i="1"/>
  <c r="AK646" i="1"/>
  <c r="AJ646" i="1"/>
  <c r="AI646" i="1"/>
  <c r="AN218" i="1"/>
  <c r="AM218" i="1"/>
  <c r="AL218" i="1"/>
  <c r="AK218" i="1"/>
  <c r="AJ218" i="1"/>
  <c r="AI218" i="1"/>
  <c r="AN229" i="1"/>
  <c r="AM229" i="1"/>
  <c r="AL229" i="1"/>
  <c r="AK229" i="1"/>
  <c r="AJ229" i="1"/>
  <c r="AI229" i="1"/>
  <c r="AN569" i="1"/>
  <c r="AM569" i="1"/>
  <c r="AL569" i="1"/>
  <c r="AK569" i="1"/>
  <c r="AJ569" i="1"/>
  <c r="AI569" i="1"/>
  <c r="AN346" i="1"/>
  <c r="AM346" i="1"/>
  <c r="AL346" i="1"/>
  <c r="AK346" i="1"/>
  <c r="AJ346" i="1"/>
  <c r="AI346" i="1"/>
  <c r="AN136" i="1"/>
  <c r="AM136" i="1"/>
  <c r="AL136" i="1"/>
  <c r="AK136" i="1"/>
  <c r="AJ136" i="1"/>
  <c r="AI136" i="1"/>
  <c r="AN266" i="1"/>
  <c r="AM266" i="1"/>
  <c r="AL266" i="1"/>
  <c r="AK266" i="1"/>
  <c r="AJ266" i="1"/>
  <c r="AI266" i="1"/>
  <c r="AN213" i="1"/>
  <c r="AM213" i="1"/>
  <c r="AL213" i="1"/>
  <c r="AK213" i="1"/>
  <c r="AJ213" i="1"/>
  <c r="AI213" i="1"/>
  <c r="AN27" i="1"/>
  <c r="AM27" i="1"/>
  <c r="AL27" i="1"/>
  <c r="AK27" i="1"/>
  <c r="AJ27" i="1"/>
  <c r="AI27" i="1"/>
  <c r="AN263" i="1"/>
  <c r="AM263" i="1"/>
  <c r="AL263" i="1"/>
  <c r="AK263" i="1"/>
  <c r="AJ263" i="1"/>
  <c r="AI263" i="1"/>
  <c r="AN281" i="1"/>
  <c r="AM281" i="1"/>
  <c r="AL281" i="1"/>
  <c r="AK281" i="1"/>
  <c r="AJ281" i="1"/>
  <c r="AI281" i="1"/>
  <c r="AN42" i="1"/>
  <c r="AM42" i="1"/>
  <c r="AL42" i="1"/>
  <c r="AK42" i="1"/>
  <c r="AJ42" i="1"/>
  <c r="AI42" i="1"/>
  <c r="AN632" i="1"/>
  <c r="AM632" i="1"/>
  <c r="AL632" i="1"/>
  <c r="AK632" i="1"/>
  <c r="AJ632" i="1"/>
  <c r="AI632" i="1"/>
  <c r="AN635" i="1"/>
  <c r="AM635" i="1"/>
  <c r="AL635" i="1"/>
  <c r="AK635" i="1"/>
  <c r="AJ635" i="1"/>
  <c r="AI635" i="1"/>
</calcChain>
</file>

<file path=xl/sharedStrings.xml><?xml version="1.0" encoding="utf-8"?>
<sst xmlns="http://schemas.openxmlformats.org/spreadsheetml/2006/main" count="18429" uniqueCount="9916">
  <si>
    <t>address</t>
  </si>
  <si>
    <t>addressLine1</t>
  </si>
  <si>
    <t>addressLine2</t>
  </si>
  <si>
    <t>agencyId</t>
  </si>
  <si>
    <t>agencyName</t>
  </si>
  <si>
    <t>agencyUrl</t>
  </si>
  <si>
    <t>agentName</t>
  </si>
  <si>
    <t>area</t>
  </si>
  <si>
    <t>buildYear</t>
  </si>
  <si>
    <t>city</t>
  </si>
  <si>
    <t>district</t>
  </si>
  <si>
    <t>friendlyId</t>
  </si>
  <si>
    <t>hasOpenBidding</t>
  </si>
  <si>
    <t>imageThumbnail</t>
  </si>
  <si>
    <t>imageUrls/0</t>
  </si>
  <si>
    <t>imageUrls/1</t>
  </si>
  <si>
    <t>imageUrls/2</t>
  </si>
  <si>
    <t>isNewBuilding</t>
  </si>
  <si>
    <t>isPrivateSeller</t>
  </si>
  <si>
    <t>latitude</t>
  </si>
  <si>
    <t>listingId</t>
  </si>
  <si>
    <t>listingUrl</t>
  </si>
  <si>
    <t>longitude</t>
  </si>
  <si>
    <t>price</t>
  </si>
  <si>
    <t>priceFormatted</t>
  </si>
  <si>
    <t>privateSellerName</t>
  </si>
  <si>
    <t>propertySubtype</t>
  </si>
  <si>
    <t>propertyType</t>
  </si>
  <si>
    <t>publishedDate</t>
  </si>
  <si>
    <t>roomCount</t>
  </si>
  <si>
    <t>rooms</t>
  </si>
  <si>
    <t>scrapedAt</t>
  </si>
  <si>
    <t>title</t>
  </si>
  <si>
    <t>totalArea</t>
  </si>
  <si>
    <t>http://www.avainasunnot.fi/?utm_source=etuovi.com&amp;utm_medium=banner&amp;utm_campaign=2024_imago</t>
  </si>
  <si>
    <t>2017</t>
  </si>
  <si>
    <t>Porvoo</t>
  </si>
  <si>
    <t>false</t>
  </si>
  <si>
    <t>Apartment (Kerrostalo)</t>
  </si>
  <si>
    <t>RESIDENTIAL</t>
  </si>
  <si>
    <t>2</t>
  </si>
  <si>
    <t>2h + kt + s</t>
  </si>
  <si>
    <t>Siuntio</t>
  </si>
  <si>
    <t>2000</t>
  </si>
  <si>
    <t>165 000 €</t>
  </si>
  <si>
    <t>Row House (Rivitalo)</t>
  </si>
  <si>
    <t>3</t>
  </si>
  <si>
    <t>3h, k, s</t>
  </si>
  <si>
    <t>1713</t>
  </si>
  <si>
    <t>REMAX Noste | Noste Oy LKV</t>
  </si>
  <si>
    <t>https://www.remax.fi/</t>
  </si>
  <si>
    <t>2011</t>
  </si>
  <si>
    <t>Orimattila</t>
  </si>
  <si>
    <t>199 000 €</t>
  </si>
  <si>
    <t>Semi-detached (Paritalo)</t>
  </si>
  <si>
    <t>5</t>
  </si>
  <si>
    <t>104</t>
  </si>
  <si>
    <t>Huoneistokeskus Hämeenlinna</t>
  </si>
  <si>
    <t>https://www.huoneistokeskus.fi/</t>
  </si>
  <si>
    <t>1962</t>
  </si>
  <si>
    <t>Hämeenlinna</t>
  </si>
  <si>
    <t>Asemantaka</t>
  </si>
  <si>
    <t>359 000 €</t>
  </si>
  <si>
    <t>Detached House (Omakotitalo)</t>
  </si>
  <si>
    <t>5+</t>
  </si>
  <si>
    <t>Rantasalmi</t>
  </si>
  <si>
    <t>2009</t>
  </si>
  <si>
    <t>259 000 €</t>
  </si>
  <si>
    <t>2697</t>
  </si>
  <si>
    <t>Bo LKV Jyväskylä</t>
  </si>
  <si>
    <t>https://bo.fi/myymassa/</t>
  </si>
  <si>
    <t>Nieminen Ismo</t>
  </si>
  <si>
    <t>1983</t>
  </si>
  <si>
    <t>Jyväskylä</t>
  </si>
  <si>
    <t>139 000 €</t>
  </si>
  <si>
    <t>4</t>
  </si>
  <si>
    <t>Tikkakoski Jyväskylä</t>
  </si>
  <si>
    <t>4611</t>
  </si>
  <si>
    <t>OP Koti Sisä-Suomi Oy LKV, Jyväskylä Kauppakatu 22</t>
  </si>
  <si>
    <t>https://op-koti.fi?cmpid=.opkoti..huom.1.etuovi.banner.yrityslogo.ha_jn_opkoti_valitys</t>
  </si>
  <si>
    <t>Anu Voutilainen</t>
  </si>
  <si>
    <t>1985</t>
  </si>
  <si>
    <t>Tikkakoski</t>
  </si>
  <si>
    <t>159 000 €</t>
  </si>
  <si>
    <t>441</t>
  </si>
  <si>
    <t>OP Koti Varsinais-Suomi Oy LKV, Brahenkatu</t>
  </si>
  <si>
    <t>Nousiainen</t>
  </si>
  <si>
    <t>Pitkälahti Iisalmi</t>
  </si>
  <si>
    <t>587</t>
  </si>
  <si>
    <t>OP Koti Itä-Suomi Oy LKV, Iisalmi</t>
  </si>
  <si>
    <t>Iisalmi</t>
  </si>
  <si>
    <t>Pitkälahti</t>
  </si>
  <si>
    <t>118 000 €</t>
  </si>
  <si>
    <t>790</t>
  </si>
  <si>
    <t>Korhonen Oy Tili- ja Kiinteistötoimisto</t>
  </si>
  <si>
    <t>http://www.tkt-korhonen.fi/</t>
  </si>
  <si>
    <t>1965</t>
  </si>
  <si>
    <t>Paltamo</t>
  </si>
  <si>
    <t>Kirkonkylä</t>
  </si>
  <si>
    <t>77 000 €</t>
  </si>
  <si>
    <t>1989</t>
  </si>
  <si>
    <t>Lahti</t>
  </si>
  <si>
    <t>137 000 €</t>
  </si>
  <si>
    <t>3277</t>
  </si>
  <si>
    <t>Kiinteistömaailma Hyvinkää | Asuntoahjo Uusimaa Oy</t>
  </si>
  <si>
    <t>http://www.kiinteistomaailma.fi/</t>
  </si>
  <si>
    <t>1975</t>
  </si>
  <si>
    <t>Hyvinkää</t>
  </si>
  <si>
    <t>75 000 €</t>
  </si>
  <si>
    <t>2018</t>
  </si>
  <si>
    <t>Turku</t>
  </si>
  <si>
    <t>true</t>
  </si>
  <si>
    <t>329 000 €</t>
  </si>
  <si>
    <t>1952</t>
  </si>
  <si>
    <t>Lohja</t>
  </si>
  <si>
    <t>219 000 €</t>
  </si>
  <si>
    <t>Vantaa</t>
  </si>
  <si>
    <t>179 000 €</t>
  </si>
  <si>
    <t>Martinlaakso Vantaa</t>
  </si>
  <si>
    <t>1970</t>
  </si>
  <si>
    <t>Martinlaakso</t>
  </si>
  <si>
    <t>Lieksa</t>
  </si>
  <si>
    <t>39 000 €</t>
  </si>
  <si>
    <t>97</t>
  </si>
  <si>
    <t>Huoneistokeskus Espoo Tapiola</t>
  </si>
  <si>
    <t>2021</t>
  </si>
  <si>
    <t>Espoo</t>
  </si>
  <si>
    <t>2026-03-23</t>
  </si>
  <si>
    <t>Keskusta Kuopio</t>
  </si>
  <si>
    <t>1956</t>
  </si>
  <si>
    <t>Kuopio</t>
  </si>
  <si>
    <t>Keskusta</t>
  </si>
  <si>
    <t>2026-05-15</t>
  </si>
  <si>
    <t>1315</t>
  </si>
  <si>
    <t>ARVOTALO Kiinteistönvälitys LKV Oy [A]</t>
  </si>
  <si>
    <t>https://arvotalo.fi/</t>
  </si>
  <si>
    <t>2007</t>
  </si>
  <si>
    <t>Helsinki</t>
  </si>
  <si>
    <t>2025</t>
  </si>
  <si>
    <t>Tampere</t>
  </si>
  <si>
    <t>3h + kt + s</t>
  </si>
  <si>
    <t>4h + kt + s</t>
  </si>
  <si>
    <t>232</t>
  </si>
  <si>
    <t>Muutos LKV | Pirkanmaan Laatuvälitys Oy</t>
  </si>
  <si>
    <t>https://muutoslkv.fi/kiinteistonvalitys-tampere/?utm_source=etuovi.com&amp;utm_medium=logo</t>
  </si>
  <si>
    <t>2h + kt</t>
  </si>
  <si>
    <t>Lippajärvi Espoo</t>
  </si>
  <si>
    <t>2027</t>
  </si>
  <si>
    <t>Lippajärvi</t>
  </si>
  <si>
    <t>229</t>
  </si>
  <si>
    <t>Avain Asunnot Jyväskylä | Avain Asumisoikeus Oy</t>
  </si>
  <si>
    <t>2H + KT</t>
  </si>
  <si>
    <t>Viro</t>
  </si>
  <si>
    <t>425 000 €</t>
  </si>
  <si>
    <t>1947</t>
  </si>
  <si>
    <t>220 000 €</t>
  </si>
  <si>
    <t>1987</t>
  </si>
  <si>
    <t>127 000 €</t>
  </si>
  <si>
    <t>Salo</t>
  </si>
  <si>
    <t>3h + k</t>
  </si>
  <si>
    <t>Myyrmäki Vantaa</t>
  </si>
  <si>
    <t>2464</t>
  </si>
  <si>
    <t>OP Koti Uusimaa Oy LKV, Vantaa</t>
  </si>
  <si>
    <t>Myyrmäki</t>
  </si>
  <si>
    <t>135 000 €</t>
  </si>
  <si>
    <t>2h + k + s</t>
  </si>
  <si>
    <t>Kemi</t>
  </si>
  <si>
    <t>Keskusta Lieto</t>
  </si>
  <si>
    <t>2643</t>
  </si>
  <si>
    <t>T2H Rakennus Oy | Ihania koteja</t>
  </si>
  <si>
    <t>https://www.t2h.fi/</t>
  </si>
  <si>
    <t>Lieto</t>
  </si>
  <si>
    <t>4670</t>
  </si>
  <si>
    <t>REMAX Verstas | Pohjolan LKV Oy</t>
  </si>
  <si>
    <t>1969</t>
  </si>
  <si>
    <t>Akaa</t>
  </si>
  <si>
    <t>87 000 €</t>
  </si>
  <si>
    <t>129 000 €</t>
  </si>
  <si>
    <t>863</t>
  </si>
  <si>
    <t>TA-Asumisoikeus Oy</t>
  </si>
  <si>
    <t>http://www.ta.fi/</t>
  </si>
  <si>
    <t>2016</t>
  </si>
  <si>
    <t>Viikki Helsinki</t>
  </si>
  <si>
    <t>2013</t>
  </si>
  <si>
    <t>Viikki</t>
  </si>
  <si>
    <t>3669</t>
  </si>
  <si>
    <t>Sp-Koti | Satukodit Oy LKV</t>
  </si>
  <si>
    <t>http://www.sp-koti.fi/</t>
  </si>
  <si>
    <t>1955</t>
  </si>
  <si>
    <t>2024</t>
  </si>
  <si>
    <t>2022</t>
  </si>
  <si>
    <t>2023</t>
  </si>
  <si>
    <t>Kerava</t>
  </si>
  <si>
    <t>Jaakkola</t>
  </si>
  <si>
    <t>Palokka Jyväskylä</t>
  </si>
  <si>
    <t>Palokka</t>
  </si>
  <si>
    <t>3h + k + s</t>
  </si>
  <si>
    <t>Kivistö Vantaa</t>
  </si>
  <si>
    <t>Kivistö</t>
  </si>
  <si>
    <t>Mellunkylä Helsinki</t>
  </si>
  <si>
    <t>Mellunkylä</t>
  </si>
  <si>
    <t>2010</t>
  </si>
  <si>
    <t>1</t>
  </si>
  <si>
    <t>1h + kt</t>
  </si>
  <si>
    <t>Asematie 6 Keskusta Siilinjärvi</t>
  </si>
  <si>
    <t>Asematie 6</t>
  </si>
  <si>
    <t>Keskusta Siilinjärvi</t>
  </si>
  <si>
    <t>Siilinjärvi</t>
  </si>
  <si>
    <t>Rovaniemi</t>
  </si>
  <si>
    <t>2h, k, s</t>
  </si>
  <si>
    <t>Niirala Kuopio</t>
  </si>
  <si>
    <t>589</t>
  </si>
  <si>
    <t>OP Koti Itä-Suomi Oy LKV, Kuopio</t>
  </si>
  <si>
    <t>1954</t>
  </si>
  <si>
    <t>Niirala</t>
  </si>
  <si>
    <t>3h, k</t>
  </si>
  <si>
    <t>1973</t>
  </si>
  <si>
    <t>4h, k, s</t>
  </si>
  <si>
    <t>https://www.aktialkv.fi/</t>
  </si>
  <si>
    <t>1977</t>
  </si>
  <si>
    <t>Inkoo</t>
  </si>
  <si>
    <t>50 000 €</t>
  </si>
  <si>
    <t>1h + kk</t>
  </si>
  <si>
    <t>Pasi Rasku</t>
  </si>
  <si>
    <t>1960</t>
  </si>
  <si>
    <t>2025-12-19</t>
  </si>
  <si>
    <t>https://roof.fi/</t>
  </si>
  <si>
    <t>1991</t>
  </si>
  <si>
    <t>Nokia</t>
  </si>
  <si>
    <t>79 000 €</t>
  </si>
  <si>
    <t>185 000 €</t>
  </si>
  <si>
    <t>155 000 €</t>
  </si>
  <si>
    <t>325 000 €</t>
  </si>
  <si>
    <t>315 000 €</t>
  </si>
  <si>
    <t>235 000 €</t>
  </si>
  <si>
    <t>1957</t>
  </si>
  <si>
    <t>360 000 €</t>
  </si>
  <si>
    <t>1988</t>
  </si>
  <si>
    <t>139 900 €</t>
  </si>
  <si>
    <t>1964</t>
  </si>
  <si>
    <t>55 000 €</t>
  </si>
  <si>
    <t>1908</t>
  </si>
  <si>
    <t>132 000 €</t>
  </si>
  <si>
    <t>97 000 €</t>
  </si>
  <si>
    <t>1961</t>
  </si>
  <si>
    <t>82 000 €</t>
  </si>
  <si>
    <t>274 900 €</t>
  </si>
  <si>
    <t>2003</t>
  </si>
  <si>
    <t>Korso Vantaa</t>
  </si>
  <si>
    <t>3609</t>
  </si>
  <si>
    <t>NiceHouse LKV Oy</t>
  </si>
  <si>
    <t>https://www.nicehouselkv.fi/</t>
  </si>
  <si>
    <t>1974</t>
  </si>
  <si>
    <t>Korso</t>
  </si>
  <si>
    <t>249 000 €</t>
  </si>
  <si>
    <t>Maunula Helsinki</t>
  </si>
  <si>
    <t>Maunula</t>
  </si>
  <si>
    <t>2026-06-01</t>
  </si>
  <si>
    <t>641</t>
  </si>
  <si>
    <t>REMAX OmaanKotiin | Kiinteistönvälitys OmaanKotiin Oy LKV</t>
  </si>
  <si>
    <t>Raisio</t>
  </si>
  <si>
    <t>149 000 €</t>
  </si>
  <si>
    <t>Lipporanta Oulu</t>
  </si>
  <si>
    <t>2562</t>
  </si>
  <si>
    <t>Bo LKV Oulu</t>
  </si>
  <si>
    <t>Oulu</t>
  </si>
  <si>
    <t>Lipporanta</t>
  </si>
  <si>
    <t>198 000 €</t>
  </si>
  <si>
    <t>2026-04-16</t>
  </si>
  <si>
    <t>Tuira Oulu</t>
  </si>
  <si>
    <t>Tuira</t>
  </si>
  <si>
    <t>278 000 €</t>
  </si>
  <si>
    <t>1976</t>
  </si>
  <si>
    <t>Karkkila</t>
  </si>
  <si>
    <t>420</t>
  </si>
  <si>
    <t>OP Koti Sisä-Suomi Oy LKV, Tampere Keskusta</t>
  </si>
  <si>
    <t>Olli Majuri</t>
  </si>
  <si>
    <t>2037</t>
  </si>
  <si>
    <t>Asuntokolmio Oy, Oulu</t>
  </si>
  <si>
    <t>https://www.asuntokolmio.fi/</t>
  </si>
  <si>
    <t>Tyrnävä</t>
  </si>
  <si>
    <t>33 000 €</t>
  </si>
  <si>
    <t>89 000 €</t>
  </si>
  <si>
    <t>Nurmijärvi</t>
  </si>
  <si>
    <t>349 000 €</t>
  </si>
  <si>
    <t>2026-04-30</t>
  </si>
  <si>
    <t>1981</t>
  </si>
  <si>
    <t>3350</t>
  </si>
  <si>
    <t>Kiinteistömaailma Lempäälä Ideapark | Tammelantorin Asuntopalvelu Oy</t>
  </si>
  <si>
    <t>Mika Ranne</t>
  </si>
  <si>
    <t>239 000 €</t>
  </si>
  <si>
    <t>3359</t>
  </si>
  <si>
    <t>Talonhenki LKV</t>
  </si>
  <si>
    <t>http://www.talonhenkilkv.fi</t>
  </si>
  <si>
    <t>2008</t>
  </si>
  <si>
    <t>Keuruu</t>
  </si>
  <si>
    <t>1971</t>
  </si>
  <si>
    <t>119 000 €</t>
  </si>
  <si>
    <t>2005</t>
  </si>
  <si>
    <t>513</t>
  </si>
  <si>
    <t>REMAX Center | PMJ-Yhtiöt Oy</t>
  </si>
  <si>
    <t>Pirkkala</t>
  </si>
  <si>
    <t>2815</t>
  </si>
  <si>
    <t>Broo LKV</t>
  </si>
  <si>
    <t>https://www.broo.fi/</t>
  </si>
  <si>
    <t>114 000 €</t>
  </si>
  <si>
    <t>Keskusta Turku</t>
  </si>
  <si>
    <t>4561</t>
  </si>
  <si>
    <t>Roof LKV Varsinais-Suomi Oy | Turku</t>
  </si>
  <si>
    <t>1928</t>
  </si>
  <si>
    <t>2026-04-10</t>
  </si>
  <si>
    <t>1h + k</t>
  </si>
  <si>
    <t>Uusimaa</t>
  </si>
  <si>
    <t>Päijät-Häme</t>
  </si>
  <si>
    <t>Kanta-Häme</t>
  </si>
  <si>
    <t>Etelä-Savo</t>
  </si>
  <si>
    <t>Keski-Suomi</t>
  </si>
  <si>
    <t>Varsinais-Suomi</t>
  </si>
  <si>
    <t>Pohjois-Savo</t>
  </si>
  <si>
    <t>Kainuu</t>
  </si>
  <si>
    <t>Pohjois-Karjala</t>
  </si>
  <si>
    <t>Pirkanmaa</t>
  </si>
  <si>
    <t>Lappi</t>
  </si>
  <si>
    <t>Estonia</t>
  </si>
  <si>
    <t>Pohjois-Pohjanmaa</t>
  </si>
  <si>
    <t>Region</t>
  </si>
  <si>
    <t>Regions</t>
  </si>
  <si>
    <t>Ahvenanmaa</t>
  </si>
  <si>
    <t>Keski-Pohjanmaa</t>
  </si>
  <si>
    <t>Kymenlaakso</t>
  </si>
  <si>
    <t>Pohjanmaa</t>
  </si>
  <si>
    <t>Satakunta</t>
  </si>
  <si>
    <t>Etelä-Karjala</t>
  </si>
  <si>
    <t>Etelä-Pohjanmaa</t>
  </si>
  <si>
    <t>City</t>
  </si>
  <si>
    <t>Sauna</t>
  </si>
  <si>
    <t>Type of Kitchen</t>
  </si>
  <si>
    <t>Type of bathrooms</t>
  </si>
  <si>
    <t>Type of Outdoor Space</t>
  </si>
  <si>
    <t>Storage</t>
  </si>
  <si>
    <t>Sipoo</t>
  </si>
  <si>
    <t>Pori</t>
  </si>
  <si>
    <t>Hanko</t>
  </si>
  <si>
    <t>Äänekoski</t>
  </si>
  <si>
    <t>Pieksämäki</t>
  </si>
  <si>
    <t>Kauhava</t>
  </si>
  <si>
    <t>Oulainen</t>
  </si>
  <si>
    <t>Imatra</t>
  </si>
  <si>
    <t>Lempäälä</t>
  </si>
  <si>
    <t>Toivakka</t>
  </si>
  <si>
    <t>Joensuu</t>
  </si>
  <si>
    <t>Haapajärvi</t>
  </si>
  <si>
    <t>Ylöjärvi</t>
  </si>
  <si>
    <t>Jämsä</t>
  </si>
  <si>
    <t>Riihimäki</t>
  </si>
  <si>
    <t>Kankaanpää</t>
  </si>
  <si>
    <t>Järvenpää</t>
  </si>
  <si>
    <t>Muurame</t>
  </si>
  <si>
    <t>Valkeakoski</t>
  </si>
  <si>
    <t>Rauma</t>
  </si>
  <si>
    <t>Kemijärvi</t>
  </si>
  <si>
    <t>Seinäjoki</t>
  </si>
  <si>
    <t>Kangasala</t>
  </si>
  <si>
    <t>Orivesi</t>
  </si>
  <si>
    <t>Raahe</t>
  </si>
  <si>
    <t>Kempele</t>
  </si>
  <si>
    <t>Kokkola</t>
  </si>
  <si>
    <t>Kaarina</t>
  </si>
  <si>
    <t>Parainen</t>
  </si>
  <si>
    <t>Juva</t>
  </si>
  <si>
    <t>Tuusula</t>
  </si>
  <si>
    <t>Hollola</t>
  </si>
  <si>
    <t>Joutsa</t>
  </si>
  <si>
    <t>Laitila</t>
  </si>
  <si>
    <t>Kouvola</t>
  </si>
  <si>
    <t>Ulvila</t>
  </si>
  <si>
    <t>Kokemäki</t>
  </si>
  <si>
    <t>Janakkala</t>
  </si>
  <si>
    <t>Mikkeli</t>
  </si>
  <si>
    <t>Kajaani</t>
  </si>
  <si>
    <t>Laukaa</t>
  </si>
  <si>
    <t>Loviisa</t>
  </si>
  <si>
    <t>Mäntsälä</t>
  </si>
  <si>
    <t>Heinola</t>
  </si>
  <si>
    <t>Pöytyä</t>
  </si>
  <si>
    <t>Vihti</t>
  </si>
  <si>
    <t>Kuusamo</t>
  </si>
  <si>
    <t>Nakkila</t>
  </si>
  <si>
    <t>Alavus</t>
  </si>
  <si>
    <t>Simo</t>
  </si>
  <si>
    <t>Muhos</t>
  </si>
  <si>
    <t>Kuhmo</t>
  </si>
  <si>
    <t>Vaasa</t>
  </si>
  <si>
    <t>Kruunupyy</t>
  </si>
  <si>
    <t>Sastamala</t>
  </si>
  <si>
    <t>Outokumpu</t>
  </si>
  <si>
    <t>Mänttä-Vilppula</t>
  </si>
  <si>
    <t>Kirkkonummi</t>
  </si>
  <si>
    <t>Kurikka</t>
  </si>
  <si>
    <t>Mustasaari</t>
  </si>
  <si>
    <t>Urjala</t>
  </si>
  <si>
    <t>Kinnula</t>
  </si>
  <si>
    <t>Uurainen</t>
  </si>
  <si>
    <t>Ilmajoki</t>
  </si>
  <si>
    <t>Kotka</t>
  </si>
  <si>
    <t>Hamina</t>
  </si>
  <si>
    <t>Kalajoki</t>
  </si>
  <si>
    <t>Varkaus</t>
  </si>
  <si>
    <t>Hattula</t>
  </si>
  <si>
    <t>Raasepori</t>
  </si>
  <si>
    <t>Pornainen</t>
  </si>
  <si>
    <t>Ii</t>
  </si>
  <si>
    <t>Kannus</t>
  </si>
  <si>
    <t>Ruovesi</t>
  </si>
  <si>
    <t>Paimio</t>
  </si>
  <si>
    <t>Mynämäki</t>
  </si>
  <si>
    <t>Tl (Tarvasjoki, antiguo municipio)</t>
  </si>
  <si>
    <t>Naantali</t>
  </si>
  <si>
    <t>Lappeenranta</t>
  </si>
  <si>
    <t>Asikkala</t>
  </si>
  <si>
    <t>Aura</t>
  </si>
  <si>
    <t>Iitti</t>
  </si>
  <si>
    <t>Savonlinna</t>
  </si>
  <si>
    <t>Luumäki</t>
  </si>
  <si>
    <t>Uusikaupunki</t>
  </si>
  <si>
    <t>Tornio</t>
  </si>
  <si>
    <t>Kärsämäki</t>
  </si>
  <si>
    <t>Ylivieska</t>
  </si>
  <si>
    <t>Pyhäjärvi</t>
  </si>
  <si>
    <t>Keminmaa</t>
  </si>
  <si>
    <t>Pietarsaari</t>
  </si>
  <si>
    <t>Kärkölä</t>
  </si>
  <si>
    <t>Padasjoki</t>
  </si>
  <si>
    <t>Hämeenkyrö</t>
  </si>
  <si>
    <t>Eura</t>
  </si>
  <si>
    <t>Pyhäranta</t>
  </si>
  <si>
    <t>Kaustinen</t>
  </si>
  <si>
    <t>Kemiönsaari</t>
  </si>
  <si>
    <t>Pyhäjoki</t>
  </si>
  <si>
    <t>Liperi</t>
  </si>
  <si>
    <t>Lapua</t>
  </si>
  <si>
    <t>Nurmes</t>
  </si>
  <si>
    <t>Forssa</t>
  </si>
  <si>
    <t>Kauhajoki</t>
  </si>
  <si>
    <t>Turkki</t>
  </si>
  <si>
    <t>Esse</t>
  </si>
  <si>
    <t>Koski TI</t>
  </si>
  <si>
    <t>Tyttelikatu 8 Hirvensalo Turku</t>
  </si>
  <si>
    <t>Tyttelikatu 8</t>
  </si>
  <si>
    <t>Hirvensalo Turku</t>
  </si>
  <si>
    <t>3741</t>
  </si>
  <si>
    <t>Strand Properties | Mia Kantonen LKV Oy</t>
  </si>
  <si>
    <t>https://strandproperties.com/fi/strand-suomi/</t>
  </si>
  <si>
    <t>Kantonen Mia</t>
  </si>
  <si>
    <t>2012</t>
  </si>
  <si>
    <t>Hirvensalo</t>
  </si>
  <si>
    <t>20068965</t>
  </si>
  <si>
    <t>https://d3ls91xgksobn.cloudfront.net/400x300/etuovimedia/images/property/import/428/2545428/0e76b9541118d347871c0e0e51d244c4/3dc96e5e1abc46cc9d8282ed3d713f79/ORIGINAL.jpeg</t>
  </si>
  <si>
    <t>https://d3ls91xgksobn.cloudfront.net/1200x900/etuovimedia/images/property/import/428/2545428/0e76b9541118d347871c0e0e51d244c4/3dc96e5e1abc46cc9d8282ed3d713f79/ORIGINAL.jpeg</t>
  </si>
  <si>
    <t>https://d3ls91xgksobn.cloudfront.net/1200x900/etuovimedia/images/property/import/428/2545428/0e76b9541118d347871c0e0e51d244c4/ee1c56fd235ff2bb70487db046e1eab8/ORIGINAL.jpeg</t>
  </si>
  <si>
    <t>2545428</t>
  </si>
  <si>
    <t>https://www.etuovi.com/kohde/20068965</t>
  </si>
  <si>
    <t>498 000 €</t>
  </si>
  <si>
    <t>2026-04-18</t>
  </si>
  <si>
    <t>5h, oh, k, khh, kph / wc, wc, saunaosasto, aula, harraste-eteinen, vh, autokatos</t>
  </si>
  <si>
    <t>2026-06-10T14:03:05.407Z</t>
  </si>
  <si>
    <t>Detached House (Omakotitalo) — 5h, oh, k, khh, kph / wc, wc, saunaosasto, aula, harraste-eteinen, vh, autokatos — 201 m² — Hirvensalo Turku</t>
  </si>
  <si>
    <t>Tukkitie 8 B Heikinlaakso Helsinki</t>
  </si>
  <si>
    <t>Tukkitie 8 B</t>
  </si>
  <si>
    <t>Heikinlaakso Helsinki</t>
  </si>
  <si>
    <t>109</t>
  </si>
  <si>
    <t>Huoneistokeskus Oulunkylä, Pohjois- ja Itä-Helsinki</t>
  </si>
  <si>
    <t>1968</t>
  </si>
  <si>
    <t>Heikinlaakso</t>
  </si>
  <si>
    <t>80512400</t>
  </si>
  <si>
    <t>https://d3ls91xgksobn.cloudfront.net/400x300/etuovimedia/images/property/import/627/2609627/0e76b9541118d347871c0e0e51d244c4/19ba7d025924fdd937d559a166e700bb/ORIGINAL.jpeg</t>
  </si>
  <si>
    <t>https://d3ls91xgksobn.cloudfront.net/1200x900/etuovimedia/images/property/import/627/2609627/0e76b9541118d347871c0e0e51d244c4/19ba7d025924fdd937d559a166e700bb/ORIGINAL.jpeg</t>
  </si>
  <si>
    <t>2609627</t>
  </si>
  <si>
    <t>https://www.etuovi.com/kohde/80512400</t>
  </si>
  <si>
    <t>387 000 €</t>
  </si>
  <si>
    <t>2026-06-10</t>
  </si>
  <si>
    <t>As A: 4h, k, kh, vh. As B: 2h, avok, kh, vh.</t>
  </si>
  <si>
    <t>2026-06-10T14:03:05.502Z</t>
  </si>
  <si>
    <t>Semi-detached (Paritalo) — As A: 4h, k, kh, vh. As B: 2h, avok, kh, vh. — 177 m² — Heikinlaakso Helsinki</t>
  </si>
  <si>
    <t>Boxintie 191 Box, Pigby Sipoo</t>
  </si>
  <si>
    <t>Boxintie 191</t>
  </si>
  <si>
    <t>Box, Pigby Sipoo</t>
  </si>
  <si>
    <t>3512</t>
  </si>
  <si>
    <t>REMAX Kuuma | MaaKarrit Oy</t>
  </si>
  <si>
    <t>Maarit Rope</t>
  </si>
  <si>
    <t>1990</t>
  </si>
  <si>
    <t>Box, Pigby</t>
  </si>
  <si>
    <t>80503807</t>
  </si>
  <si>
    <t>https://d3ls91xgksobn.cloudfront.net/400x300/etuovimedia/images/property/import/626/2609626/0e76b9541118d347871c0e0e51d244c4/3bc29242c44551cff7521c4902a2c5a7/ORIGINAL.jpeg</t>
  </si>
  <si>
    <t>https://d3ls91xgksobn.cloudfront.net/1200x900/etuovimedia/images/property/import/626/2609626/0e76b9541118d347871c0e0e51d244c4/3bc29242c44551cff7521c4902a2c5a7/ORIGINAL.jpeg</t>
  </si>
  <si>
    <t>https://d3ls91xgksobn.cloudfront.net/1200x900/etuovimedia/images/property/import/626/2609626/0e76b9541118d347871c0e0e51d244c4/e6bab1bead77139120579ffa1aa29d01/ORIGINAL.jpeg</t>
  </si>
  <si>
    <t>2609626</t>
  </si>
  <si>
    <t>https://www.etuovi.com/kohde/80503807</t>
  </si>
  <si>
    <t>oh + 3mh + k + s + kph + wc + vh + kellari + autotalli + varasto</t>
  </si>
  <si>
    <t>2026-06-10T14:03:05.552Z</t>
  </si>
  <si>
    <t>Detached House (Omakotitalo) — oh + 3mh + k + s + kph + wc + vh + kellari + autotalli + varasto — 145 m² — Box, Pigby Sipoo</t>
  </si>
  <si>
    <t>Korteniityntie 51 Korteniitty Jyväskylä</t>
  </si>
  <si>
    <t>Korteniityntie 51</t>
  </si>
  <si>
    <t>Korteniitty Jyväskylä</t>
  </si>
  <si>
    <t>Korteniitty</t>
  </si>
  <si>
    <t>cy7442</t>
  </si>
  <si>
    <t>https://d3ls91xgksobn.cloudfront.net/400x300/etuovimedia/images/property/import/84/2381084/0e76b9541118d347871c0e0e51d244c4/808dd1e843a1c8fc0534730b919bcdcd/ORIGINAL.jpeg</t>
  </si>
  <si>
    <t>https://d3ls91xgksobn.cloudfront.net/1200x900/etuovimedia/images/property/import/84/2381084/0e76b9541118d347871c0e0e51d244c4/808dd1e843a1c8fc0534730b919bcdcd/ORIGINAL.jpeg</t>
  </si>
  <si>
    <t>2381084</t>
  </si>
  <si>
    <t>https://www.etuovi.com/kohde/cy7442</t>
  </si>
  <si>
    <t>37 749,9 €</t>
  </si>
  <si>
    <t>2025-11-03</t>
  </si>
  <si>
    <t>2026-06-10T14:03:05.597Z</t>
  </si>
  <si>
    <t>Apartment (Kerrostalo) — 3h + kt + s — 77 m² — Korteniitty Jyväskylä</t>
  </si>
  <si>
    <t>Kivisillantie 5 Kaijonlahti Oulu</t>
  </si>
  <si>
    <t>Kivisillantie 5</t>
  </si>
  <si>
    <t>Kaijonlahti Oulu</t>
  </si>
  <si>
    <t>1051</t>
  </si>
  <si>
    <t>Kiinteistömaailma Oulu Rotuaari | Rotuaarin Kodit Oy</t>
  </si>
  <si>
    <t>Niko Isola</t>
  </si>
  <si>
    <t>Kaijonlahti</t>
  </si>
  <si>
    <t>1411782</t>
  </si>
  <si>
    <t>https://d3ls91xgksobn.cloudfront.net/400x300/etuovimedia/images/property/import/484/2509484/0e76b9541118d347871c0e0e51d244c4/dc349d3b1b7af03eb6f793b4a1eb9cc4/ORIGINAL.jpeg</t>
  </si>
  <si>
    <t>https://d3ls91xgksobn.cloudfront.net/1200x900/etuovimedia/images/property/import/484/2509484/0e76b9541118d347871c0e0e51d244c4/dc349d3b1b7af03eb6f793b4a1eb9cc4/ORIGINAL.jpeg</t>
  </si>
  <si>
    <t>https://d3ls91xgksobn.cloudfront.net/1200x900/etuovimedia/images/property/import/484/2509484/0e76b9541118d347871c0e0e51d244c4/4727240887a4b5bdb24fc419764bdcbb/ORIGINAL.jpeg</t>
  </si>
  <si>
    <t>2509484</t>
  </si>
  <si>
    <t>https://www.etuovi.com/kohde/1411782</t>
  </si>
  <si>
    <t>200 000 €</t>
  </si>
  <si>
    <t>2026-03-18</t>
  </si>
  <si>
    <t>4h, k, kph, s, erillinen wc, lasitettu terassi</t>
  </si>
  <si>
    <t>2026-06-10T14:03:05.645Z</t>
  </si>
  <si>
    <t>Semi-detached (Paritalo) — 4h, k, kph, s, erillinen wc, lasitettu terassi — 91 m² — Kaijonlahti Oulu</t>
  </si>
  <si>
    <t>Antinkatu 21 b B Keskusta Pori</t>
  </si>
  <si>
    <t>Antinkatu 21 b B</t>
  </si>
  <si>
    <t>Keskusta Pori</t>
  </si>
  <si>
    <t>407</t>
  </si>
  <si>
    <t>OP Koti Länsi-Suomi Oy, Pori</t>
  </si>
  <si>
    <t>Jaana Aalto</t>
  </si>
  <si>
    <t>611929</t>
  </si>
  <si>
    <t>https://d3ls91xgksobn.cloudfront.net/400x300/etuovimedia/images/property/import/221/2447221/0e76b9541118d347871c0e0e51d244c4/95904620591a9d41523434536d99ce25/ORIGINAL.jpeg</t>
  </si>
  <si>
    <t>https://d3ls91xgksobn.cloudfront.net/1200x900/etuovimedia/images/property/import/221/2447221/0e76b9541118d347871c0e0e51d244c4/95904620591a9d41523434536d99ce25/ORIGINAL.jpeg</t>
  </si>
  <si>
    <t>https://d3ls91xgksobn.cloudfront.net/1200x900/etuovimedia/images/property/import/221/2447221/0e76b9541118d347871c0e0e51d244c4/ce09df90c15d5d8156bf875a8eda7f5b/ORIGINAL.jpeg</t>
  </si>
  <si>
    <t>2447221</t>
  </si>
  <si>
    <t>https://www.etuovi.com/kohde/611929</t>
  </si>
  <si>
    <t>59 000 €</t>
  </si>
  <si>
    <t>2026-01-16</t>
  </si>
  <si>
    <t>2h, kk, kph, vh</t>
  </si>
  <si>
    <t>2026-06-10T14:03:05.691Z</t>
  </si>
  <si>
    <t>Apartment (Kerrostalo) — 2h, kk, kph, vh — 38 m² — Keskusta Pori</t>
  </si>
  <si>
    <t>Kaplastie 3 Saarenkylä Rovaniemi</t>
  </si>
  <si>
    <t>Kaplastie 3</t>
  </si>
  <si>
    <t>Saarenkylä Rovaniemi</t>
  </si>
  <si>
    <t>3621</t>
  </si>
  <si>
    <t>OY Taiga LKV</t>
  </si>
  <si>
    <t>https://www.taigalkv.fi/</t>
  </si>
  <si>
    <t>Mika Kauttio</t>
  </si>
  <si>
    <t>1978</t>
  </si>
  <si>
    <t>Saarenkylä</t>
  </si>
  <si>
    <t>80509224</t>
  </si>
  <si>
    <t>https://d3ls91xgksobn.cloudfront.net/400x300/etuovimedia/images/property/import/625/2609625/0e76b9541118d347871c0e0e51d244c4/fb9d5fa236438e7a795888e1bb39069e/ORIGINAL.jpeg</t>
  </si>
  <si>
    <t>https://d3ls91xgksobn.cloudfront.net/1200x900/etuovimedia/images/property/import/625/2609625/0e76b9541118d347871c0e0e51d244c4/fb9d5fa236438e7a795888e1bb39069e/ORIGINAL.jpeg</t>
  </si>
  <si>
    <t>https://d3ls91xgksobn.cloudfront.net/1200x900/etuovimedia/images/property/import/625/2609625/0e76b9541118d347871c0e0e51d244c4/2a8a888a4ce5b1fe612af0784228b812/ORIGINAL.jpeg</t>
  </si>
  <si>
    <t>2609625</t>
  </si>
  <si>
    <t>https://www.etuovi.com/kohde/80509224</t>
  </si>
  <si>
    <t>195 000 €</t>
  </si>
  <si>
    <t>3mh, k, oh, kph, s, wc, vh</t>
  </si>
  <si>
    <t>2026-06-10T14:03:05.733Z</t>
  </si>
  <si>
    <t>Detached House (Omakotitalo) — 3mh, k, oh, kph, s, wc, vh — 100 m² — Saarenkylä Rovaniemi</t>
  </si>
  <si>
    <t>Klovinrinne 11 B Taavinkylä Espoo</t>
  </si>
  <si>
    <t>Klovinrinne 11 B</t>
  </si>
  <si>
    <t>Taavinkylä Espoo</t>
  </si>
  <si>
    <t>3592</t>
  </si>
  <si>
    <t>Blok | Magenta Homes Oy</t>
  </si>
  <si>
    <t>1980</t>
  </si>
  <si>
    <t>Taavinkylä</t>
  </si>
  <si>
    <t>fs4933</t>
  </si>
  <si>
    <t>https://d3ls91xgksobn.cloudfront.net/400x300/etuovimedia/images/property/import/624/2609624/0e76b9541118d347871c0e0e51d244c4/5f35c5137b84d975dcffdbb690572624/ORIGINAL.jpeg</t>
  </si>
  <si>
    <t>https://d3ls91xgksobn.cloudfront.net/1200x900/etuovimedia/images/property/import/624/2609624/0e76b9541118d347871c0e0e51d244c4/5f35c5137b84d975dcffdbb690572624/ORIGINAL.jpeg</t>
  </si>
  <si>
    <t>2609624</t>
  </si>
  <si>
    <t>https://www.etuovi.com/kohde/fs4933</t>
  </si>
  <si>
    <t>469 000 €</t>
  </si>
  <si>
    <t>5h + k + kph + s + erill.wc + vh + v + ter + piha</t>
  </si>
  <si>
    <t>2026-06-10T14:03:05.805Z</t>
  </si>
  <si>
    <t>Semi-detached (Paritalo) — 5h + k + kph + s + erill.wc + vh + v + ter + piha — 129 m² — Taavinkylä Espoo</t>
  </si>
  <si>
    <t>Hoitajankuja 6 Tynninharju Lohja</t>
  </si>
  <si>
    <t>Hoitajankuja 6</t>
  </si>
  <si>
    <t>Tynninharju Lohja</t>
  </si>
  <si>
    <t>4675</t>
  </si>
  <si>
    <t>Sp-Koti Valoa | Asuntohorisontti Oy</t>
  </si>
  <si>
    <t>1984</t>
  </si>
  <si>
    <t>Tynninharju</t>
  </si>
  <si>
    <t>80500507</t>
  </si>
  <si>
    <t>https://d3ls91xgksobn.cloudfront.net/400x300/etuovimedia/images/property/import/300/2546300/0e76b9541118d347871c0e0e51d244c4/70b124e68d04d3d8632e1812f6ac6eba/ORIGINAL.jpeg</t>
  </si>
  <si>
    <t>https://d3ls91xgksobn.cloudfront.net/1200x900/etuovimedia/images/property/import/300/2546300/0e76b9541118d347871c0e0e51d244c4/70b124e68d04d3d8632e1812f6ac6eba/ORIGINAL.jpeg</t>
  </si>
  <si>
    <t>2546300</t>
  </si>
  <si>
    <t>https://www.etuovi.com/kohde/80500507</t>
  </si>
  <si>
    <t>2026-04-20</t>
  </si>
  <si>
    <t>4h + k + askarteluhuone + s + talouskellari + at</t>
  </si>
  <si>
    <t>2026-06-10T14:03:05.843Z</t>
  </si>
  <si>
    <t>Detached House (Omakotitalo) — 4h + k + askarteluhuone + s + talouskellari + at — 100.4 m² — Tynninharju Lohja</t>
  </si>
  <si>
    <t>Linjakatu 41 Keski-Hanko Hanko</t>
  </si>
  <si>
    <t>Linjakatu 41</t>
  </si>
  <si>
    <t>Keski-Hanko Hanko</t>
  </si>
  <si>
    <t>222</t>
  </si>
  <si>
    <t>Aktia Kiinteistönvälitys Oy, Hanko, Aktia Fastighetsförmedling Ab</t>
  </si>
  <si>
    <t>Keski-Hanko</t>
  </si>
  <si>
    <t>20803615</t>
  </si>
  <si>
    <t>https://d3ls91xgksobn.cloudfront.net/400x300/etuovimedia/images/property/import/614/2609614/0e76b9541118d347871c0e0e51d244c4/852c88fc62d996bc6356738f499d3e48/ORIGINAL.jpeg</t>
  </si>
  <si>
    <t>https://d3ls91xgksobn.cloudfront.net/1200x900/etuovimedia/images/property/import/614/2609614/0e76b9541118d347871c0e0e51d244c4/852c88fc62d996bc6356738f499d3e48/ORIGINAL.jpeg</t>
  </si>
  <si>
    <t>2609614</t>
  </si>
  <si>
    <t>https://www.etuovi.com/kohde/20803615</t>
  </si>
  <si>
    <t>175 000 €</t>
  </si>
  <si>
    <t>5h, k, wc, sauna, suihkuhuone, pesuhuone, verstas, autotalli.</t>
  </si>
  <si>
    <t>2026-06-10T14:03:05.889Z</t>
  </si>
  <si>
    <t>Detached House (Omakotitalo) — 5h, k, wc, sauna, suihkuhuone, pesuhuone, verstas, autotalli. — 100 m² — Keski-Hanko Hanko</t>
  </si>
  <si>
    <t>Snellmaninkatu 6 Keskusta Äänekoski</t>
  </si>
  <si>
    <t>Snellmaninkatu 6</t>
  </si>
  <si>
    <t>Keskusta Äänekoski</t>
  </si>
  <si>
    <t>1359</t>
  </si>
  <si>
    <t>Kiinteistövälitys FLOW LKV</t>
  </si>
  <si>
    <t>https://www.flowlkv.fi/</t>
  </si>
  <si>
    <t>21019761</t>
  </si>
  <si>
    <t>https://d3ls91xgksobn.cloudfront.net/400x300/etuovimedia/images/property/import/615/2609615/0e76b9541118d347871c0e0e51d244c4/365516fc1948f0482fbfd5b18120a561/ORIGINAL.jpeg</t>
  </si>
  <si>
    <t>https://d3ls91xgksobn.cloudfront.net/1200x900/etuovimedia/images/property/import/615/2609615/0e76b9541118d347871c0e0e51d244c4/365516fc1948f0482fbfd5b18120a561/ORIGINAL.jpeg</t>
  </si>
  <si>
    <t>2609615</t>
  </si>
  <si>
    <t>https://www.etuovi.com/kohde/21019761</t>
  </si>
  <si>
    <t>58 000 €</t>
  </si>
  <si>
    <t>2026-06-10T14:03:05.922Z</t>
  </si>
  <si>
    <t>Apartment (Kerrostalo) — 3h + k — 69 m² — Keskusta Äänekoski</t>
  </si>
  <si>
    <t>Kaunokkikuja 1 Länsirinne Pieksämäki</t>
  </si>
  <si>
    <t>Kaunokkikuja 1</t>
  </si>
  <si>
    <t>Länsirinne Pieksämäki</t>
  </si>
  <si>
    <t>1194</t>
  </si>
  <si>
    <t>Kiinteistönvälitys JV Koti Oy</t>
  </si>
  <si>
    <t>Länsirinne</t>
  </si>
  <si>
    <t>21520240</t>
  </si>
  <si>
    <t>https://d3ls91xgksobn.cloudfront.net/400x300/etuovimedia/images/property/import/613/2609613/0e76b9541118d347871c0e0e51d244c4/3e7b3d056bb71485143b89c1f45ae021/ORIGINAL.jpeg</t>
  </si>
  <si>
    <t>https://d3ls91xgksobn.cloudfront.net/1200x900/etuovimedia/images/property/import/613/2609613/0e76b9541118d347871c0e0e51d244c4/3e7b3d056bb71485143b89c1f45ae021/ORIGINAL.jpeg</t>
  </si>
  <si>
    <t>2609613</t>
  </si>
  <si>
    <t>https://www.etuovi.com/kohde/21520240</t>
  </si>
  <si>
    <t>16 700 €</t>
  </si>
  <si>
    <t>1h, kk</t>
  </si>
  <si>
    <t>2026-06-10T14:03:05.955Z</t>
  </si>
  <si>
    <t>Apartment (Kerrostalo) — 1h, kk — 31 m² — Länsirinne Pieksämäki</t>
  </si>
  <si>
    <t>Kariniementie 20 Nenäinniemi Jyväskylä</t>
  </si>
  <si>
    <t>Kariniementie 20</t>
  </si>
  <si>
    <t>Nenäinniemi Jyväskylä</t>
  </si>
  <si>
    <t>255</t>
  </si>
  <si>
    <t>Koivu LKV Oy</t>
  </si>
  <si>
    <t>https://www.koivulkv.fi/</t>
  </si>
  <si>
    <t>Nenäinniemi</t>
  </si>
  <si>
    <t>49017044</t>
  </si>
  <si>
    <t>https://d3ls91xgksobn.cloudfront.net/400x300/etuovimedia/images/property/import/611/2609611/0e76b9541118d347871c0e0e51d244c4/8f07c23064b41be9bfc0f605b26fe350/ORIGINAL.jpeg</t>
  </si>
  <si>
    <t>https://d3ls91xgksobn.cloudfront.net/1200x900/etuovimedia/images/property/import/611/2609611/0e76b9541118d347871c0e0e51d244c4/8f07c23064b41be9bfc0f605b26fe350/ORIGINAL.jpeg</t>
  </si>
  <si>
    <t>2609611</t>
  </si>
  <si>
    <t>https://www.etuovi.com/kohde/49017044</t>
  </si>
  <si>
    <t>3h + k + kph + s + 2wc + ter</t>
  </si>
  <si>
    <t>2026-06-10T14:03:05.998Z</t>
  </si>
  <si>
    <t>Row House (Rivitalo) — 3h + k + kph + s + 2wc + ter — 73 m² — Nenäinniemi Jyväskylä</t>
  </si>
  <si>
    <t>Vaajatie 31 L Kiviniemi Oulu</t>
  </si>
  <si>
    <t>Vaajatie 31 L</t>
  </si>
  <si>
    <t>Kiviniemi Oulu</t>
  </si>
  <si>
    <t>Kiviniemi</t>
  </si>
  <si>
    <t>fs4899</t>
  </si>
  <si>
    <t>https://d3ls91xgksobn.cloudfront.net/400x300/etuovimedia/images/property/import/610/2609610/0e76b9541118d347871c0e0e51d244c4/41d164e7bb697e88057f0bf819629b06/ORIGINAL.jpeg</t>
  </si>
  <si>
    <t>https://d3ls91xgksobn.cloudfront.net/1200x900/etuovimedia/images/property/import/610/2609610/0e76b9541118d347871c0e0e51d244c4/41d164e7bb697e88057f0bf819629b06/ORIGINAL.jpeg</t>
  </si>
  <si>
    <t>2609610</t>
  </si>
  <si>
    <t>https://www.etuovi.com/kohde/fs4899</t>
  </si>
  <si>
    <t>234 000 €</t>
  </si>
  <si>
    <t>Aarne Mäkelä</t>
  </si>
  <si>
    <t>3h + tupak + khh + s + wc + lasp + wc</t>
  </si>
  <si>
    <t>2026-06-10T14:03:06.059Z</t>
  </si>
  <si>
    <t>SEPARATE_HOUSE — 3h + tupak + khh + s + wc + lasp + wc — 76 m² — Kiviniemi Oulu</t>
  </si>
  <si>
    <t>Uudenmaankatu 6 a As Keskusta Turku</t>
  </si>
  <si>
    <t>Uudenmaankatu 6 a As</t>
  </si>
  <si>
    <t>Minna Särkkä</t>
  </si>
  <si>
    <t>613164</t>
  </si>
  <si>
    <t>https://d3ls91xgksobn.cloudfront.net/400x300/etuovimedia/images/property/import/785/2472785/0e76b9541118d347871c0e0e51d244c4/e2e3bb9f86d72e9948563c7288e7bb47/ORIGINAL.jpeg</t>
  </si>
  <si>
    <t>https://d3ls91xgksobn.cloudfront.net/1200x900/etuovimedia/images/property/import/785/2472785/0e76b9541118d347871c0e0e51d244c4/e2e3bb9f86d72e9948563c7288e7bb47/ORIGINAL.jpeg</t>
  </si>
  <si>
    <t>https://d3ls91xgksobn.cloudfront.net/1200x900/etuovimedia/images/property/import/785/2472785/0e76b9541118d347871c0e0e51d244c4/8f3bea79b6767fcfd92dce9f014d9046/ORIGINAL.jpeg</t>
  </si>
  <si>
    <t>2472785</t>
  </si>
  <si>
    <t>https://www.etuovi.com/kohde/613164</t>
  </si>
  <si>
    <t>163 000 €</t>
  </si>
  <si>
    <t>2026-02-10</t>
  </si>
  <si>
    <t>2h + kk + s</t>
  </si>
  <si>
    <t>2026-06-10T14:03:06.098Z</t>
  </si>
  <si>
    <t>Apartment (Kerrostalo) — 2h + kk + s — 41 m² — Keskusta Turku</t>
  </si>
  <si>
    <t>Ahventie 17 Pyykösjärvi Oulu</t>
  </si>
  <si>
    <t>Ahventie 17</t>
  </si>
  <si>
    <t>Pyykösjärvi Oulu</t>
  </si>
  <si>
    <t>2930</t>
  </si>
  <si>
    <t>Toivo LKV Oy</t>
  </si>
  <si>
    <t>Pyykösjärvi</t>
  </si>
  <si>
    <t>21431769</t>
  </si>
  <si>
    <t>https://d3ls91xgksobn.cloudfront.net/400x300/etuovimedia/images/property/import/608/2609608/0e76b9541118d347871c0e0e51d244c4/e9db8d9d94d57edfbb9eb30d0a5262c9/ORIGINAL.jpeg</t>
  </si>
  <si>
    <t>https://d3ls91xgksobn.cloudfront.net/1200x900/etuovimedia/images/property/import/608/2609608/0e76b9541118d347871c0e0e51d244c4/e9db8d9d94d57edfbb9eb30d0a5262c9/ORIGINAL.jpeg</t>
  </si>
  <si>
    <t>2609608</t>
  </si>
  <si>
    <t>https://www.etuovi.com/kohde/21431769</t>
  </si>
  <si>
    <t>5 h + k + kh + s</t>
  </si>
  <si>
    <t>2026-06-10T14:03:06.155Z</t>
  </si>
  <si>
    <t>Row House (Rivitalo) — 5 h + k + kh + s — 112 m² — Pyykösjärvi Oulu</t>
  </si>
  <si>
    <t>Lammintie 33 Kauhava / Mäenpää Kauhava</t>
  </si>
  <si>
    <t>Lammintie 33</t>
  </si>
  <si>
    <t>Kauhava / Mäenpää Kauhava</t>
  </si>
  <si>
    <t>1872</t>
  </si>
  <si>
    <t>Kauhavan Kiinteistövälitys Ky</t>
  </si>
  <si>
    <t>Kauhava / Mäenpää</t>
  </si>
  <si>
    <t>20575439</t>
  </si>
  <si>
    <t>https://d3ls91xgksobn.cloudfront.net/400x300/etuovimedia/images/property/import/606/2609606/0e76b9541118d347871c0e0e51d244c4/807df151c89088265919dfd81dabd919/ORIGINAL.jpeg</t>
  </si>
  <si>
    <t>https://d3ls91xgksobn.cloudfront.net/1200x900/etuovimedia/images/property/import/606/2609606/0e76b9541118d347871c0e0e51d244c4/807df151c89088265919dfd81dabd919/ORIGINAL.jpeg</t>
  </si>
  <si>
    <t>2609606</t>
  </si>
  <si>
    <t>https://www.etuovi.com/kohde/20575439</t>
  </si>
  <si>
    <t>69 000 €</t>
  </si>
  <si>
    <t>Keittiiö + tupa + kph ja parvi</t>
  </si>
  <si>
    <t>2026-06-10T14:03:06.222Z</t>
  </si>
  <si>
    <t>Detached House (Omakotitalo) — Keittiiö + tupa + kph ja parvi — 100 m² — Kauhava / Mäenpää Kauhava</t>
  </si>
  <si>
    <t>Ahjotie 10 Lammi Hämeenlinna</t>
  </si>
  <si>
    <t>Ahjotie 10</t>
  </si>
  <si>
    <t>Lammi Hämeenlinna</t>
  </si>
  <si>
    <t>279</t>
  </si>
  <si>
    <t>Hämeenlinnan Kotijoukkue Oy</t>
  </si>
  <si>
    <t>http://www.kotijoukkue.fi/</t>
  </si>
  <si>
    <t>Lammi</t>
  </si>
  <si>
    <t>20730711</t>
  </si>
  <si>
    <t>https://d3ls91xgksobn.cloudfront.net/400x300/etuovimedia/images/property/import/605/2609605/0e76b9541118d347871c0e0e51d244c4/1078fbade922c3259017f0efe0d7aec1/ORIGINAL.jpeg</t>
  </si>
  <si>
    <t>https://d3ls91xgksobn.cloudfront.net/1200x900/etuovimedia/images/property/import/605/2609605/0e76b9541118d347871c0e0e51d244c4/1078fbade922c3259017f0efe0d7aec1/ORIGINAL.jpeg</t>
  </si>
  <si>
    <t>2609605</t>
  </si>
  <si>
    <t>https://www.etuovi.com/kohde/20730711</t>
  </si>
  <si>
    <t>5H + K + PSH / WC + S + KHH + WC + VH + Ullakko + Kat.ter. + ET + Tuulik.Var. + AT</t>
  </si>
  <si>
    <t>2026-06-10T14:03:06.264Z</t>
  </si>
  <si>
    <t>Detached House (Omakotitalo) — 5H + K + PSH / WC + S + KHH + WC + VH + Ullakko + Kat.ter. + ET + Tuulik.Var. + AT — 130 m² — Lammi Hämeenlinna</t>
  </si>
  <si>
    <t>Luisukatu 8 Tampere</t>
  </si>
  <si>
    <t>Luisukatu 8</t>
  </si>
  <si>
    <t>95</t>
  </si>
  <si>
    <t>Huoneistokeskus Tampere</t>
  </si>
  <si>
    <t>Kimmo Saarinen</t>
  </si>
  <si>
    <t>80504125</t>
  </si>
  <si>
    <t>https://d3ls91xgksobn.cloudfront.net/400x300/etuovimedia/images/property/import/604/2609604/0e76b9541118d347871c0e0e51d244c4/905992255f0bcb90cefcb4396494f15b/ORIGINAL.jpeg</t>
  </si>
  <si>
    <t>https://d3ls91xgksobn.cloudfront.net/1200x900/etuovimedia/images/property/import/604/2609604/0e76b9541118d347871c0e0e51d244c4/905992255f0bcb90cefcb4396494f15b/ORIGINAL.jpeg</t>
  </si>
  <si>
    <t>https://d3ls91xgksobn.cloudfront.net/1200x900/etuovimedia/images/property/import/604/2609604/0e76b9541118d347871c0e0e51d244c4/67667a61ab7ef83796b5f0f0639eb9c3/ORIGINAL.jpeg</t>
  </si>
  <si>
    <t>https://d3ls91xgksobn.cloudfront.net/1200x900/etuovimedia/images/property/import/604/2609604/0e76b9541118d347871c0e0e51d244c4/4a8559ee8c47ec02de74447c1a7351d7/ORIGINAL.jpeg</t>
  </si>
  <si>
    <t>2609604</t>
  </si>
  <si>
    <t>https://www.etuovi.com/kohde/80504125</t>
  </si>
  <si>
    <t>298 000 €</t>
  </si>
  <si>
    <t>3h, k x 2 kpl</t>
  </si>
  <si>
    <t>2026-06-10T14:03:06.326Z</t>
  </si>
  <si>
    <t>Semi-detached (Paritalo) — 3h, k x 2 kpl — 180 m² — Tampere</t>
  </si>
  <si>
    <t>Miettimäentie 1 Miettimäki Oulainen</t>
  </si>
  <si>
    <t>Miettimäentie 1</t>
  </si>
  <si>
    <t>Miettimäki Oulainen</t>
  </si>
  <si>
    <t>984</t>
  </si>
  <si>
    <t>Kiinteistönvälitys Keidas LKV Oy / Oulainen</t>
  </si>
  <si>
    <t>http://www.kiinteistokeidas.fi/</t>
  </si>
  <si>
    <t>Miettimäki</t>
  </si>
  <si>
    <t>80515792</t>
  </si>
  <si>
    <t>https://d3ls91xgksobn.cloudfront.net/400x300/etuovimedia/images/property/import/603/2609603/0e76b9541118d347871c0e0e51d244c4/077ee586bc9d23b475b349d3fa270a84/ORIGINAL.jpeg</t>
  </si>
  <si>
    <t>https://d3ls91xgksobn.cloudfront.net/1200x900/etuovimedia/images/property/import/603/2609603/0e76b9541118d347871c0e0e51d244c4/077ee586bc9d23b475b349d3fa270a84/ORIGINAL.jpeg</t>
  </si>
  <si>
    <t>2609603</t>
  </si>
  <si>
    <t>https://www.etuovi.com/kohde/80515792</t>
  </si>
  <si>
    <t>67 000 €</t>
  </si>
  <si>
    <t>4mh + k + oh + 2wc + ph + s + at + var + pannuhuone</t>
  </si>
  <si>
    <t>2026-06-10T14:03:06.370Z</t>
  </si>
  <si>
    <t>Detached House (Omakotitalo) — 4mh + k + oh + 2wc + ph + s + at + var + pannuhuone — 166 m² — Miettimäki Oulainen</t>
  </si>
  <si>
    <t>Maininkitie 14 C Kivenlahti Espoo</t>
  </si>
  <si>
    <t>Maininkitie 14 C</t>
  </si>
  <si>
    <t>Kivenlahti Espoo</t>
  </si>
  <si>
    <t>2067</t>
  </si>
  <si>
    <t>KOTI LKV | Uudenmaan Laatuvälitys Oy</t>
  </si>
  <si>
    <t>http://www.kotilkv.fi/</t>
  </si>
  <si>
    <t>Kivenlahti</t>
  </si>
  <si>
    <t>80511305</t>
  </si>
  <si>
    <t>https://d3ls91xgksobn.cloudfront.net/400x300/etuovimedia/images/property/import/599/2609599/0e76b9541118d347871c0e0e51d244c4/70d1a338c7ca6aed590b756c839a705f/ORIGINAL.jpeg</t>
  </si>
  <si>
    <t>https://d3ls91xgksobn.cloudfront.net/1200x900/etuovimedia/images/property/import/599/2609599/0e76b9541118d347871c0e0e51d244c4/70d1a338c7ca6aed590b756c839a705f/ORIGINAL.jpeg</t>
  </si>
  <si>
    <t>2609599</t>
  </si>
  <si>
    <t>https://www.etuovi.com/kohde/80511305</t>
  </si>
  <si>
    <t>3h, k, kph</t>
  </si>
  <si>
    <t>2026-06-10T14:03:06.411Z</t>
  </si>
  <si>
    <t>Apartment (Kerrostalo) — 3h, k, kph — 76.5 m² — Kivenlahti Espoo</t>
  </si>
  <si>
    <t>Imatrankoskentie 24 D Rajapatsas Imatra</t>
  </si>
  <si>
    <t>Imatrankoskentie 24 D</t>
  </si>
  <si>
    <t>Rajapatsas Imatra</t>
  </si>
  <si>
    <t>615</t>
  </si>
  <si>
    <t>Sp-Koti | Kiinteistönvälitys Mervi Honkanen Oy LKV</t>
  </si>
  <si>
    <t>Rajapatsas</t>
  </si>
  <si>
    <t>80515184</t>
  </si>
  <si>
    <t>https://d3ls91xgksobn.cloudfront.net/400x300/etuovimedia/images/property/import/594/2609594/0e76b9541118d347871c0e0e51d244c4/97d69350bc460052bd0c05e3d30243eb/ORIGINAL.jpeg</t>
  </si>
  <si>
    <t>https://d3ls91xgksobn.cloudfront.net/1200x900/etuovimedia/images/property/import/594/2609594/0e76b9541118d347871c0e0e51d244c4/97d69350bc460052bd0c05e3d30243eb/ORIGINAL.jpeg</t>
  </si>
  <si>
    <t>2609594</t>
  </si>
  <si>
    <t>https://www.etuovi.com/kohde/80515184</t>
  </si>
  <si>
    <t>24 000 €</t>
  </si>
  <si>
    <t>2h + k</t>
  </si>
  <si>
    <t>2026-06-10T14:03:06.445Z</t>
  </si>
  <si>
    <t>Apartment (Kerrostalo) — 2h + k — 55 m² — Rajapatsas Imatra</t>
  </si>
  <si>
    <t>Hakatie 8 A Sääksjärvi Lempäälä</t>
  </si>
  <si>
    <t>Hakatie 8 A</t>
  </si>
  <si>
    <t>Sääksjärvi Lempäälä</t>
  </si>
  <si>
    <t>4599</t>
  </si>
  <si>
    <t>REMAX Koski | Norra Partners Kiinteistönvälitys Oy</t>
  </si>
  <si>
    <t>Juha Tsutsunen</t>
  </si>
  <si>
    <t>Sääksjärvi</t>
  </si>
  <si>
    <t>80515959</t>
  </si>
  <si>
    <t>https://d3ls91xgksobn.cloudfront.net/400x300/etuovimedia/images/property/import/592/2609592/0e76b9541118d347871c0e0e51d244c4/961857a48f4d4daaf586c5a159bcf542/ORIGINAL.jpeg</t>
  </si>
  <si>
    <t>https://d3ls91xgksobn.cloudfront.net/1200x900/etuovimedia/images/property/import/592/2609592/0e76b9541118d347871c0e0e51d244c4/961857a48f4d4daaf586c5a159bcf542/ORIGINAL.jpeg</t>
  </si>
  <si>
    <t>https://d3ls91xgksobn.cloudfront.net/1200x900/etuovimedia/images/property/import/592/2609592/0e76b9541118d347871c0e0e51d244c4/19da0fe82b626ba8abeacc6cb92d3a19/ORIGINAL.jpeg</t>
  </si>
  <si>
    <t>https://d3ls91xgksobn.cloudfront.net/1200x900/etuovimedia/images/property/import/592/2609592/0e76b9541118d347871c0e0e51d244c4/a41d3d26aec3efcf86a2f0391b54c262/ORIGINAL.jpeg</t>
  </si>
  <si>
    <t>2609592</t>
  </si>
  <si>
    <t>https://www.etuovi.com/kohde/80515959</t>
  </si>
  <si>
    <t>78 000 €</t>
  </si>
  <si>
    <t>Balcony Access Block (Luhtitalo)</t>
  </si>
  <si>
    <t>2h + k + s + kph + erillinen wc + vh + lasitettu parveke</t>
  </si>
  <si>
    <t>2026-06-10T14:03:06.481Z</t>
  </si>
  <si>
    <t>Balcony Access Block (Luhtitalo) — 2h + k + s + kph + erillinen wc + vh + lasitettu parveke — 59 m² — Sääksjärvi Lempäälä</t>
  </si>
  <si>
    <t>Vuorimiehenkatu 23b Ullanlinna Helsinki</t>
  </si>
  <si>
    <t>Vuorimiehenkatu 23b</t>
  </si>
  <si>
    <t>Ullanlinna Helsinki</t>
  </si>
  <si>
    <t>1441</t>
  </si>
  <si>
    <t>JYA Housing LKV, Pääkaupunkiseutu</t>
  </si>
  <si>
    <t>http://www.jya.fi/</t>
  </si>
  <si>
    <t>1931</t>
  </si>
  <si>
    <t>Ullanlinna</t>
  </si>
  <si>
    <t>20380958</t>
  </si>
  <si>
    <t>https://d3ls91xgksobn.cloudfront.net/400x300/etuovimedia/images/property/import/499/2604499/0e76b9541118d347871c0e0e51d244c4/33a5b21e822d88bd9890a14e3bbee4fc/ORIGINAL.jpeg</t>
  </si>
  <si>
    <t>https://d3ls91xgksobn.cloudfront.net/1200x900/etuovimedia/images/property/import/499/2604499/0e76b9541118d347871c0e0e51d244c4/33a5b21e822d88bd9890a14e3bbee4fc/ORIGINAL.jpeg</t>
  </si>
  <si>
    <t>2604499</t>
  </si>
  <si>
    <t>https://www.etuovi.com/kohde/20380958</t>
  </si>
  <si>
    <t>1 098 000 €</t>
  </si>
  <si>
    <t>2026-06-05</t>
  </si>
  <si>
    <t>5h + k (rakennettava)</t>
  </si>
  <si>
    <t>2026-06-10T14:03:06.512Z</t>
  </si>
  <si>
    <t>Apartment (Kerrostalo) — 5h + k (rakennettava) — 256.8 m² — Ullanlinna Helsinki</t>
  </si>
  <si>
    <t>Vanhansillantie 1 B 5 Keskusta Toivakka</t>
  </si>
  <si>
    <t>Vanhansillantie 1 B 5</t>
  </si>
  <si>
    <t>Keskusta Toivakka</t>
  </si>
  <si>
    <t>fs4876</t>
  </si>
  <si>
    <t>https://d3ls91xgksobn.cloudfront.net/400x300/etuovimedia/images/property/import/584/2609584/0e76b9541118d347871c0e0e51d244c4/0ebcfab1c2bd10f6e4230c55c4c4e52b/ORIGINAL.jpeg</t>
  </si>
  <si>
    <t>https://d3ls91xgksobn.cloudfront.net/1200x900/etuovimedia/images/property/import/584/2609584/0e76b9541118d347871c0e0e51d244c4/0ebcfab1c2bd10f6e4230c55c4c4e52b/ORIGINAL.jpeg</t>
  </si>
  <si>
    <t>2609584</t>
  </si>
  <si>
    <t>https://www.etuovi.com/kohde/fs4876</t>
  </si>
  <si>
    <t>11 000 €</t>
  </si>
  <si>
    <t>Sami Heino</t>
  </si>
  <si>
    <t>3h + k + s + kph</t>
  </si>
  <si>
    <t>2026-06-10T14:03:06.695Z</t>
  </si>
  <si>
    <t>Row House (Rivitalo) — 3h + k + s + kph — 72.5 m² — Keskusta Toivakka</t>
  </si>
  <si>
    <t>Kilterinkuja 5 Myyrmäki Vantaa</t>
  </si>
  <si>
    <t>Kilterinkuja 5</t>
  </si>
  <si>
    <t>2741</t>
  </si>
  <si>
    <t>Kiinteistömaailma Vantaa Martinlaakso | Uusimaa Properties LKV Oy</t>
  </si>
  <si>
    <t>Stefan Rehnström</t>
  </si>
  <si>
    <t>2015</t>
  </si>
  <si>
    <t>45060879</t>
  </si>
  <si>
    <t>https://d3ls91xgksobn.cloudfront.net/400x300/etuovimedia/images/property/import/571/2609571/0e76b9541118d347871c0e0e51d244c4/c1e08a4688f8caf85e9180a3d7fd831d/ORIGINAL.jpeg</t>
  </si>
  <si>
    <t>https://d3ls91xgksobn.cloudfront.net/1200x900/etuovimedia/images/property/import/571/2609571/0e76b9541118d347871c0e0e51d244c4/c1e08a4688f8caf85e9180a3d7fd831d/ORIGINAL.jpeg</t>
  </si>
  <si>
    <t>https://d3ls91xgksobn.cloudfront.net/1200x900/etuovimedia/images/property/import/571/2609571/0e76b9541118d347871c0e0e51d244c4/c8a5f4b03f16f50ae2c2b63c187ef656/ORIGINAL.jpeg</t>
  </si>
  <si>
    <t>https://d3ls91xgksobn.cloudfront.net/1200x900/etuovimedia/images/property/import/571/2609571/0e76b9541118d347871c0e0e51d244c4/22088f1fe7e52399a0ebaf084ef3bbdf/ORIGINAL.jpeg</t>
  </si>
  <si>
    <t>2609571</t>
  </si>
  <si>
    <t>https://www.etuovi.com/kohde/45060879</t>
  </si>
  <si>
    <t>1h, kt, alkovi, kph, vh</t>
  </si>
  <si>
    <t>2026-06-10T14:03:06.739Z</t>
  </si>
  <si>
    <t>Apartment (Kerrostalo) — 1h, kt, alkovi, kph, vh — 38 m² — Myyrmäki Vantaa</t>
  </si>
  <si>
    <t>Huhtalahdentie 4 Nenäinniemi Jyväskylä</t>
  </si>
  <si>
    <t>Huhtalahdentie 4</t>
  </si>
  <si>
    <t>2004</t>
  </si>
  <si>
    <t>ek4282</t>
  </si>
  <si>
    <t>https://d3ls91xgksobn.cloudfront.net/400x300/etuovimedia/images/property/import/60/2496060/0e76b9541118d347871c0e0e51d244c4/71707808979d8d95bc24074b1bb4787d/ORIGINAL.jpeg</t>
  </si>
  <si>
    <t>https://d3ls91xgksobn.cloudfront.net/1200x900/etuovimedia/images/property/import/60/2496060/0e76b9541118d347871c0e0e51d244c4/71707808979d8d95bc24074b1bb4787d/ORIGINAL.jpeg</t>
  </si>
  <si>
    <t>2496060</t>
  </si>
  <si>
    <t>https://www.etuovi.com/kohde/ek4282</t>
  </si>
  <si>
    <t>32 779,38 €</t>
  </si>
  <si>
    <t>2026-03-05</t>
  </si>
  <si>
    <t>4h + k + s</t>
  </si>
  <si>
    <t>2026-06-10T14:03:06.779Z</t>
  </si>
  <si>
    <t>Row House (Rivitalo) — 4h + k + s — 93.5 m² — Nenäinniemi Jyväskylä</t>
  </si>
  <si>
    <t>Viittatie 12 Lavia Pori</t>
  </si>
  <si>
    <t>Viittatie 12</t>
  </si>
  <si>
    <t>Lavia Pori</t>
  </si>
  <si>
    <t>Sanni Reinola</t>
  </si>
  <si>
    <t>Lavia</t>
  </si>
  <si>
    <t>80401900</t>
  </si>
  <si>
    <t>https://d3ls91xgksobn.cloudfront.net/400x300/etuovimedia/images/property/import/34/2087034/0e76b9541118d347871c0e0e51d244c4/902d45eadfb3e12baa38e37fce312bc3/ORIGINAL.jpeg</t>
  </si>
  <si>
    <t>https://d3ls91xgksobn.cloudfront.net/1200x900/etuovimedia/images/property/import/34/2087034/0e76b9541118d347871c0e0e51d244c4/902d45eadfb3e12baa38e37fce312bc3/ORIGINAL.jpeg</t>
  </si>
  <si>
    <t>https://d3ls91xgksobn.cloudfront.net/1200x900/etuovimedia/images/property/import/34/2087034/0e76b9541118d347871c0e0e51d244c4/751ade324f61fd948d375b25f2f06fea/ORIGINAL.jpeg</t>
  </si>
  <si>
    <t>https://d3ls91xgksobn.cloudfront.net/1200x900/etuovimedia/images/property/import/34/2087034/0e76b9541118d347871c0e0e51d244c4/2e0d3e445d1fe31882d04d49f7d3fad9/ORIGINAL.jpeg</t>
  </si>
  <si>
    <t>2087034</t>
  </si>
  <si>
    <t>https://www.etuovi.com/kohde/80401900</t>
  </si>
  <si>
    <t>110 000 €</t>
  </si>
  <si>
    <t>2025-04-30</t>
  </si>
  <si>
    <t>4h + k + s + wc + kellaritilat + autotalli</t>
  </si>
  <si>
    <t>2026-06-10T14:03:06.809Z</t>
  </si>
  <si>
    <t>Detached House (Omakotitalo) — 4h + k + s + wc + kellaritilat + autotalli — 120 m² — Lavia Pori</t>
  </si>
  <si>
    <t>Valssimyllynkatu 17 Myllypuro Helsinki</t>
  </si>
  <si>
    <t>Valssimyllynkatu 17</t>
  </si>
  <si>
    <t>Myllypuro Helsinki</t>
  </si>
  <si>
    <t>3911</t>
  </si>
  <si>
    <t>Jemma LKV Oy</t>
  </si>
  <si>
    <t>Myllypuro</t>
  </si>
  <si>
    <t>57916866</t>
  </si>
  <si>
    <t>https://d3ls91xgksobn.cloudfront.net/400x300/etuovimedia/images/property/import/555/2609555/0e76b9541118d347871c0e0e51d244c4/0176fc5ec613d7d9237106e61a088e82/ORIGINAL.jpeg</t>
  </si>
  <si>
    <t>https://d3ls91xgksobn.cloudfront.net/1200x900/etuovimedia/images/property/import/555/2609555/0e76b9541118d347871c0e0e51d244c4/0176fc5ec613d7d9237106e61a088e82/ORIGINAL.jpeg</t>
  </si>
  <si>
    <t>2609555</t>
  </si>
  <si>
    <t>https://www.etuovi.com/kohde/57916866</t>
  </si>
  <si>
    <t>399 500 €</t>
  </si>
  <si>
    <t>2026-06-10T14:03:06.850Z</t>
  </si>
  <si>
    <t>Row House (Rivitalo) — 3h, k, s — 81.5 m² — Myllypuro Helsinki</t>
  </si>
  <si>
    <t>Kalevankatu 4a Keskusta Joensuu</t>
  </si>
  <si>
    <t>Kalevankatu 4a</t>
  </si>
  <si>
    <t>Keskusta Joensuu</t>
  </si>
  <si>
    <t>1082</t>
  </si>
  <si>
    <t>Kiinteistömaailma Joensuu | Kotipysäkki Oy</t>
  </si>
  <si>
    <t>Sari Otalahti</t>
  </si>
  <si>
    <t>1967</t>
  </si>
  <si>
    <t>34674558</t>
  </si>
  <si>
    <t>https://d3ls91xgksobn.cloudfront.net/400x300/etuovimedia/images/property/import/553/2609553/0e76b9541118d347871c0e0e51d244c4/a44fd1baccbac1396293c696ed8630c2/ORIGINAL.jpeg</t>
  </si>
  <si>
    <t>https://d3ls91xgksobn.cloudfront.net/1200x900/etuovimedia/images/property/import/553/2609553/0e76b9541118d347871c0e0e51d244c4/a44fd1baccbac1396293c696ed8630c2/ORIGINAL.jpeg</t>
  </si>
  <si>
    <t>https://d3ls91xgksobn.cloudfront.net/1200x900/etuovimedia/images/property/import/553/2609553/0e76b9541118d347871c0e0e51d244c4/ee6843d2045beb9fe84546a86c6ada9d/ORIGINAL.jpeg</t>
  </si>
  <si>
    <t>https://d3ls91xgksobn.cloudfront.net/1200x900/etuovimedia/images/property/import/553/2609553/0e76b9541118d347871c0e0e51d244c4/2e1ecf7eedb954d8163edc778f0abdc6/ORIGINAL.jpeg</t>
  </si>
  <si>
    <t>2609553</t>
  </si>
  <si>
    <t>https://www.etuovi.com/kohde/34674558</t>
  </si>
  <si>
    <t>2h, k</t>
  </si>
  <si>
    <t>2026-06-10T14:03:06.890Z</t>
  </si>
  <si>
    <t>Apartment (Kerrostalo) — 2h, k — 50.5 m² — Keskusta Joensuu</t>
  </si>
  <si>
    <t>Laanitie 8 Oksava Haapajärvi</t>
  </si>
  <si>
    <t>Laanitie 8</t>
  </si>
  <si>
    <t>Oksava Haapajärvi</t>
  </si>
  <si>
    <t>2995</t>
  </si>
  <si>
    <t>Huoneistokeskus Ylivieska</t>
  </si>
  <si>
    <t>1950</t>
  </si>
  <si>
    <t>Oksava</t>
  </si>
  <si>
    <t>80513032</t>
  </si>
  <si>
    <t>https://d3ls91xgksobn.cloudfront.net/400x300/etuovimedia/images/property/import/541/2609541/0e76b9541118d347871c0e0e51d244c4/9f651180c22ba4bd744e4f56a288731a/ORIGINAL.jpeg</t>
  </si>
  <si>
    <t>https://d3ls91xgksobn.cloudfront.net/1200x900/etuovimedia/images/property/import/541/2609541/0e76b9541118d347871c0e0e51d244c4/9f651180c22ba4bd744e4f56a288731a/ORIGINAL.jpeg</t>
  </si>
  <si>
    <t>2609541</t>
  </si>
  <si>
    <t>https://www.etuovi.com/kohde/80513032</t>
  </si>
  <si>
    <t>sali, k, mh, wc / ph, vinttih, kuisti</t>
  </si>
  <si>
    <t>2026-06-10T14:03:15.651Z</t>
  </si>
  <si>
    <t>Detached House (Omakotitalo) — sali, k, mh, wc / ph, vinttih, kuisti — 142.1 m² — Oksava Haapajärvi</t>
  </si>
  <si>
    <t>Lohkaretie 1 A Särkiniemi Kuopio</t>
  </si>
  <si>
    <t>Lohkaretie 1 A</t>
  </si>
  <si>
    <t>Särkiniemi Kuopio</t>
  </si>
  <si>
    <t>1705</t>
  </si>
  <si>
    <t>Sp-Koti | Kallaveden Kiinteistöasiantuntijat Oy LKV</t>
  </si>
  <si>
    <t>Särkiniemi</t>
  </si>
  <si>
    <t>80512864</t>
  </si>
  <si>
    <t>https://d3ls91xgksobn.cloudfront.net/400x300/etuovimedia/images/property/import/540/2609540/0e76b9541118d347871c0e0e51d244c4/acaa6a586dc124884a8bcfbda36d553d/ORIGINAL.jpeg</t>
  </si>
  <si>
    <t>https://d3ls91xgksobn.cloudfront.net/1200x900/etuovimedia/images/property/import/540/2609540/0e76b9541118d347871c0e0e51d244c4/acaa6a586dc124884a8bcfbda36d553d/ORIGINAL.jpeg</t>
  </si>
  <si>
    <t>2609540</t>
  </si>
  <si>
    <t>https://www.etuovi.com/kohde/80512864</t>
  </si>
  <si>
    <t>99 700 €</t>
  </si>
  <si>
    <t>3h + k + kph + wc + parv</t>
  </si>
  <si>
    <t>2026-06-10T14:03:15.737Z</t>
  </si>
  <si>
    <t>Apartment (Kerrostalo) — 3h + k + kph + wc + parv — 78.5 m² — Särkiniemi Kuopio</t>
  </si>
  <si>
    <t>Ajurinkatu 4 B Kirjavatolppa Hyvinkää</t>
  </si>
  <si>
    <t>Ajurinkatu 4 B</t>
  </si>
  <si>
    <t>Kirjavatolppa Hyvinkää</t>
  </si>
  <si>
    <t>83</t>
  </si>
  <si>
    <t>Huoneistokeskus Hyvinkää</t>
  </si>
  <si>
    <t>Kirjavatolppa</t>
  </si>
  <si>
    <t>80505512</t>
  </si>
  <si>
    <t>https://d3ls91xgksobn.cloudfront.net/400x300/etuovimedia/images/property/import/539/2609539/0e76b9541118d347871c0e0e51d244c4/388d88b8f2d0b8749f032c021dd8647d/ORIGINAL.jpeg</t>
  </si>
  <si>
    <t>https://d3ls91xgksobn.cloudfront.net/1200x900/etuovimedia/images/property/import/539/2609539/0e76b9541118d347871c0e0e51d244c4/388d88b8f2d0b8749f032c021dd8647d/ORIGINAL.jpeg</t>
  </si>
  <si>
    <t>2609539</t>
  </si>
  <si>
    <t>https://www.etuovi.com/kohde/80505512</t>
  </si>
  <si>
    <t>1h, k</t>
  </si>
  <si>
    <t>2026-06-10T14:03:15.750Z</t>
  </si>
  <si>
    <t>Apartment (Kerrostalo) — 1h, k — 42 m² — Kirjavatolppa Hyvinkää</t>
  </si>
  <si>
    <t>Suojastentie 4 C Kirkonseutu Ylöjärvi</t>
  </si>
  <si>
    <t>Suojastentie 4 C</t>
  </si>
  <si>
    <t>Kirkonseutu Ylöjärvi</t>
  </si>
  <si>
    <t>Virve Lepola</t>
  </si>
  <si>
    <t>Kirkonseutu</t>
  </si>
  <si>
    <t>80512286</t>
  </si>
  <si>
    <t>https://d3ls91xgksobn.cloudfront.net/400x300/etuovimedia/images/property/import/538/2609538/0e76b9541118d347871c0e0e51d244c4/a170aa383fff5dc0e6e2597f41ed091e/ORIGINAL.jpeg</t>
  </si>
  <si>
    <t>https://d3ls91xgksobn.cloudfront.net/1200x900/etuovimedia/images/property/import/538/2609538/0e76b9541118d347871c0e0e51d244c4/a170aa383fff5dc0e6e2597f41ed091e/ORIGINAL.jpeg</t>
  </si>
  <si>
    <t>https://d3ls91xgksobn.cloudfront.net/1200x900/etuovimedia/images/property/import/538/2609538/0e76b9541118d347871c0e0e51d244c4/720d72fce4c0d81aa5c7493b569d4016/ORIGINAL.jpeg</t>
  </si>
  <si>
    <t>https://d3ls91xgksobn.cloudfront.net/1200x900/etuovimedia/images/property/import/538/2609538/0e76b9541118d347871c0e0e51d244c4/1cbf5f70c8a57aff7757997d777b853d/ORIGINAL.jpeg</t>
  </si>
  <si>
    <t>2609538</t>
  </si>
  <si>
    <t>https://www.etuovi.com/kohde/80512286</t>
  </si>
  <si>
    <t>109 000 €</t>
  </si>
  <si>
    <t>2h, k, kph / wc, vh, parveke</t>
  </si>
  <si>
    <t>2026-06-10T14:03:15.796Z</t>
  </si>
  <si>
    <t>Apartment (Kerrostalo) — 2h, k, kph / wc, vh, parveke — 58.5 m² — Kirkonseutu Ylöjärvi</t>
  </si>
  <si>
    <t>Rauhankatu 29 Port Arthur Turku</t>
  </si>
  <si>
    <t>Rauhankatu 29</t>
  </si>
  <si>
    <t>Port Arthur Turku</t>
  </si>
  <si>
    <t>3711</t>
  </si>
  <si>
    <t>Strand Properties | Piia Järvinen LKV</t>
  </si>
  <si>
    <t>Järvinen Piia</t>
  </si>
  <si>
    <t>1905</t>
  </si>
  <si>
    <t>Port Arthur</t>
  </si>
  <si>
    <t>21416364</t>
  </si>
  <si>
    <t>https://d3ls91xgksobn.cloudfront.net/400x300/etuovimedia/images/property/import/537/2609537/0e76b9541118d347871c0e0e51d244c4/59a713cb65513559e8f5ff3187a48f30/ORIGINAL.jpeg</t>
  </si>
  <si>
    <t>https://d3ls91xgksobn.cloudfront.net/1200x900/etuovimedia/images/property/import/537/2609537/0e76b9541118d347871c0e0e51d244c4/59a713cb65513559e8f5ff3187a48f30/ORIGINAL.jpeg</t>
  </si>
  <si>
    <t>https://d3ls91xgksobn.cloudfront.net/1200x900/etuovimedia/images/property/import/537/2609537/0e76b9541118d347871c0e0e51d244c4/5a7bfeb3f4541a88af0f1e1f024fd8f3/ORIGINAL.jpeg</t>
  </si>
  <si>
    <t>https://d3ls91xgksobn.cloudfront.net/1200x900/etuovimedia/images/property/import/537/2609537/0e76b9541118d347871c0e0e51d244c4/48a9b19bb8201aec1a3bf0ea978d9e8a/ORIGINAL.jpeg</t>
  </si>
  <si>
    <t>2609537</t>
  </si>
  <si>
    <t>https://www.etuovi.com/kohde/21416364</t>
  </si>
  <si>
    <t>189 000 €</t>
  </si>
  <si>
    <t>2h, tupakeittiö, kph / wc, wc, vh</t>
  </si>
  <si>
    <t>2026-06-10T14:03:15.851Z</t>
  </si>
  <si>
    <t>WOODEN_HOUSE_APARTMENT — 2h, tupakeittiö, kph / wc, wc, vh — 25 m² — Port Arthur Turku</t>
  </si>
  <si>
    <t>Rantatie 14 as 5 Halli Jämsä</t>
  </si>
  <si>
    <t>Rantatie 14 as 5</t>
  </si>
  <si>
    <t>Halli Jämsä</t>
  </si>
  <si>
    <t>Halli</t>
  </si>
  <si>
    <t>fs4789</t>
  </si>
  <si>
    <t>https://d3ls91xgksobn.cloudfront.net/400x300/etuovimedia/images/property/import/536/2609536/0e76b9541118d347871c0e0e51d244c4/b16877423c51467323f5314b8003db74/ORIGINAL.jpeg</t>
  </si>
  <si>
    <t>https://d3ls91xgksobn.cloudfront.net/1200x900/etuovimedia/images/property/import/536/2609536/0e76b9541118d347871c0e0e51d244c4/b16877423c51467323f5314b8003db74/ORIGINAL.jpeg</t>
  </si>
  <si>
    <t>2609536</t>
  </si>
  <si>
    <t>https://www.etuovi.com/kohde/fs4789</t>
  </si>
  <si>
    <t>Jenni Kunnas</t>
  </si>
  <si>
    <t>3h + k + kph + at + var + s (yhteiskäytössä)</t>
  </si>
  <si>
    <t>2026-06-10T14:03:15.951Z</t>
  </si>
  <si>
    <t>Row House (Rivitalo) — 3h + k + kph + at + var + s (yhteiskäytössä) — 86 m² — Halli Jämsä</t>
  </si>
  <si>
    <t>Hinttalalankatu 14 keskusta Nokia</t>
  </si>
  <si>
    <t>Hinttalalankatu 14</t>
  </si>
  <si>
    <t>keskusta Nokia</t>
  </si>
  <si>
    <t>817</t>
  </si>
  <si>
    <t>Asuntopalvelu Peurala | Ylöjärven Asuntopalvelu Oy LKV</t>
  </si>
  <si>
    <t>https://www.asuntopalvelupeurala.fi/</t>
  </si>
  <si>
    <t>keskusta</t>
  </si>
  <si>
    <t>20069296</t>
  </si>
  <si>
    <t>https://d3ls91xgksobn.cloudfront.net/400x300/etuovimedia/images/property/import/534/2609534/0e76b9541118d347871c0e0e51d244c4/f91cd04a72752611fd7ae775adb80e3a/ORIGINAL.jpeg</t>
  </si>
  <si>
    <t>https://d3ls91xgksobn.cloudfront.net/1200x900/etuovimedia/images/property/import/534/2609534/0e76b9541118d347871c0e0e51d244c4/f91cd04a72752611fd7ae775adb80e3a/ORIGINAL.jpeg</t>
  </si>
  <si>
    <t>2609534</t>
  </si>
  <si>
    <t>https://www.etuovi.com/kohde/20069296</t>
  </si>
  <si>
    <t>139 500 €</t>
  </si>
  <si>
    <t>2026-06-10T14:03:16.041Z</t>
  </si>
  <si>
    <t>Apartment (Kerrostalo) — 2h + k + s — 52 m² — keskusta Nokia</t>
  </si>
  <si>
    <t>Ahjolankatu 26 Petsamo Riihimäki</t>
  </si>
  <si>
    <t>Ahjolankatu 26</t>
  </si>
  <si>
    <t>Petsamo Riihimäki</t>
  </si>
  <si>
    <t>4635</t>
  </si>
  <si>
    <t>Aitoasunnot Riihimäki | Palhomaa Oy</t>
  </si>
  <si>
    <t>http://aitoasunnot.fi/</t>
  </si>
  <si>
    <t>Marja Malin</t>
  </si>
  <si>
    <t>Petsamo</t>
  </si>
  <si>
    <t>49637842</t>
  </si>
  <si>
    <t>https://d3ls91xgksobn.cloudfront.net/400x300/etuovimedia/images/property/import/525/2609525/0e76b9541118d347871c0e0e51d244c4/225ba1e6287b98d7148a91db03dbdeb0/ORIGINAL.jpeg</t>
  </si>
  <si>
    <t>https://d3ls91xgksobn.cloudfront.net/1200x900/etuovimedia/images/property/import/525/2609525/0e76b9541118d347871c0e0e51d244c4/225ba1e6287b98d7148a91db03dbdeb0/ORIGINAL.jpeg</t>
  </si>
  <si>
    <t>https://d3ls91xgksobn.cloudfront.net/1200x900/etuovimedia/images/property/import/525/2609525/0e76b9541118d347871c0e0e51d244c4/85b93f049e4210f717499cc7f3c07577/ORIGINAL.jpeg</t>
  </si>
  <si>
    <t>2609525</t>
  </si>
  <si>
    <t>https://www.etuovi.com/kohde/49637842</t>
  </si>
  <si>
    <t>229 000 €</t>
  </si>
  <si>
    <t>5h + k ja 2h + k sekä autotalli ja katettu terassi.</t>
  </si>
  <si>
    <t>2026-06-10T14:03:16.072Z</t>
  </si>
  <si>
    <t>Detached House (Omakotitalo) — 5h + k ja 2h + k sekä autotalli ja katettu terassi. — 195 m² — Petsamo Riihimäki</t>
  </si>
  <si>
    <t>Keskuskatu 34 Keskusta Kankaanpää</t>
  </si>
  <si>
    <t>Keskuskatu 34</t>
  </si>
  <si>
    <t>Keskusta Kankaanpää</t>
  </si>
  <si>
    <t>1223</t>
  </si>
  <si>
    <t>Kankaanpään Laki ja Kiinteistö Oy</t>
  </si>
  <si>
    <t>http://www.kalaki.fi/fi/</t>
  </si>
  <si>
    <t>20144866</t>
  </si>
  <si>
    <t>https://d3ls91xgksobn.cloudfront.net/400x300/etuovimedia/images/property/import/524/2609524/0e76b9541118d347871c0e0e51d244c4/1e43a6e772eb508ffefca030fbe1ee1a/ORIGINAL.jpeg</t>
  </si>
  <si>
    <t>https://d3ls91xgksobn.cloudfront.net/1200x900/etuovimedia/images/property/import/524/2609524/0e76b9541118d347871c0e0e51d244c4/1e43a6e772eb508ffefca030fbe1ee1a/ORIGINAL.jpeg</t>
  </si>
  <si>
    <t>2609524</t>
  </si>
  <si>
    <t>https://www.etuovi.com/kohde/20144866</t>
  </si>
  <si>
    <t>2mh, oloh, k, kph, parv</t>
  </si>
  <si>
    <t>2026-06-10T14:03:16.121Z</t>
  </si>
  <si>
    <t>Apartment (Kerrostalo) — 2mh, oloh, k, kph, parv — 61 m² — Keskusta Kankaanpää</t>
  </si>
  <si>
    <t>Kaivannonlahdenkatu 13 Lehtoniemi Kuopio</t>
  </si>
  <si>
    <t>Kaivannonlahdenkatu 13</t>
  </si>
  <si>
    <t>Lehtoniemi Kuopio</t>
  </si>
  <si>
    <t>2911</t>
  </si>
  <si>
    <t>JYA Housing LKV, Pohjois-Savo</t>
  </si>
  <si>
    <t>Lehtoniemi</t>
  </si>
  <si>
    <t>20263257</t>
  </si>
  <si>
    <t>https://d3ls91xgksobn.cloudfront.net/400x300/etuovimedia/images/property/import/523/2609523/0e76b9541118d347871c0e0e51d244c4/ee3942911d2133e127dcdc80b01f48fc/ORIGINAL.jpeg</t>
  </si>
  <si>
    <t>https://d3ls91xgksobn.cloudfront.net/1200x900/etuovimedia/images/property/import/523/2609523/0e76b9541118d347871c0e0e51d244c4/ee3942911d2133e127dcdc80b01f48fc/ORIGINAL.jpeg</t>
  </si>
  <si>
    <t>2609523</t>
  </si>
  <si>
    <t>https://www.etuovi.com/kohde/20263257</t>
  </si>
  <si>
    <t>162 000 €</t>
  </si>
  <si>
    <t>2h, kt, kph / wc, s, vh, lasitettu parveke</t>
  </si>
  <si>
    <t>2026-06-10T14:03:16.188Z</t>
  </si>
  <si>
    <t>Apartment (Kerrostalo) — 2h, kt, kph / wc, s, vh, lasitettu parveke — 50 m² — Lehtoniemi Kuopio</t>
  </si>
  <si>
    <t>Korkalonkatu 5 Keskusta Rovaniemi</t>
  </si>
  <si>
    <t>Korkalonkatu 5</t>
  </si>
  <si>
    <t>Keskusta Rovaniemi</t>
  </si>
  <si>
    <t>814</t>
  </si>
  <si>
    <t>Kiinteistönvälitys Jaakola LKV [A]</t>
  </si>
  <si>
    <t>http://jaakola.fi/</t>
  </si>
  <si>
    <t>Tomi Koivuranta</t>
  </si>
  <si>
    <t>56147896</t>
  </si>
  <si>
    <t>https://d3ls91xgksobn.cloudfront.net/400x300/etuovimedia/images/property/import/520/2609520/0e76b9541118d347871c0e0e51d244c4/90fd60dd7a3ab119ec9fe168c90ef97c/ORIGINAL.jpeg</t>
  </si>
  <si>
    <t>https://d3ls91xgksobn.cloudfront.net/1200x900/etuovimedia/images/property/import/520/2609520/0e76b9541118d347871c0e0e51d244c4/90fd60dd7a3ab119ec9fe168c90ef97c/ORIGINAL.jpeg</t>
  </si>
  <si>
    <t>https://d3ls91xgksobn.cloudfront.net/1200x900/etuovimedia/images/property/import/520/2609520/0e76b9541118d347871c0e0e51d244c4/12c34622193c4ff13e058ad66e68a165/ORIGINAL.jpeg</t>
  </si>
  <si>
    <t>https://d3ls91xgksobn.cloudfront.net/1200x900/etuovimedia/images/property/import/520/2609520/0e76b9541118d347871c0e0e51d244c4/62f309b45ffde4f2e1ad6cbfb944cc68/ORIGINAL.jpeg</t>
  </si>
  <si>
    <t>2609520</t>
  </si>
  <si>
    <t>https://www.etuovi.com/kohde/56147896</t>
  </si>
  <si>
    <t>169 000 €</t>
  </si>
  <si>
    <t>2h + alk + kk + s + lasitettu terassiparveke</t>
  </si>
  <si>
    <t>2026-06-10T14:03:16.288Z</t>
  </si>
  <si>
    <t>Apartment (Kerrostalo) — 2h + alk + kk + s + lasitettu terassiparveke — 52 m² — Keskusta Rovaniemi</t>
  </si>
  <si>
    <t>Porvoonkatu 3 Harju Helsinki</t>
  </si>
  <si>
    <t>Porvoonkatu 3</t>
  </si>
  <si>
    <t>Harju Helsinki</t>
  </si>
  <si>
    <t>1202</t>
  </si>
  <si>
    <t>Kiinteistömaailma Helsinki Kallio-Kalasatama | Kallion Kodit Oy</t>
  </si>
  <si>
    <t>Harju</t>
  </si>
  <si>
    <t>45601636</t>
  </si>
  <si>
    <t>https://d3ls91xgksobn.cloudfront.net/400x300/etuovimedia/images/property/import/519/2609519/0e76b9541118d347871c0e0e51d244c4/9e2ff1e7cf4b4119c9115aa189ad6b74/ORIGINAL.jpeg</t>
  </si>
  <si>
    <t>https://d3ls91xgksobn.cloudfront.net/1200x900/etuovimedia/images/property/import/519/2609519/0e76b9541118d347871c0e0e51d244c4/9e2ff1e7cf4b4119c9115aa189ad6b74/ORIGINAL.jpeg</t>
  </si>
  <si>
    <t>2609519</t>
  </si>
  <si>
    <t>https://www.etuovi.com/kohde/45601636</t>
  </si>
  <si>
    <t>117 000 €</t>
  </si>
  <si>
    <t>1h, kk, kph</t>
  </si>
  <si>
    <t>2026-06-10T14:03:16.304Z</t>
  </si>
  <si>
    <t>Apartment (Kerrostalo) — 1h, kk, kph — 26 m² — Harju Helsinki</t>
  </si>
  <si>
    <t>Liisantie 1 Koskela Oulu</t>
  </si>
  <si>
    <t>Liisantie 1</t>
  </si>
  <si>
    <t>Koskela Oulu</t>
  </si>
  <si>
    <t>Koskela</t>
  </si>
  <si>
    <t>80479426</t>
  </si>
  <si>
    <t>https://d3ls91xgksobn.cloudfront.net/400x300/etuovimedia/images/property/import/860/2450860/0e76b9541118d347871c0e0e51d244c4/ecf8f7177c5d3353a81d985f82aab453/ORIGINAL.jpeg</t>
  </si>
  <si>
    <t>https://d3ls91xgksobn.cloudfront.net/1200x900/etuovimedia/images/property/import/860/2450860/0e76b9541118d347871c0e0e51d244c4/ecf8f7177c5d3353a81d985f82aab453/ORIGINAL.jpeg</t>
  </si>
  <si>
    <t>2450860</t>
  </si>
  <si>
    <t>https://www.etuovi.com/kohde/80479426</t>
  </si>
  <si>
    <t>2026-01-21</t>
  </si>
  <si>
    <t>3h, k, kph / wc, vh</t>
  </si>
  <si>
    <t>2026-06-10T14:03:16.351Z</t>
  </si>
  <si>
    <t>Apartment (Kerrostalo) — 3h, k, kph / wc, vh — 70 m² — Koskela Oulu</t>
  </si>
  <si>
    <t>Valkealankatu 13 C Isokytö Järvenpää</t>
  </si>
  <si>
    <t>Valkealankatu 13 C</t>
  </si>
  <si>
    <t>Isokytö Järvenpää</t>
  </si>
  <si>
    <t>3095</t>
  </si>
  <si>
    <t>Kiinteistönvälitys Saariniemi Oy LKV</t>
  </si>
  <si>
    <t>https://saariniemilkv.fi/</t>
  </si>
  <si>
    <t>Isokytö</t>
  </si>
  <si>
    <t>80510378</t>
  </si>
  <si>
    <t>https://d3ls91xgksobn.cloudfront.net/400x300/etuovimedia/images/property/import/518/2609518/0e76b9541118d347871c0e0e51d244c4/8f6f3d0a4b608cc36fb00df500b2450b/ORIGINAL.jpeg</t>
  </si>
  <si>
    <t>https://d3ls91xgksobn.cloudfront.net/1200x900/etuovimedia/images/property/import/518/2609518/0e76b9541118d347871c0e0e51d244c4/8f6f3d0a4b608cc36fb00df500b2450b/ORIGINAL.jpeg</t>
  </si>
  <si>
    <t>2609518</t>
  </si>
  <si>
    <t>https://www.etuovi.com/kohde/80510378</t>
  </si>
  <si>
    <t>415 000 €</t>
  </si>
  <si>
    <t>oh + k + 2 mh + s + ph + kph + wc + khh + tkh + et</t>
  </si>
  <si>
    <t>2026-06-10T14:03:16.417Z</t>
  </si>
  <si>
    <t>Semi-detached (Paritalo) — oh + k + 2 mh + s + ph + kph + wc + khh + tkh + et — 95 m² — Isokytö Järvenpää</t>
  </si>
  <si>
    <t>Haarakastie 27 Litmanen Kuopio</t>
  </si>
  <si>
    <t>Haarakastie 27</t>
  </si>
  <si>
    <t>Litmanen Kuopio</t>
  </si>
  <si>
    <t>Litmanen</t>
  </si>
  <si>
    <t>80511977</t>
  </si>
  <si>
    <t>https://d3ls91xgksobn.cloudfront.net/400x300/etuovimedia/images/property/import/517/2609517/0e76b9541118d347871c0e0e51d244c4/1d113adcc7fc4c9ef9db8bb7510498e4/ORIGINAL.jpeg</t>
  </si>
  <si>
    <t>https://d3ls91xgksobn.cloudfront.net/1200x900/etuovimedia/images/property/import/517/2609517/0e76b9541118d347871c0e0e51d244c4/1d113adcc7fc4c9ef9db8bb7510498e4/ORIGINAL.jpeg</t>
  </si>
  <si>
    <t>2609517</t>
  </si>
  <si>
    <t>https://www.etuovi.com/kohde/80511977</t>
  </si>
  <si>
    <t>269 000 €</t>
  </si>
  <si>
    <t>4h, k, s + autokatos</t>
  </si>
  <si>
    <t>2026-06-10T14:03:16.459Z</t>
  </si>
  <si>
    <t>Detached House (Omakotitalo) — 4h, k, s + autokatos — 85 m² — Litmanen Kuopio</t>
  </si>
  <si>
    <t>Muuramentie 51 A Keskusta Muurame</t>
  </si>
  <si>
    <t>Muuramentie 51 A</t>
  </si>
  <si>
    <t>Keskusta Muurame</t>
  </si>
  <si>
    <t>4651</t>
  </si>
  <si>
    <t>Sp-Koti Muurame | Kiinteistönvälitys Tanja Heinonen Oy LKV</t>
  </si>
  <si>
    <t>80513278</t>
  </si>
  <si>
    <t>https://d3ls91xgksobn.cloudfront.net/400x300/etuovimedia/images/property/import/516/2609516/0e76b9541118d347871c0e0e51d244c4/bd37d692cd2b2dd48366c298d945395a/ORIGINAL.jpeg</t>
  </si>
  <si>
    <t>https://d3ls91xgksobn.cloudfront.net/1200x900/etuovimedia/images/property/import/516/2609516/0e76b9541118d347871c0e0e51d244c4/bd37d692cd2b2dd48366c298d945395a/ORIGINAL.jpeg</t>
  </si>
  <si>
    <t>2609516</t>
  </si>
  <si>
    <t>https://www.etuovi.com/kohde/80513278</t>
  </si>
  <si>
    <t>4h, k, s, kh, th, 2xwc, harrastetila / varasto</t>
  </si>
  <si>
    <t>2026-06-10T14:03:16.497Z</t>
  </si>
  <si>
    <t>Row House (Rivitalo) — 4h, k, s, kh, th, 2xwc, harrastetila / varasto — 118 m² — Keskusta Muurame</t>
  </si>
  <si>
    <t>Ulvajankatu 25 Keskusta Valkeakoski</t>
  </si>
  <si>
    <t>Ulvajankatu 25</t>
  </si>
  <si>
    <t>Keskusta Valkeakoski</t>
  </si>
  <si>
    <t>1196</t>
  </si>
  <si>
    <t>Kiinteistömaailma Valkeakoski | Koti Koskissa Oy</t>
  </si>
  <si>
    <t>31493022</t>
  </si>
  <si>
    <t>https://d3ls91xgksobn.cloudfront.net/400x300/etuovimedia/images/property/import/981/2553981/0e76b9541118d347871c0e0e51d244c4/f3d56f55ad7e317ca5bc9da9fb9073ff/ORIGINAL.jpeg</t>
  </si>
  <si>
    <t>https://d3ls91xgksobn.cloudfront.net/1200x900/etuovimedia/images/property/import/981/2553981/0e76b9541118d347871c0e0e51d244c4/f3d56f55ad7e317ca5bc9da9fb9073ff/ORIGINAL.jpeg</t>
  </si>
  <si>
    <t>2553981</t>
  </si>
  <si>
    <t>https://www.etuovi.com/kohde/31493022</t>
  </si>
  <si>
    <t>2026-04-25</t>
  </si>
  <si>
    <t>3h, k, s, las.p</t>
  </si>
  <si>
    <t>2026-06-10T14:03:16.537Z</t>
  </si>
  <si>
    <t>Apartment (Kerrostalo) — 3h, k, s, las.p — 73 m² — Keskusta Valkeakoski</t>
  </si>
  <si>
    <t>Heinämiehentie 10 A Rantavitikka Rovaniemi</t>
  </si>
  <si>
    <t>Heinämiehentie 10 A</t>
  </si>
  <si>
    <t>Rantavitikka Rovaniemi</t>
  </si>
  <si>
    <t>Mika Lehtiniemi</t>
  </si>
  <si>
    <t>2014</t>
  </si>
  <si>
    <t>Rantavitikka</t>
  </si>
  <si>
    <t>80513426</t>
  </si>
  <si>
    <t>https://d3ls91xgksobn.cloudfront.net/400x300/etuovimedia/images/property/import/515/2609515/0e76b9541118d347871c0e0e51d244c4/a22cd119ef6af3478831c088114bb79a/ORIGINAL.jpeg</t>
  </si>
  <si>
    <t>https://d3ls91xgksobn.cloudfront.net/1200x900/etuovimedia/images/property/import/515/2609515/0e76b9541118d347871c0e0e51d244c4/a22cd119ef6af3478831c088114bb79a/ORIGINAL.jpeg</t>
  </si>
  <si>
    <t>https://d3ls91xgksobn.cloudfront.net/1200x900/etuovimedia/images/property/import/515/2609515/0e76b9541118d347871c0e0e51d244c4/e519c9cdc44e7f9bf2114bdfdbddc854/ORIGINAL.jpeg</t>
  </si>
  <si>
    <t>2609515</t>
  </si>
  <si>
    <t>https://www.etuovi.com/kohde/80513426</t>
  </si>
  <si>
    <t>2h, k, kph, s, vh + las. parveke</t>
  </si>
  <si>
    <t>2026-06-10T14:03:16.574Z</t>
  </si>
  <si>
    <t>Apartment (Kerrostalo) — 2h, k, kph, s, vh + las. parveke — 51.5 m² — Rantavitikka Rovaniemi</t>
  </si>
  <si>
    <t>Pekankatu 3 B Keskusta Rovaniemi</t>
  </si>
  <si>
    <t>Pekankatu 3 B</t>
  </si>
  <si>
    <t>80512361</t>
  </si>
  <si>
    <t>https://d3ls91xgksobn.cloudfront.net/400x300/etuovimedia/images/property/import/511/2609511/0e76b9541118d347871c0e0e51d244c4/c751d711e691c10242b868b656c5be1a/ORIGINAL.jpeg</t>
  </si>
  <si>
    <t>https://d3ls91xgksobn.cloudfront.net/1200x900/etuovimedia/images/property/import/511/2609511/0e76b9541118d347871c0e0e51d244c4/c751d711e691c10242b868b656c5be1a/ORIGINAL.jpeg</t>
  </si>
  <si>
    <t>https://d3ls91xgksobn.cloudfront.net/1200x900/etuovimedia/images/property/import/511/2609511/0e76b9541118d347871c0e0e51d244c4/bd77dfe265ccdad1cefddd9e36156c6c/ORIGINAL.jpeg</t>
  </si>
  <si>
    <t>2609511</t>
  </si>
  <si>
    <t>https://www.etuovi.com/kohde/80512361</t>
  </si>
  <si>
    <t>3h, k, kph + las. parveke</t>
  </si>
  <si>
    <t>2026-06-10T14:03:16.609Z</t>
  </si>
  <si>
    <t>Apartment (Kerrostalo) — 3h, k, kph + las. parveke — 77 m² — Keskusta Rovaniemi</t>
  </si>
  <si>
    <t>Liuskakivenkuja 1 Kurkvuori Imatra</t>
  </si>
  <si>
    <t>Liuskakivenkuja 1</t>
  </si>
  <si>
    <t>Kurkvuori Imatra</t>
  </si>
  <si>
    <t>2985</t>
  </si>
  <si>
    <t>Huoneistokeskus Imatra</t>
  </si>
  <si>
    <t>Kurkvuori</t>
  </si>
  <si>
    <t>80513126</t>
  </si>
  <si>
    <t>https://d3ls91xgksobn.cloudfront.net/400x300/etuovimedia/images/property/import/510/2609510/0e76b9541118d347871c0e0e51d244c4/44d54c18016e07f970dfa2e12c57d8f9/ORIGINAL.jpeg</t>
  </si>
  <si>
    <t>https://d3ls91xgksobn.cloudfront.net/1200x900/etuovimedia/images/property/import/510/2609510/0e76b9541118d347871c0e0e51d244c4/44d54c18016e07f970dfa2e12c57d8f9/ORIGINAL.jpeg</t>
  </si>
  <si>
    <t>2609510</t>
  </si>
  <si>
    <t>https://www.etuovi.com/kohde/80513126</t>
  </si>
  <si>
    <t>5h + k + 2wc + pkh + psh + s + at + varastotilaa + kellarihuone</t>
  </si>
  <si>
    <t>2026-06-10T14:03:16.651Z</t>
  </si>
  <si>
    <t>Detached House (Omakotitalo) — 5h + k + 2wc + pkh + psh + s + at + varastotilaa + kellarihuone — 96 m² — Kurkvuori Imatra</t>
  </si>
  <si>
    <t>Läntinen Kuninkaantie 251 A Sunnanvik Siuntio</t>
  </si>
  <si>
    <t>Läntinen Kuninkaantie 251 A</t>
  </si>
  <si>
    <t>Sunnanvik Siuntio</t>
  </si>
  <si>
    <t>1913</t>
  </si>
  <si>
    <t>iHomes LKV</t>
  </si>
  <si>
    <t>1999</t>
  </si>
  <si>
    <t>Sunnanvik</t>
  </si>
  <si>
    <t>80515964</t>
  </si>
  <si>
    <t>https://d3ls91xgksobn.cloudfront.net/400x300/etuovimedia/images/property/import/509/2609509/0e76b9541118d347871c0e0e51d244c4/e47f91f870bf73dc0aba31ff3e298cb5/ORIGINAL.jpeg</t>
  </si>
  <si>
    <t>https://d3ls91xgksobn.cloudfront.net/1200x900/etuovimedia/images/property/import/509/2609509/0e76b9541118d347871c0e0e51d244c4/e47f91f870bf73dc0aba31ff3e298cb5/ORIGINAL.jpeg</t>
  </si>
  <si>
    <t>2609509</t>
  </si>
  <si>
    <t>https://www.etuovi.com/kohde/80515964</t>
  </si>
  <si>
    <t>339 000 €</t>
  </si>
  <si>
    <t>7h, k, s, 2kph, wc, khh, 2vh, parveke, terassi Tilan koko n 2,7ha (huom hevosihmiset)</t>
  </si>
  <si>
    <t>2026-06-10T14:03:16.669Z</t>
  </si>
  <si>
    <t>Detached House (Omakotitalo) — 7h, k, s, 2kph, wc, khh, 2vh, parveke, terassi Tilan koko n 2,7ha (huom hevosihmiset) — 165 m² — Sunnanvik Siuntio</t>
  </si>
  <si>
    <t>Peltoniemenkuja 4 A Havukoski Vantaa</t>
  </si>
  <si>
    <t>Peltoniemenkuja 4 A</t>
  </si>
  <si>
    <t>Havukoski Vantaa</t>
  </si>
  <si>
    <t>4581</t>
  </si>
  <si>
    <t>REMAX Parhaat Kodit | LohjaKey Oy</t>
  </si>
  <si>
    <t>Sami Leskinen</t>
  </si>
  <si>
    <t>Havukoski</t>
  </si>
  <si>
    <t>80513255</t>
  </si>
  <si>
    <t>https://d3ls91xgksobn.cloudfront.net/400x300/etuovimedia/images/property/import/508/2609508/0e76b9541118d347871c0e0e51d244c4/7ab824adaf4fe4669e8492bb0d740eb7/ORIGINAL.jpeg</t>
  </si>
  <si>
    <t>https://d3ls91xgksobn.cloudfront.net/1200x900/etuovimedia/images/property/import/508/2609508/0e76b9541118d347871c0e0e51d244c4/7ab824adaf4fe4669e8492bb0d740eb7/ORIGINAL.jpeg</t>
  </si>
  <si>
    <t>https://d3ls91xgksobn.cloudfront.net/1200x900/etuovimedia/images/property/import/508/2609508/0e76b9541118d347871c0e0e51d244c4/e6643ccea483835388d4cd107f2cbde6/ORIGINAL.jpeg</t>
  </si>
  <si>
    <t>2609508</t>
  </si>
  <si>
    <t>https://www.etuovi.com/kohde/80513255</t>
  </si>
  <si>
    <t>2h + k + lasitettu parveke</t>
  </si>
  <si>
    <t>2026-06-10T14:03:16.714Z</t>
  </si>
  <si>
    <t>Apartment (Kerrostalo) — 2h + k + lasitettu parveke — 60 m² — Havukoski Vantaa</t>
  </si>
  <si>
    <t>Karpalopolku 2 Kourujärvi Rauma</t>
  </si>
  <si>
    <t>Karpalopolku 2</t>
  </si>
  <si>
    <t>Kourujärvi Rauma</t>
  </si>
  <si>
    <t>1188</t>
  </si>
  <si>
    <t>Rauma LKV</t>
  </si>
  <si>
    <t>Kourujärvi</t>
  </si>
  <si>
    <t>fs4776</t>
  </si>
  <si>
    <t>https://d3ls91xgksobn.cloudfront.net/400x300/etuovimedia/images/property/import/507/2609507/0e76b9541118d347871c0e0e51d244c4/d6609029dc321229265b02f85bf8eafc/ORIGINAL.jpeg</t>
  </si>
  <si>
    <t>https://d3ls91xgksobn.cloudfront.net/1200x900/etuovimedia/images/property/import/507/2609507/0e76b9541118d347871c0e0e51d244c4/d6609029dc321229265b02f85bf8eafc/ORIGINAL.jpeg</t>
  </si>
  <si>
    <t>2609507</t>
  </si>
  <si>
    <t>https://www.etuovi.com/kohde/fs4776</t>
  </si>
  <si>
    <t>35 000 €</t>
  </si>
  <si>
    <t>2 h + k</t>
  </si>
  <si>
    <t>2026-06-10T14:03:16.784Z</t>
  </si>
  <si>
    <t>Apartment (Kerrostalo) — 2 h + k — 58.5 m² — Kourujärvi Rauma</t>
  </si>
  <si>
    <t>Ulkuniementie 15 A Luusua Kemijärvi</t>
  </si>
  <si>
    <t>Ulkuniementie 15 A</t>
  </si>
  <si>
    <t>Luusua Kemijärvi</t>
  </si>
  <si>
    <t>Luusua</t>
  </si>
  <si>
    <t>80514881</t>
  </si>
  <si>
    <t>https://d3ls91xgksobn.cloudfront.net/400x300/etuovimedia/images/property/import/506/2609506/0e76b9541118d347871c0e0e51d244c4/a14b5e0cab32c1e7ad5879a2bd1e7657/ORIGINAL.jpeg</t>
  </si>
  <si>
    <t>https://d3ls91xgksobn.cloudfront.net/1200x900/etuovimedia/images/property/import/506/2609506/0e76b9541118d347871c0e0e51d244c4/a14b5e0cab32c1e7ad5879a2bd1e7657/ORIGINAL.jpeg</t>
  </si>
  <si>
    <t>https://d3ls91xgksobn.cloudfront.net/1200x900/etuovimedia/images/property/import/506/2609506/0e76b9541118d347871c0e0e51d244c4/a0058df4dd1891b3ef649591eb5f5e1f/ORIGINAL.jpeg</t>
  </si>
  <si>
    <t>2609506</t>
  </si>
  <si>
    <t>https://www.etuovi.com/kohde/80514881</t>
  </si>
  <si>
    <t>48 750 €</t>
  </si>
  <si>
    <t>3h, k, kph, s, wc + terassi</t>
  </si>
  <si>
    <t>2026-06-10T14:03:17.002Z</t>
  </si>
  <si>
    <t>Row House (Rivitalo) — 3h, k, kph, s, wc + terassi — 75 m² — Luusua Kemijärvi</t>
  </si>
  <si>
    <t>Puikuojantie 9 A Saarenkylä Rovaniemi</t>
  </si>
  <si>
    <t>Puikuojantie 9 A</t>
  </si>
  <si>
    <t>Samppa Väisänen</t>
  </si>
  <si>
    <t>80513955</t>
  </si>
  <si>
    <t>https://d3ls91xgksobn.cloudfront.net/400x300/etuovimedia/images/property/import/505/2609505/0e76b9541118d347871c0e0e51d244c4/f84d99a9fd0405157a90d8bad2efb6f0/ORIGINAL.jpeg</t>
  </si>
  <si>
    <t>https://d3ls91xgksobn.cloudfront.net/1200x900/etuovimedia/images/property/import/505/2609505/0e76b9541118d347871c0e0e51d244c4/f84d99a9fd0405157a90d8bad2efb6f0/ORIGINAL.jpeg</t>
  </si>
  <si>
    <t>https://d3ls91xgksobn.cloudfront.net/1200x900/etuovimedia/images/property/import/505/2609505/0e76b9541118d347871c0e0e51d244c4/6640e7ea362da543981ac18cf7c98c40/ORIGINAL.jpeg</t>
  </si>
  <si>
    <t>2609505</t>
  </si>
  <si>
    <t>https://www.etuovi.com/kohde/80513955</t>
  </si>
  <si>
    <t>2h, k, kph, s + terassi</t>
  </si>
  <si>
    <t>2026-06-10T14:03:17.098Z</t>
  </si>
  <si>
    <t>Row House (Rivitalo) — 2h, k, kph, s + terassi — 56 m² — Saarenkylä Rovaniemi</t>
  </si>
  <si>
    <t>Albininkatu 1 B Kärki Seinäjoki</t>
  </si>
  <si>
    <t>Albininkatu 1 B</t>
  </si>
  <si>
    <t>Kärki Seinäjoki</t>
  </si>
  <si>
    <t>605</t>
  </si>
  <si>
    <t>OP Koti Etelä-Pohjanmaa Oy LKV</t>
  </si>
  <si>
    <t>Linda Mäkivirta-Valkama</t>
  </si>
  <si>
    <t>Kärki</t>
  </si>
  <si>
    <t>614909</t>
  </si>
  <si>
    <t>https://d3ls91xgksobn.cloudfront.net/400x300/etuovimedia/images/property/import/516/2500516/0e76b9541118d347871c0e0e51d244c4/d7125741480f3cf6f79603e70085df86/ORIGINAL.jpeg</t>
  </si>
  <si>
    <t>https://d3ls91xgksobn.cloudfront.net/1200x900/etuovimedia/images/property/import/516/2500516/0e76b9541118d347871c0e0e51d244c4/d7125741480f3cf6f79603e70085df86/ORIGINAL.jpeg</t>
  </si>
  <si>
    <t>https://d3ls91xgksobn.cloudfront.net/1200x900/etuovimedia/images/property/import/516/2500516/0e76b9541118d347871c0e0e51d244c4/d6dcddeca2083483e6c5c15d5d3e2f52/ORIGINAL.jpeg</t>
  </si>
  <si>
    <t>https://d3ls91xgksobn.cloudfront.net/1200x900/etuovimedia/images/property/import/516/2500516/0e76b9541118d347871c0e0e51d244c4/cc006dbdcd163b80f1849cbf6fd1dde6/ORIGINAL.jpeg</t>
  </si>
  <si>
    <t>2500516</t>
  </si>
  <si>
    <t>https://www.etuovi.com/kohde/614909</t>
  </si>
  <si>
    <t>160 000 €</t>
  </si>
  <si>
    <t>2026-03-09</t>
  </si>
  <si>
    <t>2026-06-10T14:03:17.202Z</t>
  </si>
  <si>
    <t>Row House (Rivitalo) — 3h + k + s — 63 m² — Kärki Seinäjoki</t>
  </si>
  <si>
    <t>Rissonkatu 50 A 25 Lamminrahka Kangasala</t>
  </si>
  <si>
    <t>Rissonkatu 50 A 25</t>
  </si>
  <si>
    <t>Lamminrahka Kangasala</t>
  </si>
  <si>
    <t>2026</t>
  </si>
  <si>
    <t>Lamminrahka</t>
  </si>
  <si>
    <t>55737076</t>
  </si>
  <si>
    <t>https://d3ls91xgksobn.cloudfront.net/400x300/etuovimedia/images/property/import/504/2609504/0e76b9541118d347871c0e0e51d244c4/930b16f2dc444a5d2c72f271551d6224/ORIGINAL.jpeg</t>
  </si>
  <si>
    <t>https://d3ls91xgksobn.cloudfront.net/1200x900/etuovimedia/images/property/import/504/2609504/0e76b9541118d347871c0e0e51d244c4/930b16f2dc444a5d2c72f271551d6224/ORIGINAL.jpeg</t>
  </si>
  <si>
    <t>2609504</t>
  </si>
  <si>
    <t>https://www.etuovi.com/kohde/55737076</t>
  </si>
  <si>
    <t>209 993,51 €</t>
  </si>
  <si>
    <t>oh + kt + kph + s + makuutila + työtila + varasto + terassi lasituksella</t>
  </si>
  <si>
    <t>2026-06-10T14:03:17.230Z</t>
  </si>
  <si>
    <t>Apartment (Kerrostalo) — oh + kt + kph + s + makuutila + työtila + varasto + terassi lasituksella — 54.5 m² — Lamminrahka Kangasala</t>
  </si>
  <si>
    <t>Mustinlammenkatu 4 A Niirala Kuopio</t>
  </si>
  <si>
    <t>Mustinlammenkatu 4 A</t>
  </si>
  <si>
    <t>80481553</t>
  </si>
  <si>
    <t>https://d3ls91xgksobn.cloudfront.net/400x300/etuovimedia/images/property/import/934/2458934/0e76b9541118d347871c0e0e51d244c4/9bf27c3a1c70a9e80b11138947ff62ef/ORIGINAL.jpeg</t>
  </si>
  <si>
    <t>https://d3ls91xgksobn.cloudfront.net/1200x900/etuovimedia/images/property/import/934/2458934/0e76b9541118d347871c0e0e51d244c4/9bf27c3a1c70a9e80b11138947ff62ef/ORIGINAL.jpeg</t>
  </si>
  <si>
    <t>2458934</t>
  </si>
  <si>
    <t>https://www.etuovi.com/kohde/80481553</t>
  </si>
  <si>
    <t>2026-01-29</t>
  </si>
  <si>
    <t>3h + k + khh + s (yj.3h + k + s)</t>
  </si>
  <si>
    <t>2026-06-10T14:03:17.315Z</t>
  </si>
  <si>
    <t>Apartment (Kerrostalo) — 3h + k + khh + s (yj.3h + k + s) — 76.5 m² — Niirala Kuopio</t>
  </si>
  <si>
    <t>Rissonkatu 50 A 23 Lamminrahka Kangasala</t>
  </si>
  <si>
    <t>Rissonkatu 50 A 23</t>
  </si>
  <si>
    <t>44911491</t>
  </si>
  <si>
    <t>https://d3ls91xgksobn.cloudfront.net/400x300/etuovimedia/images/property/import/503/2609503/0e76b9541118d347871c0e0e51d244c4/2f1637eea5733ba2dc08bf47f5a756db/ORIGINAL.jpeg</t>
  </si>
  <si>
    <t>https://d3ls91xgksobn.cloudfront.net/1200x900/etuovimedia/images/property/import/503/2609503/0e76b9541118d347871c0e0e51d244c4/2f1637eea5733ba2dc08bf47f5a756db/ORIGINAL.jpeg</t>
  </si>
  <si>
    <t>2609503</t>
  </si>
  <si>
    <t>https://www.etuovi.com/kohde/44911491</t>
  </si>
  <si>
    <t>264 740,9 €</t>
  </si>
  <si>
    <t>oh + kt + kph + s + mh + makuutila + työtila + lounge + parveke</t>
  </si>
  <si>
    <t>2026-06-10T14:03:17.344Z</t>
  </si>
  <si>
    <t>Apartment (Kerrostalo) — oh + kt + kph + s + mh + makuutila + työtila + lounge + parveke — 71 m² — Lamminrahka Kangasala</t>
  </si>
  <si>
    <t>Rissonkatu 50 B 48 Lamminrahka Kangasala</t>
  </si>
  <si>
    <t>Rissonkatu 50 B 48</t>
  </si>
  <si>
    <t>65067868</t>
  </si>
  <si>
    <t>https://d3ls91xgksobn.cloudfront.net/400x300/etuovimedia/images/property/import/501/2609501/0e76b9541118d347871c0e0e51d244c4/92b0778872ce866252f3810a61203ffc/ORIGINAL.jpeg</t>
  </si>
  <si>
    <t>https://d3ls91xgksobn.cloudfront.net/1200x900/etuovimedia/images/property/import/501/2609501/0e76b9541118d347871c0e0e51d244c4/92b0778872ce866252f3810a61203ffc/ORIGINAL.jpeg</t>
  </si>
  <si>
    <t>2609501</t>
  </si>
  <si>
    <t>https://www.etuovi.com/kohde/65067868</t>
  </si>
  <si>
    <t>369 866,17 €</t>
  </si>
  <si>
    <t>oh, kt, mh, 2xwc, khh, s, vh, makuutila, terassi, piha, lämmin irtaimistovarasto</t>
  </si>
  <si>
    <t>2026-06-10T14:03:17.383Z</t>
  </si>
  <si>
    <t>Row House (Rivitalo) — oh, kt, mh, 2xwc, khh, s, vh, makuutila, terassi, piha, lämmin irtaimistovarasto — 88.5 m² — Lamminrahka Kangasala</t>
  </si>
  <si>
    <t>Särkäntie 7 Kirkkolahti Orivesi</t>
  </si>
  <si>
    <t>Särkäntie 7</t>
  </si>
  <si>
    <t>Kirkkolahti Orivesi</t>
  </si>
  <si>
    <t>1869</t>
  </si>
  <si>
    <t>Kiinteistömaailma Tampere Koilliskeskus | Kangasalan Kodit Oy</t>
  </si>
  <si>
    <t>Kirkkolahti</t>
  </si>
  <si>
    <t>39472347</t>
  </si>
  <si>
    <t>https://d3ls91xgksobn.cloudfront.net/400x300/etuovimedia/images/property/import/500/2609500/0e76b9541118d347871c0e0e51d244c4/3f4994d262f9c81d40c826386b3babc7/ORIGINAL.jpeg</t>
  </si>
  <si>
    <t>https://d3ls91xgksobn.cloudfront.net/1200x900/etuovimedia/images/property/import/500/2609500/0e76b9541118d347871c0e0e51d244c4/3f4994d262f9c81d40c826386b3babc7/ORIGINAL.jpeg</t>
  </si>
  <si>
    <t>2609500</t>
  </si>
  <si>
    <t>https://www.etuovi.com/kohde/39472347</t>
  </si>
  <si>
    <t>100 000 €</t>
  </si>
  <si>
    <t>3h, k, kph, s, 2 x eril. wc, vh</t>
  </si>
  <si>
    <t>2026-06-10T14:03:19.323Z</t>
  </si>
  <si>
    <t>Row House (Rivitalo) — 3h, k, kph, s, 2 x eril. wc, vh — 86 m² — Kirkkolahti Orivesi</t>
  </si>
  <si>
    <t>Rissonkatu 50 B 45 Lamminrahka Kangasala</t>
  </si>
  <si>
    <t>Rissonkatu 50 B 45</t>
  </si>
  <si>
    <t>62620453</t>
  </si>
  <si>
    <t>https://d3ls91xgksobn.cloudfront.net/400x300/etuovimedia/images/property/import/499/2609499/0e76b9541118d347871c0e0e51d244c4/ed27bad90c867ee9162466dacc136f04/ORIGINAL.jpeg</t>
  </si>
  <si>
    <t>https://d3ls91xgksobn.cloudfront.net/1200x900/etuovimedia/images/property/import/499/2609499/0e76b9541118d347871c0e0e51d244c4/ed27bad90c867ee9162466dacc136f04/ORIGINAL.jpeg</t>
  </si>
  <si>
    <t>2609499</t>
  </si>
  <si>
    <t>https://www.etuovi.com/kohde/62620453</t>
  </si>
  <si>
    <t>259 857,33 €</t>
  </si>
  <si>
    <t>oh, kt, mh, kph, s, vh, wc, makuutila, terassi, piha, lämmin irtaimistovarasto</t>
  </si>
  <si>
    <t>2026-06-10T14:03:19.372Z</t>
  </si>
  <si>
    <t>Row House (Rivitalo) — oh, kt, mh, kph, s, vh, wc, makuutila, terassi, piha, lämmin irtaimistovarasto — 60.5 m² — Lamminrahka Kangasala</t>
  </si>
  <si>
    <t>Ahomansikantie 18 Rantakylä Joensuu</t>
  </si>
  <si>
    <t>Ahomansikantie 18</t>
  </si>
  <si>
    <t>Rantakylä Joensuu</t>
  </si>
  <si>
    <t>Niina Savolainen</t>
  </si>
  <si>
    <t>Rantakylä</t>
  </si>
  <si>
    <t>66496812</t>
  </si>
  <si>
    <t>https://d3ls91xgksobn.cloudfront.net/400x300/etuovimedia/images/property/import/498/2609498/0e76b9541118d347871c0e0e51d244c4/e82c758566d25167ce5f17881eff588f/ORIGINAL.jpeg</t>
  </si>
  <si>
    <t>https://d3ls91xgksobn.cloudfront.net/1200x900/etuovimedia/images/property/import/498/2609498/0e76b9541118d347871c0e0e51d244c4/e82c758566d25167ce5f17881eff588f/ORIGINAL.jpeg</t>
  </si>
  <si>
    <t>https://d3ls91xgksobn.cloudfront.net/1200x900/etuovimedia/images/property/import/498/2609498/0e76b9541118d347871c0e0e51d244c4/b37d64f163dc9831ccb0ed8372db0974/ORIGINAL.jpeg</t>
  </si>
  <si>
    <t>2609498</t>
  </si>
  <si>
    <t>https://www.etuovi.com/kohde/66496812</t>
  </si>
  <si>
    <t>4h, k, khh, kph, autokatos</t>
  </si>
  <si>
    <t>2026-06-10T14:03:19.416Z</t>
  </si>
  <si>
    <t>Detached House (Omakotitalo) — 4h, k, khh, kph, autokatos — 128 m² — Rantakylä Joensuu</t>
  </si>
  <si>
    <t>Vadelmakuja 1 Asuntila Ylöjärvi</t>
  </si>
  <si>
    <t>Vadelmakuja 1</t>
  </si>
  <si>
    <t>Asuntila Ylöjärvi</t>
  </si>
  <si>
    <t>3297</t>
  </si>
  <si>
    <t>Bo LKV Tampere | Valtteri Lampinen LKV Oy</t>
  </si>
  <si>
    <t>Lampinen Valtteri</t>
  </si>
  <si>
    <t>Asuntila</t>
  </si>
  <si>
    <t>21558212</t>
  </si>
  <si>
    <t>https://d3ls91xgksobn.cloudfront.net/400x300/etuovimedia/images/property/import/497/2609497/0e76b9541118d347871c0e0e51d244c4/39fc49d058be03fe1ed8bbb159de7c91/ORIGINAL.jpeg</t>
  </si>
  <si>
    <t>https://d3ls91xgksobn.cloudfront.net/1200x900/etuovimedia/images/property/import/497/2609497/0e76b9541118d347871c0e0e51d244c4/39fc49d058be03fe1ed8bbb159de7c91/ORIGINAL.jpeg</t>
  </si>
  <si>
    <t>https://d3ls91xgksobn.cloudfront.net/1200x900/etuovimedia/images/property/import/497/2609497/0e76b9541118d347871c0e0e51d244c4/8032ea9603cf782a3e1bdb963034ba7b/ORIGINAL.jpeg</t>
  </si>
  <si>
    <t>2609497</t>
  </si>
  <si>
    <t>https://www.etuovi.com/kohde/21558212</t>
  </si>
  <si>
    <t>3h, k, kph / wc / s, erill wc, vh, terassi / piha</t>
  </si>
  <si>
    <t>2026-06-10T14:03:19.439Z</t>
  </si>
  <si>
    <t>Row House (Rivitalo) — 3h, k, kph / wc / s, erill wc, vh, terassi / piha — 79 m² — Asuntila Ylöjärvi</t>
  </si>
  <si>
    <t>Rissonkatu 50 A 31 Lamminrahka Kangasala</t>
  </si>
  <si>
    <t>Rissonkatu 50 A 31</t>
  </si>
  <si>
    <t>38867894</t>
  </si>
  <si>
    <t>https://d3ls91xgksobn.cloudfront.net/400x300/etuovimedia/images/property/import/496/2609496/0e76b9541118d347871c0e0e51d244c4/8f6256131a2ad6ea770682b7fbabb4fd/ORIGINAL.jpeg</t>
  </si>
  <si>
    <t>https://d3ls91xgksobn.cloudfront.net/1200x900/etuovimedia/images/property/import/496/2609496/0e76b9541118d347871c0e0e51d244c4/8f6256131a2ad6ea770682b7fbabb4fd/ORIGINAL.jpeg</t>
  </si>
  <si>
    <t>2609496</t>
  </si>
  <si>
    <t>https://www.etuovi.com/kohde/38867894</t>
  </si>
  <si>
    <t>135 968,87 €</t>
  </si>
  <si>
    <t>oh + kt + kph + makuutila + parveke lasituksella</t>
  </si>
  <si>
    <t>2026-06-10T14:03:19.471Z</t>
  </si>
  <si>
    <t>Apartment (Kerrostalo) — oh + kt + kph + makuutila + parveke lasituksella — 32 m² — Lamminrahka Kangasala</t>
  </si>
  <si>
    <t>Rissonkatu 50 A 29 Lamminrahka Kangasala</t>
  </si>
  <si>
    <t>Rissonkatu 50 A 29</t>
  </si>
  <si>
    <t>67403173</t>
  </si>
  <si>
    <t>https://d3ls91xgksobn.cloudfront.net/400x300/etuovimedia/images/property/import/495/2609495/0e76b9541118d347871c0e0e51d244c4/04701514afd65fdb2cc23b00d3c06af4/ORIGINAL.jpeg</t>
  </si>
  <si>
    <t>https://d3ls91xgksobn.cloudfront.net/1200x900/etuovimedia/images/property/import/495/2609495/0e76b9541118d347871c0e0e51d244c4/04701514afd65fdb2cc23b00d3c06af4/ORIGINAL.jpeg</t>
  </si>
  <si>
    <t>2609495</t>
  </si>
  <si>
    <t>https://www.etuovi.com/kohde/67403173</t>
  </si>
  <si>
    <t>249 833,16 €</t>
  </si>
  <si>
    <t>oh + kt + kph + s + makuutila + työtila + varasto + parveke</t>
  </si>
  <si>
    <t>2026-06-10T14:03:19.488Z</t>
  </si>
  <si>
    <t>Apartment (Kerrostalo) — oh + kt + kph + s + makuutila + työtila + varasto + parveke — 54.5 m² — Lamminrahka Kangasala</t>
  </si>
  <si>
    <t>Rissonkatu 50 B 49 Lamminrahka Kangasala</t>
  </si>
  <si>
    <t>Rissonkatu 50 B 49</t>
  </si>
  <si>
    <t>65942985</t>
  </si>
  <si>
    <t>https://d3ls91xgksobn.cloudfront.net/400x300/etuovimedia/images/property/import/494/2609494/0e76b9541118d347871c0e0e51d244c4/0052938ab784a5854615ba743d402b71/ORIGINAL.jpeg</t>
  </si>
  <si>
    <t>https://d3ls91xgksobn.cloudfront.net/1200x900/etuovimedia/images/property/import/494/2609494/0e76b9541118d347871c0e0e51d244c4/0052938ab784a5854615ba743d402b71/ORIGINAL.jpeg</t>
  </si>
  <si>
    <t>2609494</t>
  </si>
  <si>
    <t>https://www.etuovi.com/kohde/65942985</t>
  </si>
  <si>
    <t>oh, kt, kph, s, vh, wc, makuutila, terassi, piha, lämmin irtaimistovarasto</t>
  </si>
  <si>
    <t>2026-06-10T14:03:19.585Z</t>
  </si>
  <si>
    <t>Row House (Rivitalo) — oh, kt, kph, s, vh, wc, makuutila, terassi, piha, lämmin irtaimistovarasto — 62 m² — Lamminrahka Kangasala</t>
  </si>
  <si>
    <t>Aspitie 16 Sääksvuori Jyväskylä</t>
  </si>
  <si>
    <t>Aspitie 16</t>
  </si>
  <si>
    <t>Sääksvuori Jyväskylä</t>
  </si>
  <si>
    <t>1025</t>
  </si>
  <si>
    <t>Kiinteistömaailma Jyväskylä Tourula | PR-Neliöt Oy</t>
  </si>
  <si>
    <t>Sanna Hotanen</t>
  </si>
  <si>
    <t>Sääksvuori</t>
  </si>
  <si>
    <t>36223434</t>
  </si>
  <si>
    <t>https://d3ls91xgksobn.cloudfront.net/400x300/etuovimedia/images/property/import/490/2609490/0e76b9541118d347871c0e0e51d244c4/5d946c07dee813da065d8b04e5ee4c2c/ORIGINAL.jpeg</t>
  </si>
  <si>
    <t>https://d3ls91xgksobn.cloudfront.net/1200x900/etuovimedia/images/property/import/490/2609490/0e76b9541118d347871c0e0e51d244c4/5d946c07dee813da065d8b04e5ee4c2c/ORIGINAL.jpeg</t>
  </si>
  <si>
    <t>https://d3ls91xgksobn.cloudfront.net/1200x900/etuovimedia/images/property/import/490/2609490/0e76b9541118d347871c0e0e51d244c4/a43accd0558e2f9b7294746c5ee19e89/ORIGINAL.jpeg</t>
  </si>
  <si>
    <t>2609490</t>
  </si>
  <si>
    <t>https://www.etuovi.com/kohde/36223434</t>
  </si>
  <si>
    <t>279 000 €</t>
  </si>
  <si>
    <t>5h, k, s, kph, khh, vh, erill. wc</t>
  </si>
  <si>
    <t>2026-06-10T14:03:19.716Z</t>
  </si>
  <si>
    <t>Detached House (Omakotitalo) — 5h, k, s, kph, khh, vh, erill. wc — 121 m² — Sääksvuori Jyväskylä</t>
  </si>
  <si>
    <t>Safiirikuja 11-13 Kivistö Vantaa</t>
  </si>
  <si>
    <t>Safiirikuja 11-13</t>
  </si>
  <si>
    <t>3851</t>
  </si>
  <si>
    <t>Kiinteistömaailma Nurmijärvi Klaukkala | Saranen LKV Oy</t>
  </si>
  <si>
    <t>Satu Saranen</t>
  </si>
  <si>
    <t>56844361</t>
  </si>
  <si>
    <t>https://d3ls91xgksobn.cloudfront.net/400x300/etuovimedia/images/property/import/489/2609489/0e76b9541118d347871c0e0e51d244c4/c9542fe83402d9892efa12bf85ed3ab7/ORIGINAL.jpeg</t>
  </si>
  <si>
    <t>https://d3ls91xgksobn.cloudfront.net/1200x900/etuovimedia/images/property/import/489/2609489/0e76b9541118d347871c0e0e51d244c4/c9542fe83402d9892efa12bf85ed3ab7/ORIGINAL.jpeg</t>
  </si>
  <si>
    <t>https://d3ls91xgksobn.cloudfront.net/1200x900/etuovimedia/images/property/import/489/2609489/0e76b9541118d347871c0e0e51d244c4/8bda13b920f5e0ce8026cb3884a420fd/ORIGINAL.jpeg</t>
  </si>
  <si>
    <t>2609489</t>
  </si>
  <si>
    <t>https://www.etuovi.com/kohde/56844361</t>
  </si>
  <si>
    <t>3h, k, kph, s, erill.wc, las.parv</t>
  </si>
  <si>
    <t>2026-06-10T14:03:19.851Z</t>
  </si>
  <si>
    <t>Apartment (Kerrostalo) — 3h, k, kph, s, erill.wc, las.parv — 66.5 m² — Kivistö Vantaa</t>
  </si>
  <si>
    <t>Vapparintie 786 Kakskerta Turku</t>
  </si>
  <si>
    <t>Vapparintie 786</t>
  </si>
  <si>
    <t>Kakskerta Turku</t>
  </si>
  <si>
    <t>1076</t>
  </si>
  <si>
    <t>Kiinteistömaailma Turku Luostarinkatu | Kotitie Oy LKV</t>
  </si>
  <si>
    <t>Kakskerta</t>
  </si>
  <si>
    <t>64763509</t>
  </si>
  <si>
    <t>https://d3ls91xgksobn.cloudfront.net/400x300/etuovimedia/images/property/import/488/2609488/0e76b9541118d347871c0e0e51d244c4/14806843d95b262df2ff48ae4fb70aef/ORIGINAL.jpeg</t>
  </si>
  <si>
    <t>https://d3ls91xgksobn.cloudfront.net/1200x900/etuovimedia/images/property/import/488/2609488/0e76b9541118d347871c0e0e51d244c4/14806843d95b262df2ff48ae4fb70aef/ORIGINAL.jpeg</t>
  </si>
  <si>
    <t>2609488</t>
  </si>
  <si>
    <t>https://www.etuovi.com/kohde/64763509</t>
  </si>
  <si>
    <t>209 000 €</t>
  </si>
  <si>
    <t>3h + k + wc</t>
  </si>
  <si>
    <t>2026-06-10T14:03:19.871Z</t>
  </si>
  <si>
    <t>Detached House (Omakotitalo) — 3h + k + wc — 80 m² — Kakskerta Turku</t>
  </si>
  <si>
    <t>Itäinen rantakatu 52 Martti Turku</t>
  </si>
  <si>
    <t>Itäinen rantakatu 52</t>
  </si>
  <si>
    <t>Martti Turku</t>
  </si>
  <si>
    <t>20</t>
  </si>
  <si>
    <t>Habita Turku | Habita Finland Oy</t>
  </si>
  <si>
    <t>https://www.habita.com/fi</t>
  </si>
  <si>
    <t>Martti</t>
  </si>
  <si>
    <t>2274965</t>
  </si>
  <si>
    <t>https://d3ls91xgksobn.cloudfront.net/400x300/etuovimedia/images/property/import/486/2609486/0e76b9541118d347871c0e0e51d244c4/89ab92ef36dec942e1ee680f02dd0315/ORIGINAL.jpeg</t>
  </si>
  <si>
    <t>https://d3ls91xgksobn.cloudfront.net/1200x900/etuovimedia/images/property/import/486/2609486/0e76b9541118d347871c0e0e51d244c4/89ab92ef36dec942e1ee680f02dd0315/ORIGINAL.jpeg</t>
  </si>
  <si>
    <t>2609486</t>
  </si>
  <si>
    <t>https://www.etuovi.com/kohde/2274965</t>
  </si>
  <si>
    <t>2H, K, KPH / WC, LAS.P.</t>
  </si>
  <si>
    <t>2026-06-10T14:03:19.889Z</t>
  </si>
  <si>
    <t>Apartment (Kerrostalo) — 2H, K, KPH / WC, LAS.P. — 51 m² — Martti Turku</t>
  </si>
  <si>
    <t>Kahvipavunkuja 1 Aurinkolahti Helsinki</t>
  </si>
  <si>
    <t>Kahvipavunkuja 1</t>
  </si>
  <si>
    <t>Aurinkolahti Helsinki</t>
  </si>
  <si>
    <t>2664</t>
  </si>
  <si>
    <t>Habita Helsinki | Helsingin Habita Oy</t>
  </si>
  <si>
    <t>Aurinkolahti</t>
  </si>
  <si>
    <t>2275356</t>
  </si>
  <si>
    <t>https://d3ls91xgksobn.cloudfront.net/400x300/etuovimedia/images/property/import/485/2609485/0e76b9541118d347871c0e0e51d244c4/e5e69baf6a671d7b63eee6cbf1cb6340/ORIGINAL.jpeg</t>
  </si>
  <si>
    <t>https://d3ls91xgksobn.cloudfront.net/1200x900/etuovimedia/images/property/import/485/2609485/0e76b9541118d347871c0e0e51d244c4/e5e69baf6a671d7b63eee6cbf1cb6340/ORIGINAL.jpeg</t>
  </si>
  <si>
    <t>2609485</t>
  </si>
  <si>
    <t>https://www.etuovi.com/kohde/2275356</t>
  </si>
  <si>
    <t>Hyväkuntoinen kaunis koti merinäköalalla!</t>
  </si>
  <si>
    <t>2026-06-10T14:03:19.988Z</t>
  </si>
  <si>
    <t>Apartment (Kerrostalo) — Hyväkuntoinen kaunis koti merinäköalalla! — 47.5 m² — Aurinkolahti Helsinki</t>
  </si>
  <si>
    <t>Koulukatu 12 Raahe Raahe</t>
  </si>
  <si>
    <t>Koulukatu 12</t>
  </si>
  <si>
    <t>Raahe Raahe</t>
  </si>
  <si>
    <t>2955</t>
  </si>
  <si>
    <t>Habita Raahe | Pohjois-Suomen Habita Oy</t>
  </si>
  <si>
    <t>1972</t>
  </si>
  <si>
    <t>2275352</t>
  </si>
  <si>
    <t>https://d3ls91xgksobn.cloudfront.net/400x300/etuovimedia/images/property/import/484/2609484/0e76b9541118d347871c0e0e51d244c4/8da056cdcea9c7c745a88c3d46fb991e/ORIGINAL.jpeg</t>
  </si>
  <si>
    <t>https://d3ls91xgksobn.cloudfront.net/1200x900/etuovimedia/images/property/import/484/2609484/0e76b9541118d347871c0e0e51d244c4/8da056cdcea9c7c745a88c3d46fb991e/ORIGINAL.jpeg</t>
  </si>
  <si>
    <t>2609484</t>
  </si>
  <si>
    <t>https://www.etuovi.com/kohde/2275352</t>
  </si>
  <si>
    <t>83 000 €</t>
  </si>
  <si>
    <t>Oh, k, 3mh, kph, s, lasitettu parveke</t>
  </si>
  <si>
    <t>2026-06-10T14:03:20.023Z</t>
  </si>
  <si>
    <t>Apartment (Kerrostalo) — Oh, k, 3mh, kph, s, lasitettu parveke — 93 m² — Raahe Raahe</t>
  </si>
  <si>
    <t>Hallikuja 3 Keskusta Kempele</t>
  </si>
  <si>
    <t>Hallikuja 3</t>
  </si>
  <si>
    <t>Keskusta Kempele</t>
  </si>
  <si>
    <t>11</t>
  </si>
  <si>
    <t>Habita Oulu | Pohjois-Suomen Habita Oy</t>
  </si>
  <si>
    <t>2275395</t>
  </si>
  <si>
    <t>https://d3ls91xgksobn.cloudfront.net/400x300/etuovimedia/images/property/import/483/2609483/0e76b9541118d347871c0e0e51d244c4/817b84c524c87038bb35265a1beb1652/ORIGINAL.jpeg</t>
  </si>
  <si>
    <t>https://d3ls91xgksobn.cloudfront.net/1200x900/etuovimedia/images/property/import/483/2609483/0e76b9541118d347871c0e0e51d244c4/817b84c524c87038bb35265a1beb1652/ORIGINAL.jpeg</t>
  </si>
  <si>
    <t>2609483</t>
  </si>
  <si>
    <t>https://www.etuovi.com/kohde/2275395</t>
  </si>
  <si>
    <t>136 000 €</t>
  </si>
  <si>
    <t>Kempele Rt 3h, k, s</t>
  </si>
  <si>
    <t>2026-06-10T14:03:20.069Z</t>
  </si>
  <si>
    <t>Apartment (Kerrostalo) — Kempele Rt 3h, k, s — 75 m² — Keskusta Kempele</t>
  </si>
  <si>
    <t>Lohtajantie 4 Lohtajan keskusta / Kirkonkylä Kokkola</t>
  </si>
  <si>
    <t>Lohtajantie 4</t>
  </si>
  <si>
    <t>Lohtajan keskusta / Kirkonkylä Kokkola</t>
  </si>
  <si>
    <t>1328</t>
  </si>
  <si>
    <t>Asunto Björndahl Kokkola LKV Oy</t>
  </si>
  <si>
    <t>http://www.asuntobjorndahl.fi</t>
  </si>
  <si>
    <t>1959</t>
  </si>
  <si>
    <t>Lohtajan keskusta / Kirkonkylä</t>
  </si>
  <si>
    <t>80473794</t>
  </si>
  <si>
    <t>https://d3ls91xgksobn.cloudfront.net/400x300/etuovimedia/images/property/import/315/2426315/0e76b9541118d347871c0e0e51d244c4/e1d68ec8b7e58ea17b65b6eaf9937a28/ORIGINAL.jpeg</t>
  </si>
  <si>
    <t>https://d3ls91xgksobn.cloudfront.net/1200x900/etuovimedia/images/property/import/315/2426315/0e76b9541118d347871c0e0e51d244c4/e1d68ec8b7e58ea17b65b6eaf9937a28/ORIGINAL.jpeg</t>
  </si>
  <si>
    <t>2426315</t>
  </si>
  <si>
    <t>https://www.etuovi.com/kohde/80473794</t>
  </si>
  <si>
    <t>98 000 €</t>
  </si>
  <si>
    <t>2h + k + wc + kuisti + 2h + k + wc + parveke + kellari: khh + kph + s + varastotilaa + huolto- / korjaamohalli</t>
  </si>
  <si>
    <t>2026-06-10T14:03:20.110Z</t>
  </si>
  <si>
    <t>Detached House (Omakotitalo) — 2h + k + wc + kuisti + 2h + k + wc + parveke + kellari: khh + kph + s + varastotilaa + huolto- / korjaamohalli — 100 m² — Lohtajan keskusta / Kirkonkylä Kokkola</t>
  </si>
  <si>
    <t>Kruununtie 13 Uimaharju Joensuu</t>
  </si>
  <si>
    <t>Kruununtie 13</t>
  </si>
  <si>
    <t>Uimaharju Joensuu</t>
  </si>
  <si>
    <t>2564</t>
  </si>
  <si>
    <t>Lieksan Kiinteistönvälitys LKV</t>
  </si>
  <si>
    <t>Uimaharju</t>
  </si>
  <si>
    <t>20513238</t>
  </si>
  <si>
    <t>https://d3ls91xgksobn.cloudfront.net/400x300/etuovimedia/images/property/import/481/2609481/0e76b9541118d347871c0e0e51d244c4/2df563ba146a85b834ae0023b8c24f29/ORIGINAL.jpeg</t>
  </si>
  <si>
    <t>https://d3ls91xgksobn.cloudfront.net/1200x900/etuovimedia/images/property/import/481/2609481/0e76b9541118d347871c0e0e51d244c4/2df563ba146a85b834ae0023b8c24f29/ORIGINAL.jpeg</t>
  </si>
  <si>
    <t>2609481</t>
  </si>
  <si>
    <t>https://www.etuovi.com/kohde/20513238</t>
  </si>
  <si>
    <t>23 000 €</t>
  </si>
  <si>
    <t>2026-06-10T14:03:20.151Z</t>
  </si>
  <si>
    <t>Row House (Rivitalo) — 3h + k + s — 80 m² — Uimaharju Joensuu</t>
  </si>
  <si>
    <t>Metsolankatu 4 Herrasniitty, Auvainen Kaarina</t>
  </si>
  <si>
    <t>Metsolankatu 4</t>
  </si>
  <si>
    <t>Herrasniitty, Auvainen Kaarina</t>
  </si>
  <si>
    <t>3092</t>
  </si>
  <si>
    <t>LKV Ulla Myntt-Rinne</t>
  </si>
  <si>
    <t>1949</t>
  </si>
  <si>
    <t>Herrasniitty, Auvainen</t>
  </si>
  <si>
    <t>53481636</t>
  </si>
  <si>
    <t>https://d3ls91xgksobn.cloudfront.net/400x300/etuovimedia/images/property/import/478/2609478/0e76b9541118d347871c0e0e51d244c4/32c470340541d880fc97385c0959ddcb/ORIGINAL.jpeg</t>
  </si>
  <si>
    <t>https://d3ls91xgksobn.cloudfront.net/1200x900/etuovimedia/images/property/import/478/2609478/0e76b9541118d347871c0e0e51d244c4/32c470340541d880fc97385c0959ddcb/ORIGINAL.jpeg</t>
  </si>
  <si>
    <t>2609478</t>
  </si>
  <si>
    <t>https://www.etuovi.com/kohde/53481636</t>
  </si>
  <si>
    <t>268 000 €</t>
  </si>
  <si>
    <t>4 h + k + s + kph + wc, kuisti, terassi, , var, ak</t>
  </si>
  <si>
    <t>2026-06-10T14:03:20.172Z</t>
  </si>
  <si>
    <t>Detached House (Omakotitalo) — 4 h + k + s + kph + wc, kuisti, terassi, , var, ak — 160 m² — Herrasniitty, Auvainen Kaarina</t>
  </si>
  <si>
    <t>Pateniemenranta 16 C 13 Pateniemi Oulu</t>
  </si>
  <si>
    <t>Pateniemenranta 16 C 13</t>
  </si>
  <si>
    <t>Pateniemi Oulu</t>
  </si>
  <si>
    <t>1404</t>
  </si>
  <si>
    <t>Puroila Oy</t>
  </si>
  <si>
    <t>http://www.puroila.com/</t>
  </si>
  <si>
    <t>Pateniemi</t>
  </si>
  <si>
    <t>63206182</t>
  </si>
  <si>
    <t>https://d3ls91xgksobn.cloudfront.net/400x300/etuovimedia/images/property/import/384/2585384/0e76b9541118d347871c0e0e51d244c4/2e5f4d5d74cf32f209873242ffc9563b/ORIGINAL.jpeg</t>
  </si>
  <si>
    <t>https://d3ls91xgksobn.cloudfront.net/1200x900/etuovimedia/images/property/import/384/2585384/0e76b9541118d347871c0e0e51d244c4/2e5f4d5d74cf32f209873242ffc9563b/ORIGINAL.jpeg</t>
  </si>
  <si>
    <t>2585384</t>
  </si>
  <si>
    <t>https://www.etuovi.com/kohde/63206182</t>
  </si>
  <si>
    <t>2026-05-22</t>
  </si>
  <si>
    <t>4h, k, kph, s, wc, var, ak</t>
  </si>
  <si>
    <t>2026-06-10T14:03:20.202Z</t>
  </si>
  <si>
    <t>Row House (Rivitalo) — 4h, k, kph, s, wc, var, ak — 75 m² — Pateniemi Oulu</t>
  </si>
  <si>
    <t>Pateniemenranta 16 B, C 7, 11, 12 Veneenveistäjänranta Oulu</t>
  </si>
  <si>
    <t>Pateniemenranta 16 B, C 7, 11, 12</t>
  </si>
  <si>
    <t>Veneenveistäjänranta Oulu</t>
  </si>
  <si>
    <t>Veneenveistäjänranta</t>
  </si>
  <si>
    <t>65683392</t>
  </si>
  <si>
    <t>https://d3ls91xgksobn.cloudfront.net/400x300/etuovimedia/images/property/import/408/2585408/0e76b9541118d347871c0e0e51d244c4/b262f0621e78592f91deec75ec49ece8/ORIGINAL.jpeg</t>
  </si>
  <si>
    <t>https://d3ls91xgksobn.cloudfront.net/1200x900/etuovimedia/images/property/import/408/2585408/0e76b9541118d347871c0e0e51d244c4/b262f0621e78592f91deec75ec49ece8/ORIGINAL.jpeg</t>
  </si>
  <si>
    <t>2585408</t>
  </si>
  <si>
    <t>https://www.etuovi.com/kohde/65683392</t>
  </si>
  <si>
    <t>3h, k, kph, s, wc, p, var, ak</t>
  </si>
  <si>
    <t>2026-06-10T14:03:20.252Z</t>
  </si>
  <si>
    <t>Row House (Rivitalo) — 3h, k, kph, s, wc, p, var, ak — 68.5 m² — Veneenveistäjänranta Oulu</t>
  </si>
  <si>
    <t>Herukkapolku 4 Söderby Parainen</t>
  </si>
  <si>
    <t>Herukkapolku 4</t>
  </si>
  <si>
    <t>Söderby Parainen</t>
  </si>
  <si>
    <t>685</t>
  </si>
  <si>
    <t>Saaristovälittäjä Oy</t>
  </si>
  <si>
    <t>http://www.ps-asunnot.fi</t>
  </si>
  <si>
    <t>Söderby</t>
  </si>
  <si>
    <t>80513854</t>
  </si>
  <si>
    <t>https://d3ls91xgksobn.cloudfront.net/400x300/etuovimedia/images/property/import/472/2609472/0e76b9541118d347871c0e0e51d244c4/80bf058da3d1af795d14cb314b5979d1/ORIGINAL.jpeg</t>
  </si>
  <si>
    <t>https://d3ls91xgksobn.cloudfront.net/1200x900/etuovimedia/images/property/import/472/2609472/0e76b9541118d347871c0e0e51d244c4/80bf058da3d1af795d14cb314b5979d1/ORIGINAL.jpeg</t>
  </si>
  <si>
    <t>2609472</t>
  </si>
  <si>
    <t>https://www.etuovi.com/kohde/80513854</t>
  </si>
  <si>
    <t>4h + k + kph + s + wc + at</t>
  </si>
  <si>
    <t>2026-06-10T14:03:20.284Z</t>
  </si>
  <si>
    <t>Detached House (Omakotitalo) — 4h + k + kph + s + wc + at — 99 m² — Söderby Parainen</t>
  </si>
  <si>
    <t>Maarinkunnaantie 15 b A Maarinkunnas Vantaa</t>
  </si>
  <si>
    <t>Maarinkunnaantie 15 b A</t>
  </si>
  <si>
    <t>Maarinkunnas Vantaa</t>
  </si>
  <si>
    <t>Ari Mutanen</t>
  </si>
  <si>
    <t>Maarinkunnas</t>
  </si>
  <si>
    <t>80509455</t>
  </si>
  <si>
    <t>https://d3ls91xgksobn.cloudfront.net/400x300/etuovimedia/images/property/import/470/2609470/0e76b9541118d347871c0e0e51d244c4/c2d16c3e7e6bdcfa60de90fa5c149f1b/ORIGINAL.jpeg</t>
  </si>
  <si>
    <t>https://d3ls91xgksobn.cloudfront.net/1200x900/etuovimedia/images/property/import/470/2609470/0e76b9541118d347871c0e0e51d244c4/c2d16c3e7e6bdcfa60de90fa5c149f1b/ORIGINAL.jpeg</t>
  </si>
  <si>
    <t>https://d3ls91xgksobn.cloudfront.net/1200x900/etuovimedia/images/property/import/470/2609470/0e76b9541118d347871c0e0e51d244c4/2cf93c32d1fee9bd1cbafa60a766fca9/ORIGINAL.jpeg</t>
  </si>
  <si>
    <t>2609470</t>
  </si>
  <si>
    <t>https://www.etuovi.com/kohde/80509455</t>
  </si>
  <si>
    <t>225 000 €</t>
  </si>
  <si>
    <t>2h + k + sauna + lasitettu parveke</t>
  </si>
  <si>
    <t>2026-06-10T14:03:20.317Z</t>
  </si>
  <si>
    <t>Balcony Access Block (Luhtitalo) — 2h + k + sauna + lasitettu parveke — 53 m² — Maarinkunnas Vantaa</t>
  </si>
  <si>
    <t>Mäkitorpantie 8 Oulunkylä Helsinki</t>
  </si>
  <si>
    <t>Mäkitorpantie 8</t>
  </si>
  <si>
    <t>Oulunkylä Helsinki</t>
  </si>
  <si>
    <t>1963</t>
  </si>
  <si>
    <t>Oulunkylä</t>
  </si>
  <si>
    <t>9931129</t>
  </si>
  <si>
    <t>https://d3ls91xgksobn.cloudfront.net/400x300/etuovimedia/images/property/import/467/2609467/0e76b9541118d347871c0e0e51d244c4/a0af7c47c24cbb932080dd5cbee193c2/ORIGINAL.jpeg</t>
  </si>
  <si>
    <t>https://d3ls91xgksobn.cloudfront.net/1200x900/etuovimedia/images/property/import/467/2609467/0e76b9541118d347871c0e0e51d244c4/a0af7c47c24cbb932080dd5cbee193c2/ORIGINAL.jpeg</t>
  </si>
  <si>
    <t>2609467</t>
  </si>
  <si>
    <t>https://www.etuovi.com/kohde/9931129</t>
  </si>
  <si>
    <t>245 000 €</t>
  </si>
  <si>
    <t>2h, kk, kph, lasitettu parveke</t>
  </si>
  <si>
    <t>2026-06-10T14:03:20.367Z</t>
  </si>
  <si>
    <t>Apartment (Kerrostalo) — 2h, kk, kph, lasitettu parveke — 46 m² — Oulunkylä Helsinki</t>
  </si>
  <si>
    <t>Hiidenpiha 2 B Juva</t>
  </si>
  <si>
    <t>Hiidenpiha 2 B</t>
  </si>
  <si>
    <t>1190</t>
  </si>
  <si>
    <t>Kiinteistömaailma Mikkeli | Asuntoporras Oy</t>
  </si>
  <si>
    <t>Natalia Lampi</t>
  </si>
  <si>
    <t>2001</t>
  </si>
  <si>
    <t>33911824</t>
  </si>
  <si>
    <t>https://d3ls91xgksobn.cloudfront.net/400x300/etuovimedia/images/property/import/465/2609465/0e76b9541118d347871c0e0e51d244c4/e69e46c7aa86aeab17adbe77142b2d96/ORIGINAL.jpeg</t>
  </si>
  <si>
    <t>https://d3ls91xgksobn.cloudfront.net/1200x900/etuovimedia/images/property/import/465/2609465/0e76b9541118d347871c0e0e51d244c4/e69e46c7aa86aeab17adbe77142b2d96/ORIGINAL.jpeg</t>
  </si>
  <si>
    <t>https://d3ls91xgksobn.cloudfront.net/1200x900/etuovimedia/images/property/import/465/2609465/0e76b9541118d347871c0e0e51d244c4/338f6b6ed283c57a122c196f8e08245a/ORIGINAL.jpeg</t>
  </si>
  <si>
    <t>https://d3ls91xgksobn.cloudfront.net/1200x900/etuovimedia/images/property/import/465/2609465/0e76b9541118d347871c0e0e51d244c4/ade02e439e477078e02090f92620d42f/ORIGINAL.jpeg</t>
  </si>
  <si>
    <t>2609465</t>
  </si>
  <si>
    <t>https://www.etuovi.com/kohde/33911824</t>
  </si>
  <si>
    <t>105 000 €</t>
  </si>
  <si>
    <t>Oh, k, 2mh, yläk.aula, 2vh, khh, kph, s, eril.wc, ter, at + liiteri</t>
  </si>
  <si>
    <t>2026-06-10T14:03:20.386Z</t>
  </si>
  <si>
    <t>Semi-detached (Paritalo) — Oh, k, 2mh, yläk.aula, 2vh, khh, kph, s, eril.wc, ter, at + liiteri — 121 m² — Juva</t>
  </si>
  <si>
    <t>Kurkijoenkatu 1 Pajuluoma Seinäjoki</t>
  </si>
  <si>
    <t>Kurkijoenkatu 1</t>
  </si>
  <si>
    <t>Pajuluoma Seinäjoki</t>
  </si>
  <si>
    <t>823</t>
  </si>
  <si>
    <t>Kiinteistötoimisto Kätkänaho Oy</t>
  </si>
  <si>
    <t>https://katkanaho.fi/</t>
  </si>
  <si>
    <t>Johanna Båssar</t>
  </si>
  <si>
    <t>Pajuluoma</t>
  </si>
  <si>
    <t>51332366</t>
  </si>
  <si>
    <t>https://d3ls91xgksobn.cloudfront.net/400x300/etuovimedia/images/property/import/464/2609464/0e76b9541118d347871c0e0e51d244c4/f7c33d66c4d966f3a1a4186dfb76331b/ORIGINAL.jpeg</t>
  </si>
  <si>
    <t>https://d3ls91xgksobn.cloudfront.net/1200x900/etuovimedia/images/property/import/464/2609464/0e76b9541118d347871c0e0e51d244c4/f7c33d66c4d966f3a1a4186dfb76331b/ORIGINAL.jpeg</t>
  </si>
  <si>
    <t>https://d3ls91xgksobn.cloudfront.net/1200x900/etuovimedia/images/property/import/464/2609464/0e76b9541118d347871c0e0e51d244c4/8de0965da7fdeb57f7a8372e7a227fd7/ORIGINAL.jpeg</t>
  </si>
  <si>
    <t>2609464</t>
  </si>
  <si>
    <t>https://www.etuovi.com/kohde/51332366</t>
  </si>
  <si>
    <t>295 000 €</t>
  </si>
  <si>
    <t>5h, k, 2xvh, kph, s, khh, 2xwc, lasitettu terassi, ranskalainen p.</t>
  </si>
  <si>
    <t>2026-06-10T14:03:20.426Z</t>
  </si>
  <si>
    <t>Semi-detached (Paritalo) — 5h, k, 2xvh, kph, s, khh, 2xwc, lasitettu terassi, ranskalainen p. — 127.5 m² — Pajuluoma Seinäjoki</t>
  </si>
  <si>
    <t>Nytiläntie 5 Hammaslahti Joensuu</t>
  </si>
  <si>
    <t>Nytiläntie 5</t>
  </si>
  <si>
    <t>Hammaslahti Joensuu</t>
  </si>
  <si>
    <t>3465</t>
  </si>
  <si>
    <t>LKV Leena Lintunen</t>
  </si>
  <si>
    <t>Hammaslahti</t>
  </si>
  <si>
    <t>51717641</t>
  </si>
  <si>
    <t>https://d3ls91xgksobn.cloudfront.net/400x300/etuovimedia/images/property/import/463/2609463/0e76b9541118d347871c0e0e51d244c4/6d429dabeff5f64f9f62bfb16f5e7ceb/ORIGINAL.jpeg</t>
  </si>
  <si>
    <t>https://d3ls91xgksobn.cloudfront.net/1200x900/etuovimedia/images/property/import/463/2609463/0e76b9541118d347871c0e0e51d244c4/6d429dabeff5f64f9f62bfb16f5e7ceb/ORIGINAL.jpeg</t>
  </si>
  <si>
    <t>2609463</t>
  </si>
  <si>
    <t>https://www.etuovi.com/kohde/51717641</t>
  </si>
  <si>
    <t>46 000 €</t>
  </si>
  <si>
    <t>2026-06-10T14:03:20.504Z</t>
  </si>
  <si>
    <t>Row House (Rivitalo) — 2h + kk + s — 45 m² — Hammaslahti Joensuu</t>
  </si>
  <si>
    <t>Kulleronkuja 1 Ristikivi Tuusula</t>
  </si>
  <si>
    <t>Kulleronkuja 1</t>
  </si>
  <si>
    <t>Ristikivi Tuusula</t>
  </si>
  <si>
    <t>333</t>
  </si>
  <si>
    <t>Asuntosäätiö | Asuntosäätiön Asumisoikeus Oy</t>
  </si>
  <si>
    <t>https://www.asuntosaatio.fi</t>
  </si>
  <si>
    <t>1995</t>
  </si>
  <si>
    <t>Ristikivi</t>
  </si>
  <si>
    <t>fs4764</t>
  </si>
  <si>
    <t>https://d3ls91xgksobn.cloudfront.net/400x300/etuovimedia/images/property/import/462/2609462/0e76b9541118d347871c0e0e51d244c4/b68ca930c68a981f5ee0d8d913e34e4f/ORIGINAL.jpeg</t>
  </si>
  <si>
    <t>https://d3ls91xgksobn.cloudfront.net/1200x900/etuovimedia/images/property/import/462/2609462/0e76b9541118d347871c0e0e51d244c4/b68ca930c68a981f5ee0d8d913e34e4f/ORIGINAL.jpeg</t>
  </si>
  <si>
    <t>2609462</t>
  </si>
  <si>
    <t>https://www.etuovi.com/kohde/fs4764</t>
  </si>
  <si>
    <t>20 772,14 €</t>
  </si>
  <si>
    <t>2H + K + S</t>
  </si>
  <si>
    <t>2026-06-10T14:03:20.581Z</t>
  </si>
  <si>
    <t>Row House (Rivitalo) — 2H + K + S — 60 m² — Ristikivi Tuusula</t>
  </si>
  <si>
    <t>Nappulakatu 2 Hyrylä Tuusula</t>
  </si>
  <si>
    <t>Nappulakatu 2</t>
  </si>
  <si>
    <t>Hyrylä Tuusula</t>
  </si>
  <si>
    <t>Hyrylä</t>
  </si>
  <si>
    <t>fs4763</t>
  </si>
  <si>
    <t>https://d3ls91xgksobn.cloudfront.net/400x300/etuovimedia/images/property/import/461/2609461/0e76b9541118d347871c0e0e51d244c4/1aec2a0d10f28aa5f7479b164250ab38/ORIGINAL.jpeg</t>
  </si>
  <si>
    <t>https://d3ls91xgksobn.cloudfront.net/1200x900/etuovimedia/images/property/import/461/2609461/0e76b9541118d347871c0e0e51d244c4/1aec2a0d10f28aa5f7479b164250ab38/ORIGINAL.jpeg</t>
  </si>
  <si>
    <t>2609461</t>
  </si>
  <si>
    <t>https://www.etuovi.com/kohde/fs4763</t>
  </si>
  <si>
    <t>17 773,48 €</t>
  </si>
  <si>
    <t>2H + KK + S</t>
  </si>
  <si>
    <t>2026-06-10T14:03:20.629Z</t>
  </si>
  <si>
    <t>Apartment (Kerrostalo) — 2H + KK + S — 40 m² — Hyrylä Tuusula</t>
  </si>
  <si>
    <t>Kalevantie 2 Tiilijärvi Hollola</t>
  </si>
  <si>
    <t>Kalevantie 2</t>
  </si>
  <si>
    <t>Tiilijärvi Hollola</t>
  </si>
  <si>
    <t>2750</t>
  </si>
  <si>
    <t>House Lahti</t>
  </si>
  <si>
    <t>https://houselahti.fi/?utm_source=etuovi&amp;utm_medium=brandielementti-logo&amp;utm_campaign=nakyvyyspaketti</t>
  </si>
  <si>
    <t>Timo Friman</t>
  </si>
  <si>
    <t>Tiilijärvi</t>
  </si>
  <si>
    <t>80492403</t>
  </si>
  <si>
    <t>https://d3ls91xgksobn.cloudfront.net/400x300/etuovimedia/images/property/import/478/2530478/0e76b9541118d347871c0e0e51d244c4/736a7d99e84980c1de525ebe69553fcd/ORIGINAL.jpeg</t>
  </si>
  <si>
    <t>https://d3ls91xgksobn.cloudfront.net/1200x900/etuovimedia/images/property/import/478/2530478/0e76b9541118d347871c0e0e51d244c4/736a7d99e84980c1de525ebe69553fcd/ORIGINAL.jpeg</t>
  </si>
  <si>
    <t>https://d3ls91xgksobn.cloudfront.net/1200x900/etuovimedia/images/property/import/478/2530478/0e76b9541118d347871c0e0e51d244c4/e0e2aac6cb02bcac333098674e9e686f/ORIGINAL.jpeg</t>
  </si>
  <si>
    <t>2530478</t>
  </si>
  <si>
    <t>https://www.etuovi.com/kohde/80492403</t>
  </si>
  <si>
    <t>2026-04-03</t>
  </si>
  <si>
    <t>5h, k, kph, s, vh, 2xwc, 2xvarasto, terassi, autokatos</t>
  </si>
  <si>
    <t>2026-06-10T14:03:20.661Z</t>
  </si>
  <si>
    <t>Detached House (Omakotitalo) — 5h, k, kph, s, vh, 2xwc, 2xvarasto, terassi, autokatos — 132 m² — Tiilijärvi Hollola</t>
  </si>
  <si>
    <t>Aurorankuja 4 Järvenperä Espoo</t>
  </si>
  <si>
    <t>Aurorankuja 4</t>
  </si>
  <si>
    <t>Järvenperä Espoo</t>
  </si>
  <si>
    <t>Järvenperä</t>
  </si>
  <si>
    <t>fh4969</t>
  </si>
  <si>
    <t>https://d3ls91xgksobn.cloudfront.net/400x300/etuovimedia/images/property/import/912/2580912/0e76b9541118d347871c0e0e51d244c4/d56dc4be311eb5e49834a97827bc42b8/ORIGINAL.jpeg</t>
  </si>
  <si>
    <t>https://d3ls91xgksobn.cloudfront.net/1200x900/etuovimedia/images/property/import/912/2580912/0e76b9541118d347871c0e0e51d244c4/d56dc4be311eb5e49834a97827bc42b8/ORIGINAL.jpeg</t>
  </si>
  <si>
    <t>2580912</t>
  </si>
  <si>
    <t>https://www.etuovi.com/kohde/fh4969</t>
  </si>
  <si>
    <t>300 000 €</t>
  </si>
  <si>
    <t>Mark S.</t>
  </si>
  <si>
    <t>2026-05-19</t>
  </si>
  <si>
    <t>4h + k + vh + kph + s + wc + p + var</t>
  </si>
  <si>
    <t>2026-06-10T14:03:20.690Z</t>
  </si>
  <si>
    <t>Row House (Rivitalo) — 4h + k + vh + kph + s + wc + p + var — 83 m² — Järvenperä Espoo</t>
  </si>
  <si>
    <t>Taavinharju 16 Mankkaa Espoo</t>
  </si>
  <si>
    <t>Taavinharju 16</t>
  </si>
  <si>
    <t>Mankkaa Espoo</t>
  </si>
  <si>
    <t>1992</t>
  </si>
  <si>
    <t>Mankkaa</t>
  </si>
  <si>
    <t>fs4762</t>
  </si>
  <si>
    <t>https://d3ls91xgksobn.cloudfront.net/400x300/etuovimedia/images/property/import/460/2609460/0e76b9541118d347871c0e0e51d244c4/4d1990ad8ba5e3ebde7f641c6a6b4eb7/ORIGINAL.jpeg</t>
  </si>
  <si>
    <t>https://d3ls91xgksobn.cloudfront.net/1200x900/etuovimedia/images/property/import/460/2609460/0e76b9541118d347871c0e0e51d244c4/4d1990ad8ba5e3ebde7f641c6a6b4eb7/ORIGINAL.jpeg</t>
  </si>
  <si>
    <t>2609460</t>
  </si>
  <si>
    <t>https://www.etuovi.com/kohde/fs4762</t>
  </si>
  <si>
    <t>30 517,88 €</t>
  </si>
  <si>
    <t>5H + K + S</t>
  </si>
  <si>
    <t>2026-06-10T14:03:20.771Z</t>
  </si>
  <si>
    <t>Semi-detached (Paritalo) — 5H + K + S — 100.5 m² — Mankkaa Espoo</t>
  </si>
  <si>
    <t>2026-06-10T14:03:22.587Z</t>
  </si>
  <si>
    <t>Hämeenpuisto 27 Keskusta Tampere</t>
  </si>
  <si>
    <t>Hämeenpuisto 27</t>
  </si>
  <si>
    <t>Keskusta Tampere</t>
  </si>
  <si>
    <t>3307</t>
  </si>
  <si>
    <t>Herrainmäki LKV Oy</t>
  </si>
  <si>
    <t>https://www.herrainmaki.fi/</t>
  </si>
  <si>
    <t>Puntala Eeva</t>
  </si>
  <si>
    <t>20812136</t>
  </si>
  <si>
    <t>https://d3ls91xgksobn.cloudfront.net/400x300/etuovimedia/images/property/import/457/2609457/0e76b9541118d347871c0e0e51d244c4/d0dc4a9de5b2c285e791711d8b61c854/ORIGINAL.jpeg</t>
  </si>
  <si>
    <t>https://d3ls91xgksobn.cloudfront.net/1200x900/etuovimedia/images/property/import/457/2609457/0e76b9541118d347871c0e0e51d244c4/d0dc4a9de5b2c285e791711d8b61c854/ORIGINAL.jpeg</t>
  </si>
  <si>
    <t>https://d3ls91xgksobn.cloudfront.net/1200x900/etuovimedia/images/property/import/457/2609457/0e76b9541118d347871c0e0e51d244c4/6005a6c7644a6f0c10a569a922167efb/ORIGINAL.jpeg</t>
  </si>
  <si>
    <t>2609457</t>
  </si>
  <si>
    <t>https://www.etuovi.com/kohde/20812136</t>
  </si>
  <si>
    <t>318 000 €</t>
  </si>
  <si>
    <t>3h, k, kph, s, wc, parveke (yj:n mukaan 3h + k + s)</t>
  </si>
  <si>
    <t>2026-06-10T14:03:22.620Z</t>
  </si>
  <si>
    <t>Apartment (Kerrostalo) — 3h, k, kph, s, wc, parveke (yj:n mukaan 3h + k + s) — 97 m² — Keskusta Tampere</t>
  </si>
  <si>
    <t>Kuntokuja 4 Puijonlaakso Kuopio</t>
  </si>
  <si>
    <t>Kuntokuja 4</t>
  </si>
  <si>
    <t>Puijonlaakso Kuopio</t>
  </si>
  <si>
    <t>963</t>
  </si>
  <si>
    <t>LKV Kiinteistöinssi Oy</t>
  </si>
  <si>
    <t>http://www.lkvkiinteistoinssi.fi/</t>
  </si>
  <si>
    <t>Puijonlaakso</t>
  </si>
  <si>
    <t>20696187</t>
  </si>
  <si>
    <t>https://d3ls91xgksobn.cloudfront.net/400x300/etuovimedia/images/property/import/455/2609455/0e76b9541118d347871c0e0e51d244c4/26e5aaf0c9df6d55af77d96cca34b811/ORIGINAL.jpeg</t>
  </si>
  <si>
    <t>https://d3ls91xgksobn.cloudfront.net/1200x900/etuovimedia/images/property/import/455/2609455/0e76b9541118d347871c0e0e51d244c4/26e5aaf0c9df6d55af77d96cca34b811/ORIGINAL.jpeg</t>
  </si>
  <si>
    <t>2609455</t>
  </si>
  <si>
    <t>https://www.etuovi.com/kohde/20696187</t>
  </si>
  <si>
    <t>210 000 €</t>
  </si>
  <si>
    <t>6h + k + s</t>
  </si>
  <si>
    <t>2026-06-10T14:03:22.669Z</t>
  </si>
  <si>
    <t>Row House (Rivitalo) — 6h + k + s — 157 m² — Puijonlaakso Kuopio</t>
  </si>
  <si>
    <t>Kivikonkaari 20 Kivikko Helsinki</t>
  </si>
  <si>
    <t>Kivikonkaari 20</t>
  </si>
  <si>
    <t>Kivikko Helsinki</t>
  </si>
  <si>
    <t>Kivikko</t>
  </si>
  <si>
    <t>fs4746</t>
  </si>
  <si>
    <t>https://d3ls91xgksobn.cloudfront.net/400x300/etuovimedia/images/property/import/454/2609454/0e76b9541118d347871c0e0e51d244c4/59dbcf5031ed61413169593e2f0061b9/ORIGINAL.jpeg</t>
  </si>
  <si>
    <t>https://d3ls91xgksobn.cloudfront.net/1200x900/etuovimedia/images/property/import/454/2609454/0e76b9541118d347871c0e0e51d244c4/59dbcf5031ed61413169593e2f0061b9/ORIGINAL.jpeg</t>
  </si>
  <si>
    <t>2609454</t>
  </si>
  <si>
    <t>https://www.etuovi.com/kohde/fs4746</t>
  </si>
  <si>
    <t>22 472,22 €</t>
  </si>
  <si>
    <t>2026-06-10T14:03:22.706Z</t>
  </si>
  <si>
    <t>Apartment (Kerrostalo) — 2H + K + S — 56.5 m² — Kivikko Helsinki</t>
  </si>
  <si>
    <t>Hanikka 13 Hanikka Espoo</t>
  </si>
  <si>
    <t>Hanikka 13</t>
  </si>
  <si>
    <t>Hanikka Espoo</t>
  </si>
  <si>
    <t>2534</t>
  </si>
  <si>
    <t>Bo LKV Espoo</t>
  </si>
  <si>
    <t>Lehtinen Aleksi</t>
  </si>
  <si>
    <t>Hanikka</t>
  </si>
  <si>
    <t>21597391</t>
  </si>
  <si>
    <t>https://d3ls91xgksobn.cloudfront.net/400x300/etuovimedia/images/property/import/189/2504189/0e76b9541118d347871c0e0e51d244c4/423b40ffa5ea3ba5fe6181f9671cbbe0/ORIGINAL.jpeg</t>
  </si>
  <si>
    <t>https://d3ls91xgksobn.cloudfront.net/1200x900/etuovimedia/images/property/import/189/2504189/0e76b9541118d347871c0e0e51d244c4/423b40ffa5ea3ba5fe6181f9671cbbe0/ORIGINAL.jpeg</t>
  </si>
  <si>
    <t>https://d3ls91xgksobn.cloudfront.net/1200x900/etuovimedia/images/property/import/189/2504189/0e76b9541118d347871c0e0e51d244c4/899ef5570f6c2d8aafcac9946d5c4862/ORIGINAL.jpeg</t>
  </si>
  <si>
    <t>2504189</t>
  </si>
  <si>
    <t>https://www.etuovi.com/kohde/21597391</t>
  </si>
  <si>
    <t>695 000 €</t>
  </si>
  <si>
    <t>2026-03-12</t>
  </si>
  <si>
    <t>5h, k, ruok, takkahuone, 2 x ph, s, khh, 2 x wc, vh, var, parveke, terassi, uima-allas, et (yj: 5h + k + aputilat)</t>
  </si>
  <si>
    <t>2026-06-10T14:03:22.759Z</t>
  </si>
  <si>
    <t>Semi-detached (Paritalo) — 5h, k, ruok, takkahuone, 2 x ph, s, khh, 2 x wc, vh, var, parveke, terassi, uima-allas, et (yj: 5h + k + aputilat) — 257 m² — Hanikka Espoo</t>
  </si>
  <si>
    <t>Trillakatu 2 Kilo Espoo</t>
  </si>
  <si>
    <t>Trillakatu 2</t>
  </si>
  <si>
    <t>Kilo Espoo</t>
  </si>
  <si>
    <t>1998</t>
  </si>
  <si>
    <t>Kilo</t>
  </si>
  <si>
    <t>fs4744</t>
  </si>
  <si>
    <t>https://d3ls91xgksobn.cloudfront.net/400x300/etuovimedia/images/property/import/453/2609453/0e76b9541118d347871c0e0e51d244c4/41e8fd6ec577924aa756dfd0fbf8828e/ORIGINAL.jpeg</t>
  </si>
  <si>
    <t>https://d3ls91xgksobn.cloudfront.net/1200x900/etuovimedia/images/property/import/453/2609453/0e76b9541118d347871c0e0e51d244c4/41e8fd6ec577924aa756dfd0fbf8828e/ORIGINAL.jpeg</t>
  </si>
  <si>
    <t>2609453</t>
  </si>
  <si>
    <t>https://www.etuovi.com/kohde/fs4744</t>
  </si>
  <si>
    <t>35 275,98 €</t>
  </si>
  <si>
    <t>4H + K + S</t>
  </si>
  <si>
    <t>2026-06-10T14:03:22.793Z</t>
  </si>
  <si>
    <t>Apartment (Kerrostalo) — 4H + K + S — 88.5 m² — Kilo Espoo</t>
  </si>
  <si>
    <t>Malminkatu 10 Männistö Kuopio</t>
  </si>
  <si>
    <t>Malminkatu 10</t>
  </si>
  <si>
    <t>Männistö Kuopio</t>
  </si>
  <si>
    <t>1052</t>
  </si>
  <si>
    <t>Kiinteistömaailma Kuopio Torikartano | Kuopion Huoneistovälitys Oy</t>
  </si>
  <si>
    <t>http://www.kiinteistomaailma.fi/kuopio-torikartano</t>
  </si>
  <si>
    <t>Tiina Savenius</t>
  </si>
  <si>
    <t>Männistö</t>
  </si>
  <si>
    <t>37879794</t>
  </si>
  <si>
    <t>https://d3ls91xgksobn.cloudfront.net/400x300/etuovimedia/images/property/import/452/2609452/0e76b9541118d347871c0e0e51d244c4/6a31500b9f7dcae6c9fe919eab7d261d/ORIGINAL.png</t>
  </si>
  <si>
    <t>https://d3ls91xgksobn.cloudfront.net/1200x900/etuovimedia/images/property/import/452/2609452/0e76b9541118d347871c0e0e51d244c4/6a31500b9f7dcae6c9fe919eab7d261d/ORIGINAL.png</t>
  </si>
  <si>
    <t>https://d3ls91xgksobn.cloudfront.net/1200x900/etuovimedia/images/property/import/452/2609452/0e76b9541118d347871c0e0e51d244c4/2dd95ba0ccfdab2ba88b9bd2a58d89f4/ORIGINAL.png</t>
  </si>
  <si>
    <t>2609452</t>
  </si>
  <si>
    <t>https://www.etuovi.com/kohde/37879794</t>
  </si>
  <si>
    <t>2h, kk, s</t>
  </si>
  <si>
    <t>2026-06-10T14:03:22.926Z</t>
  </si>
  <si>
    <t>Apartment (Kerrostalo) — 2h, kk, s — Männistö Kuopio</t>
  </si>
  <si>
    <t>Rautamäentie 9 Rautamäki Joutsa</t>
  </si>
  <si>
    <t>Rautamäentie 9</t>
  </si>
  <si>
    <t>Rautamäki Joutsa</t>
  </si>
  <si>
    <t>794</t>
  </si>
  <si>
    <t>Aitoasunnot Mikkeli | Palhomaa Oy</t>
  </si>
  <si>
    <t>Ari Närhi</t>
  </si>
  <si>
    <t>Rautamäki</t>
  </si>
  <si>
    <t>60497780</t>
  </si>
  <si>
    <t>https://d3ls91xgksobn.cloudfront.net/400x300/etuovimedia/images/property/import/449/2609449/0e76b9541118d347871c0e0e51d244c4/e3ffbb2b7d1b9a2ab90b8b647d2b3698/ORIGINAL.png</t>
  </si>
  <si>
    <t>https://d3ls91xgksobn.cloudfront.net/1200x900/etuovimedia/images/property/import/449/2609449/0e76b9541118d347871c0e0e51d244c4/e3ffbb2b7d1b9a2ab90b8b647d2b3698/ORIGINAL.png</t>
  </si>
  <si>
    <t>https://d3ls91xgksobn.cloudfront.net/1200x900/etuovimedia/images/property/import/449/2609449/0e76b9541118d347871c0e0e51d244c4/f94877824774cdeccc356aad77921075/ORIGINAL.png</t>
  </si>
  <si>
    <t>2609449</t>
  </si>
  <si>
    <t>https://www.etuovi.com/kohde/60497780</t>
  </si>
  <si>
    <t>37 500 €</t>
  </si>
  <si>
    <t>2h, k, s, vh, kph, terassi</t>
  </si>
  <si>
    <t>2026-06-10T14:03:22.953Z</t>
  </si>
  <si>
    <t>Row House (Rivitalo) — 2h, k, s, vh, kph, terassi — 53 m² — Rautamäki Joutsa</t>
  </si>
  <si>
    <t>Jousitie 34 Keskusta Joutsa</t>
  </si>
  <si>
    <t>Jousitie 34</t>
  </si>
  <si>
    <t>Keskusta Joutsa</t>
  </si>
  <si>
    <t>69814069</t>
  </si>
  <si>
    <t>https://d3ls91xgksobn.cloudfront.net/400x300/etuovimedia/images/property/import/448/2609448/0e76b9541118d347871c0e0e51d244c4/14aa8eaab3d17e72fcc4c7927f868d1a/ORIGINAL.jpeg</t>
  </si>
  <si>
    <t>https://d3ls91xgksobn.cloudfront.net/1200x900/etuovimedia/images/property/import/448/2609448/0e76b9541118d347871c0e0e51d244c4/14aa8eaab3d17e72fcc4c7927f868d1a/ORIGINAL.jpeg</t>
  </si>
  <si>
    <t>https://d3ls91xgksobn.cloudfront.net/1200x900/etuovimedia/images/property/import/448/2609448/0e76b9541118d347871c0e0e51d244c4/817b1cd17a10bfdef22f594713a5f96e/ORIGINAL.jpeg</t>
  </si>
  <si>
    <t>2609448</t>
  </si>
  <si>
    <t>https://www.etuovi.com/kohde/69814069</t>
  </si>
  <si>
    <t>54 000 €</t>
  </si>
  <si>
    <t>2026-06-10T14:03:22.995Z</t>
  </si>
  <si>
    <t>Apartment (Kerrostalo) — 2h, k, s — 45 m² — Keskusta Joutsa</t>
  </si>
  <si>
    <t>Koivikkotie 14 G Maunula Helsinki</t>
  </si>
  <si>
    <t>Koivikkotie 14 G</t>
  </si>
  <si>
    <t>2325</t>
  </si>
  <si>
    <t>ROOF Group Oy</t>
  </si>
  <si>
    <t>80513100</t>
  </si>
  <si>
    <t>https://d3ls91xgksobn.cloudfront.net/400x300/etuovimedia/images/property/import/446/2609446/0e76b9541118d347871c0e0e51d244c4/bef6fb37a1b3d6b020d8388c8a199278/ORIGINAL.jpeg</t>
  </si>
  <si>
    <t>https://d3ls91xgksobn.cloudfront.net/1200x900/etuovimedia/images/property/import/446/2609446/0e76b9541118d347871c0e0e51d244c4/bef6fb37a1b3d6b020d8388c8a199278/ORIGINAL.jpeg</t>
  </si>
  <si>
    <t>2609446</t>
  </si>
  <si>
    <t>https://www.etuovi.com/kohde/80513100</t>
  </si>
  <si>
    <t>330 000 €</t>
  </si>
  <si>
    <t>3h, k, kph, vh, parveke, piha</t>
  </si>
  <si>
    <t>2026-06-10T14:03:23.039Z</t>
  </si>
  <si>
    <t>Row House (Rivitalo) — 3h, k, kph, vh, parveke, piha — 75 m² — Maunula Helsinki</t>
  </si>
  <si>
    <t>Hakamäki 2 Tapiola Espoo</t>
  </si>
  <si>
    <t>Hakamäki 2</t>
  </si>
  <si>
    <t>Tapiola Espoo</t>
  </si>
  <si>
    <t>3441</t>
  </si>
  <si>
    <t>Kiinteistömaailma Helsinki Etu-Töölö | Adream Kantakaupungin Kodit Oy</t>
  </si>
  <si>
    <t>Tapiola</t>
  </si>
  <si>
    <t>54761387</t>
  </si>
  <si>
    <t>https://d3ls91xgksobn.cloudfront.net/400x300/etuovimedia/images/property/import/445/2609445/0e76b9541118d347871c0e0e51d244c4/2d0d32a61c3ef9f45fb8903c6eb22462/ORIGINAL.jpeg</t>
  </si>
  <si>
    <t>https://d3ls91xgksobn.cloudfront.net/1200x900/etuovimedia/images/property/import/445/2609445/0e76b9541118d347871c0e0e51d244c4/2d0d32a61c3ef9f45fb8903c6eb22462/ORIGINAL.jpeg</t>
  </si>
  <si>
    <t>2609445</t>
  </si>
  <si>
    <t>https://www.etuovi.com/kohde/54761387</t>
  </si>
  <si>
    <t>430 000 €</t>
  </si>
  <si>
    <t>5h, k, kph / wc, wc, eteinen, parveke</t>
  </si>
  <si>
    <t>2026-06-10T14:03:23.068Z</t>
  </si>
  <si>
    <t>Apartment (Kerrostalo) — 5h, k, kph / wc, wc, eteinen, parveke — 98 m² — Tapiola Espoo</t>
  </si>
  <si>
    <t>Tervakkopolku 6 Hiekkaharju Vantaa</t>
  </si>
  <si>
    <t>Tervakkopolku 6</t>
  </si>
  <si>
    <t>Hiekkaharju Vantaa</t>
  </si>
  <si>
    <t>2689</t>
  </si>
  <si>
    <t>Neliöt Liikkuu LKV Oy Ab</t>
  </si>
  <si>
    <t>https://neliotliikkuu.fi/</t>
  </si>
  <si>
    <t>Hiekkaharju</t>
  </si>
  <si>
    <t>80512866</t>
  </si>
  <si>
    <t>https://d3ls91xgksobn.cloudfront.net/400x300/etuovimedia/images/property/import/444/2609444/0e76b9541118d347871c0e0e51d244c4/5b0af7455323b64162358dc3d8f20640/ORIGINAL.jpeg</t>
  </si>
  <si>
    <t>https://d3ls91xgksobn.cloudfront.net/1200x900/etuovimedia/images/property/import/444/2609444/0e76b9541118d347871c0e0e51d244c4/5b0af7455323b64162358dc3d8f20640/ORIGINAL.jpeg</t>
  </si>
  <si>
    <t>2609444</t>
  </si>
  <si>
    <t>https://www.etuovi.com/kohde/80512866</t>
  </si>
  <si>
    <t>319 000 €</t>
  </si>
  <si>
    <t>4h, k, kph, s, khh, eril.wc, vh, et, piha</t>
  </si>
  <si>
    <t>2026-06-10T14:03:23.090Z</t>
  </si>
  <si>
    <t>SEPARATE_HOUSE — 4h, k, kph, s, khh, eril.wc, vh, et, piha — 98 m² — Hiekkaharju Vantaa</t>
  </si>
  <si>
    <t>Arrankatu 4 Asemantaka Nokia</t>
  </si>
  <si>
    <t>Arrankatu 4</t>
  </si>
  <si>
    <t>Asemantaka Nokia</t>
  </si>
  <si>
    <t>709</t>
  </si>
  <si>
    <t>Tampereen Arvohuoneistot Oy</t>
  </si>
  <si>
    <t>http://www.arvohuoneistot.fi/</t>
  </si>
  <si>
    <t>80514564</t>
  </si>
  <si>
    <t>https://d3ls91xgksobn.cloudfront.net/400x300/etuovimedia/images/property/import/442/2609442/0e76b9541118d347871c0e0e51d244c4/4d6c63cc78b9db9c8a58668f5b035484/ORIGINAL.jpeg</t>
  </si>
  <si>
    <t>https://d3ls91xgksobn.cloudfront.net/1200x900/etuovimedia/images/property/import/442/2609442/0e76b9541118d347871c0e0e51d244c4/4d6c63cc78b9db9c8a58668f5b035484/ORIGINAL.jpeg</t>
  </si>
  <si>
    <t>2609442</t>
  </si>
  <si>
    <t>https://www.etuovi.com/kohde/80514564</t>
  </si>
  <si>
    <t>310 000 €</t>
  </si>
  <si>
    <t>2mh, tupakeittiö, liukulasiseinäinen työhuone, pesuhuone / wc, sauna, erillinen wc, vh, terassi, ulkovarasto</t>
  </si>
  <si>
    <t>2026-06-10T14:03:23.107Z</t>
  </si>
  <si>
    <t>Detached House (Omakotitalo) — 2mh, tupakeittiö, liukulasiseinäinen työhuone, pesuhuone / wc, sauna, erillinen wc, vh, terassi, ulkovarasto — 85 m² — Asemantaka Nokia</t>
  </si>
  <si>
    <t>Leikosaarentie 27 A Aurinkolahti Helsinki</t>
  </si>
  <si>
    <t>Leikosaarentie 27 A</t>
  </si>
  <si>
    <t>2356</t>
  </si>
  <si>
    <t>Aurinkolahden Crape Oy</t>
  </si>
  <si>
    <t>80514086</t>
  </si>
  <si>
    <t>https://d3ls91xgksobn.cloudfront.net/400x300/etuovimedia/images/property/import/441/2609441/0e76b9541118d347871c0e0e51d244c4/a9ab261e2f1f799e5d64e57904d31cfd/ORIGINAL.jpeg</t>
  </si>
  <si>
    <t>https://d3ls91xgksobn.cloudfront.net/1200x900/etuovimedia/images/property/import/441/2609441/0e76b9541118d347871c0e0e51d244c4/a9ab261e2f1f799e5d64e57904d31cfd/ORIGINAL.jpeg</t>
  </si>
  <si>
    <t>2609441</t>
  </si>
  <si>
    <t>https://www.etuovi.com/kohde/80514086</t>
  </si>
  <si>
    <t>3h + k + s + lasit p</t>
  </si>
  <si>
    <t>2026-06-10T14:03:23.151Z</t>
  </si>
  <si>
    <t>Apartment (Kerrostalo) — 3h + k + s + lasit p — 66.5 m² — Aurinkolahti Helsinki</t>
  </si>
  <si>
    <t>Kaaritie 2 Laitila</t>
  </si>
  <si>
    <t>Kaaritie 2</t>
  </si>
  <si>
    <t>2409</t>
  </si>
  <si>
    <t>Kiinteistötoimisto Asko Vainio Ky</t>
  </si>
  <si>
    <t>80515841</t>
  </si>
  <si>
    <t>https://d3ls91xgksobn.cloudfront.net/400x300/etuovimedia/images/property/import/440/2609440/0e76b9541118d347871c0e0e51d244c4/38078d318f8ac76c14e6b45fb2a2ef41/ORIGINAL.jpeg</t>
  </si>
  <si>
    <t>https://d3ls91xgksobn.cloudfront.net/1200x900/etuovimedia/images/property/import/440/2609440/0e76b9541118d347871c0e0e51d244c4/38078d318f8ac76c14e6b45fb2a2ef41/ORIGINAL.jpeg</t>
  </si>
  <si>
    <t>2609440</t>
  </si>
  <si>
    <t>https://www.etuovi.com/kohde/80515841</t>
  </si>
  <si>
    <t>2h + k + s + ak + uv</t>
  </si>
  <si>
    <t>2026-06-10T14:03:23.162Z</t>
  </si>
  <si>
    <t>Row House (Rivitalo) — 2h + k + s + ak + uv — 65 m² — Laitila</t>
  </si>
  <si>
    <t>Hirvisentie 25 Hallila Seinäjoki</t>
  </si>
  <si>
    <t>Hirvisentie 25</t>
  </si>
  <si>
    <t>Hallila Seinäjoki</t>
  </si>
  <si>
    <t>1982</t>
  </si>
  <si>
    <t>Hallila</t>
  </si>
  <si>
    <t>46714614</t>
  </si>
  <si>
    <t>https://d3ls91xgksobn.cloudfront.net/400x300/etuovimedia/images/property/import/438/2609438/0e76b9541118d347871c0e0e51d244c4/aaeda7a22a85437d121caf26c665f4b5/ORIGINAL.jpeg</t>
  </si>
  <si>
    <t>https://d3ls91xgksobn.cloudfront.net/1200x900/etuovimedia/images/property/import/438/2609438/0e76b9541118d347871c0e0e51d244c4/aaeda7a22a85437d121caf26c665f4b5/ORIGINAL.jpeg</t>
  </si>
  <si>
    <t>https://d3ls91xgksobn.cloudfront.net/1200x900/etuovimedia/images/property/import/438/2609438/0e76b9541118d347871c0e0e51d244c4/56d01fa1ef4ec4330a72987de7d7c8f1/ORIGINAL.jpeg</t>
  </si>
  <si>
    <t>2609438</t>
  </si>
  <si>
    <t>https://www.etuovi.com/kohde/46714614</t>
  </si>
  <si>
    <t>99 500 €</t>
  </si>
  <si>
    <t>4h, k, vh, kph, s, wc</t>
  </si>
  <si>
    <t>2026-06-10T14:03:23.223Z</t>
  </si>
  <si>
    <t>Row House (Rivitalo) — 4h, k, vh, kph, s, wc — 90 m² — Hallila Seinäjoki</t>
  </si>
  <si>
    <t>Hakamäentie 82 Hakamäki Salo</t>
  </si>
  <si>
    <t>Hakamäentie 82</t>
  </si>
  <si>
    <t>Hakamäki Salo</t>
  </si>
  <si>
    <t>891</t>
  </si>
  <si>
    <t>Huoneistosalo Oy LKV</t>
  </si>
  <si>
    <t>Hakamäki</t>
  </si>
  <si>
    <t>21556210</t>
  </si>
  <si>
    <t>https://d3ls91xgksobn.cloudfront.net/400x300/etuovimedia/images/property/import/744/1980744/0e76b9541118d347871c0e0e51d244c4/26656f55751e84e1dbdf4debf789a2b0/ORIGINAL.jpeg</t>
  </si>
  <si>
    <t>https://d3ls91xgksobn.cloudfront.net/1200x900/etuovimedia/images/property/import/744/1980744/0e76b9541118d347871c0e0e51d244c4/26656f55751e84e1dbdf4debf789a2b0/ORIGINAL.jpeg</t>
  </si>
  <si>
    <t>1980744</t>
  </si>
  <si>
    <t>https://www.etuovi.com/kohde/21556210</t>
  </si>
  <si>
    <t>2024-08-21</t>
  </si>
  <si>
    <t>6h + k + khh + s + kph + 2wc</t>
  </si>
  <si>
    <t>2026-06-10T14:03:23.251Z</t>
  </si>
  <si>
    <t>Detached House (Omakotitalo) — 6h + k + khh + s + kph + 2wc — 195 m² — Hakamäki Salo</t>
  </si>
  <si>
    <t>Viulukonsertonkuja 6a Ainola Järvenpää</t>
  </si>
  <si>
    <t>Viulukonsertonkuja 6a</t>
  </si>
  <si>
    <t>Ainola Järvenpää</t>
  </si>
  <si>
    <t>Ainola</t>
  </si>
  <si>
    <t>x62697</t>
  </si>
  <si>
    <t>https://d3ls91xgksobn.cloudfront.net/400x300/etuovimedia/images/property/import/817/2068817/0e76b9541118d347871c0e0e51d244c4/48371f3aa36471681486a99f0a29e13f/ORIGINAL.jpeg</t>
  </si>
  <si>
    <t>https://d3ls91xgksobn.cloudfront.net/1200x900/etuovimedia/images/property/import/817/2068817/0e76b9541118d347871c0e0e51d244c4/48371f3aa36471681486a99f0a29e13f/ORIGINAL.jpeg</t>
  </si>
  <si>
    <t>2068817</t>
  </si>
  <si>
    <t>https://www.etuovi.com/kohde/x62697</t>
  </si>
  <si>
    <t>41 815,98 €</t>
  </si>
  <si>
    <t>2025-03-26</t>
  </si>
  <si>
    <t>4H + KT</t>
  </si>
  <si>
    <t>2026-06-10T14:03:23.263Z</t>
  </si>
  <si>
    <t>Apartment (Kerrostalo) — 4H + KT — 82.5 m² — Ainola Järvenpää</t>
  </si>
  <si>
    <t>Karinpolku 11 D 17 Haukipudas Oulu</t>
  </si>
  <si>
    <t>Karinpolku 11 D 17</t>
  </si>
  <si>
    <t>Haukipudas Oulu</t>
  </si>
  <si>
    <t>Haukipudas</t>
  </si>
  <si>
    <t>65168840</t>
  </si>
  <si>
    <t>https://d3ls91xgksobn.cloudfront.net/400x300/etuovimedia/images/property/import/437/2609437/0e76b9541118d347871c0e0e51d244c4/274feae75182d56a94a49ea4f29de13e/ORIGINAL.jpeg</t>
  </si>
  <si>
    <t>https://d3ls91xgksobn.cloudfront.net/1200x900/etuovimedia/images/property/import/437/2609437/0e76b9541118d347871c0e0e51d244c4/274feae75182d56a94a49ea4f29de13e/ORIGINAL.jpeg</t>
  </si>
  <si>
    <t>2609437</t>
  </si>
  <si>
    <t>https://www.etuovi.com/kohde/65168840</t>
  </si>
  <si>
    <t>224 000 €</t>
  </si>
  <si>
    <t>3h, k, kph, s, wc, khh, terassi, var, ak</t>
  </si>
  <si>
    <t>2026-06-10T14:03:23.360Z</t>
  </si>
  <si>
    <t>SEPARATE_HOUSE — 3h, k, kph, s, wc, khh, terassi, var, ak — 73 m² — Haukipudas Oulu</t>
  </si>
  <si>
    <t>Vanha Myllytie 4 a Ahola Juva</t>
  </si>
  <si>
    <t>Vanha Myllytie 4 a</t>
  </si>
  <si>
    <t>Ahola Juva</t>
  </si>
  <si>
    <t>3064</t>
  </si>
  <si>
    <t>OP Koti Itä-Suomi Oy LKV, Savonlinna</t>
  </si>
  <si>
    <t>Liisa Hiltunen</t>
  </si>
  <si>
    <t>Ahola</t>
  </si>
  <si>
    <t>621188</t>
  </si>
  <si>
    <t>https://d3ls91xgksobn.cloudfront.net/400x300/etuovimedia/images/property/import/436/2609436/0e76b9541118d347871c0e0e51d244c4/54acc3d6b3fb7478cc35ea821b6f8261/ORIGINAL.jpeg</t>
  </si>
  <si>
    <t>https://d3ls91xgksobn.cloudfront.net/1200x900/etuovimedia/images/property/import/436/2609436/0e76b9541118d347871c0e0e51d244c4/54acc3d6b3fb7478cc35ea821b6f8261/ORIGINAL.jpeg</t>
  </si>
  <si>
    <t>https://d3ls91xgksobn.cloudfront.net/1200x900/etuovimedia/images/property/import/436/2609436/0e76b9541118d347871c0e0e51d244c4/d714b5ac6cb20a9ca69f050528ab251c/ORIGINAL.jpeg</t>
  </si>
  <si>
    <t>2609436</t>
  </si>
  <si>
    <t>https://www.etuovi.com/kohde/621188</t>
  </si>
  <si>
    <t>36 000 €</t>
  </si>
  <si>
    <t>2026-06-10T14:03:23.396Z</t>
  </si>
  <si>
    <t>Row House (Rivitalo) — 3h, k, s — 83 m² — Ahola Juva</t>
  </si>
  <si>
    <t>Torikatu 2 A Keskusta Kouvola</t>
  </si>
  <si>
    <t>Torikatu 2 A</t>
  </si>
  <si>
    <t>Keskusta Kouvola</t>
  </si>
  <si>
    <t>3667</t>
  </si>
  <si>
    <t>OP Koti Häme-Kaakko Oy LKV, Kouvola</t>
  </si>
  <si>
    <t>Carita Skog</t>
  </si>
  <si>
    <t>621583</t>
  </si>
  <si>
    <t>https://d3ls91xgksobn.cloudfront.net/400x300/etuovimedia/images/property/import/435/2609435/0e76b9541118d347871c0e0e51d244c4/ca8d9ba011d1a6baa68cfecdd3c441b3/ORIGINAL.jpeg</t>
  </si>
  <si>
    <t>https://d3ls91xgksobn.cloudfront.net/1200x900/etuovimedia/images/property/import/435/2609435/0e76b9541118d347871c0e0e51d244c4/ca8d9ba011d1a6baa68cfecdd3c441b3/ORIGINAL.jpeg</t>
  </si>
  <si>
    <t>https://d3ls91xgksobn.cloudfront.net/1200x900/etuovimedia/images/property/import/435/2609435/0e76b9541118d347871c0e0e51d244c4/bbf4a39c59f851474ae2b838fe49a839/ORIGINAL.jpeg</t>
  </si>
  <si>
    <t>2609435</t>
  </si>
  <si>
    <t>https://www.etuovi.com/kohde/621583</t>
  </si>
  <si>
    <t>45 000 €</t>
  </si>
  <si>
    <t>2h, k, kph, p</t>
  </si>
  <si>
    <t>2026-06-10T14:03:23.407Z</t>
  </si>
  <si>
    <t>Apartment (Kerrostalo) — 2h, k, kph, p — 41 m² — Keskusta Kouvola</t>
  </si>
  <si>
    <t>Rastaantie 4 Loukkura Ulvila</t>
  </si>
  <si>
    <t>Rastaantie 4</t>
  </si>
  <si>
    <t>Loukkura Ulvila</t>
  </si>
  <si>
    <t>Eija Rousku</t>
  </si>
  <si>
    <t>2019</t>
  </si>
  <si>
    <t>Loukkura</t>
  </si>
  <si>
    <t>621246</t>
  </si>
  <si>
    <t>https://d3ls91xgksobn.cloudfront.net/400x300/etuovimedia/images/property/import/433/2609433/0e76b9541118d347871c0e0e51d244c4/e694c43c6cfda55f602fa04d5978727e/ORIGINAL.jpeg</t>
  </si>
  <si>
    <t>https://d3ls91xgksobn.cloudfront.net/1200x900/etuovimedia/images/property/import/433/2609433/0e76b9541118d347871c0e0e51d244c4/e694c43c6cfda55f602fa04d5978727e/ORIGINAL.jpeg</t>
  </si>
  <si>
    <t>https://d3ls91xgksobn.cloudfront.net/1200x900/etuovimedia/images/property/import/433/2609433/0e76b9541118d347871c0e0e51d244c4/843cc8b678a1c68dfbdcf525d243dba4/ORIGINAL.jpeg</t>
  </si>
  <si>
    <t>2609433</t>
  </si>
  <si>
    <t>https://www.etuovi.com/kohde/621246</t>
  </si>
  <si>
    <t>272 000 €</t>
  </si>
  <si>
    <t>Oh-k, 3mh, vh, wc, khh, ph / wc</t>
  </si>
  <si>
    <t>2026-06-10T14:03:23.481Z</t>
  </si>
  <si>
    <t>Detached House (Omakotitalo) — Oh-k, 3mh, vh, wc, khh, ph / wc — 122 m² — Loukkura Ulvila</t>
  </si>
  <si>
    <t>Hakatie 5 D Keskusta Kokemäki</t>
  </si>
  <si>
    <t>Hakatie 5 D</t>
  </si>
  <si>
    <t>Keskusta Kokemäki</t>
  </si>
  <si>
    <t>423</t>
  </si>
  <si>
    <t>OP Koti Satapirkka Oy LKV, Huittinen</t>
  </si>
  <si>
    <t>621250</t>
  </si>
  <si>
    <t>https://d3ls91xgksobn.cloudfront.net/400x300/etuovimedia/images/property/import/434/2609434/0e76b9541118d347871c0e0e51d244c4/cc43ca7543378a34565d9b462b36b48a/ORIGINAL.jpeg</t>
  </si>
  <si>
    <t>https://d3ls91xgksobn.cloudfront.net/1200x900/etuovimedia/images/property/import/434/2609434/0e76b9541118d347871c0e0e51d244c4/cc43ca7543378a34565d9b462b36b48a/ORIGINAL.jpeg</t>
  </si>
  <si>
    <t>2609434</t>
  </si>
  <si>
    <t>https://www.etuovi.com/kohde/621250</t>
  </si>
  <si>
    <t>25 000 €</t>
  </si>
  <si>
    <t>4h + k</t>
  </si>
  <si>
    <t>2026-06-10T14:03:23.525Z</t>
  </si>
  <si>
    <t>Apartment (Kerrostalo) — 4h + k — 91 m² — Keskusta Kokemäki</t>
  </si>
  <si>
    <t>Pahamyllyntie 12 A Turenki Janakkala</t>
  </si>
  <si>
    <t>Pahamyllyntie 12 A</t>
  </si>
  <si>
    <t>Turenki Janakkala</t>
  </si>
  <si>
    <t>4681</t>
  </si>
  <si>
    <t>OP Koti Häme-Kaakko Oy LKV, Hämeenlinna</t>
  </si>
  <si>
    <t>Perttu Parviainen</t>
  </si>
  <si>
    <t>Turenki</t>
  </si>
  <si>
    <t>621016</t>
  </si>
  <si>
    <t>https://d3ls91xgksobn.cloudfront.net/400x300/etuovimedia/images/property/import/431/2609431/0e76b9541118d347871c0e0e51d244c4/557444eacb79d38ed4166daa0d4d0d2d/ORIGINAL.jpeg</t>
  </si>
  <si>
    <t>https://d3ls91xgksobn.cloudfront.net/1200x900/etuovimedia/images/property/import/431/2609431/0e76b9541118d347871c0e0e51d244c4/557444eacb79d38ed4166daa0d4d0d2d/ORIGINAL.jpeg</t>
  </si>
  <si>
    <t>https://d3ls91xgksobn.cloudfront.net/1200x900/etuovimedia/images/property/import/431/2609431/0e76b9541118d347871c0e0e51d244c4/7686b184eabb8d0a436f3f80bbe0579e/ORIGINAL.jpeg</t>
  </si>
  <si>
    <t>2609431</t>
  </si>
  <si>
    <t>https://www.etuovi.com/kohde/621016</t>
  </si>
  <si>
    <t>99 000 €</t>
  </si>
  <si>
    <t>3h, k, kph, s</t>
  </si>
  <si>
    <t>2026-06-10T14:03:23.650Z</t>
  </si>
  <si>
    <t>Row House (Rivitalo) — 3h, k, kph, s — 81.5 m² — Turenki Janakkala</t>
  </si>
  <si>
    <t>Aseveljenkatu 4 B Haapaniemi Kuopio</t>
  </si>
  <si>
    <t>Aseveljenkatu 4 B</t>
  </si>
  <si>
    <t>Haapaniemi Kuopio</t>
  </si>
  <si>
    <t>Justus Malinen</t>
  </si>
  <si>
    <t>Haapaniemi</t>
  </si>
  <si>
    <t>621043</t>
  </si>
  <si>
    <t>https://d3ls91xgksobn.cloudfront.net/400x300/etuovimedia/images/property/import/430/2609430/0e76b9541118d347871c0e0e51d244c4/96b5c4150bdc9541b85066c386f13024/ORIGINAL.jpeg</t>
  </si>
  <si>
    <t>https://d3ls91xgksobn.cloudfront.net/1200x900/etuovimedia/images/property/import/430/2609430/0e76b9541118d347871c0e0e51d244c4/96b5c4150bdc9541b85066c386f13024/ORIGINAL.jpeg</t>
  </si>
  <si>
    <t>https://d3ls91xgksobn.cloudfront.net/1200x900/etuovimedia/images/property/import/430/2609430/0e76b9541118d347871c0e0e51d244c4/8502dad8098d1d5bf79764bc83416d6e/ORIGINAL.jpeg</t>
  </si>
  <si>
    <t>2609430</t>
  </si>
  <si>
    <t>https://www.etuovi.com/kohde/621043</t>
  </si>
  <si>
    <t>1h, kk, s</t>
  </si>
  <si>
    <t>2026-06-10T14:03:23.751Z</t>
  </si>
  <si>
    <t>Apartment (Kerrostalo) — 1h, kk, s — 33.5 m² — Haapaniemi Kuopio</t>
  </si>
  <si>
    <t>Hirvimiestentie 4 F Gumböle Espoo</t>
  </si>
  <si>
    <t>Hirvimiestentie 4 F</t>
  </si>
  <si>
    <t>Gumböle Espoo</t>
  </si>
  <si>
    <t>2463</t>
  </si>
  <si>
    <t>OP Koti Uusimaa Oy LKV, Espoo</t>
  </si>
  <si>
    <t>Riina Tanabe</t>
  </si>
  <si>
    <t>Gumböle</t>
  </si>
  <si>
    <t>620814</t>
  </si>
  <si>
    <t>https://d3ls91xgksobn.cloudfront.net/400x300/etuovimedia/images/property/import/429/2609429/0e76b9541118d347871c0e0e51d244c4/f5b697a58d0bc2e20c80c188a6791d1d/ORIGINAL.jpeg</t>
  </si>
  <si>
    <t>https://d3ls91xgksobn.cloudfront.net/1200x900/etuovimedia/images/property/import/429/2609429/0e76b9541118d347871c0e0e51d244c4/f5b697a58d0bc2e20c80c188a6791d1d/ORIGINAL.jpeg</t>
  </si>
  <si>
    <t>https://d3ls91xgksobn.cloudfront.net/1200x900/etuovimedia/images/property/import/429/2609429/0e76b9541118d347871c0e0e51d244c4/899fdfc967c3b60fcfd3ce9dbf4f00ce/ORIGINAL.jpeg</t>
  </si>
  <si>
    <t>2609429</t>
  </si>
  <si>
    <t>https://www.etuovi.com/kohde/620814</t>
  </si>
  <si>
    <t>2h, k, kph, parveke (yj. 2 h + kt)</t>
  </si>
  <si>
    <t>2026-06-10T14:03:23.869Z</t>
  </si>
  <si>
    <t>Apartment (Kerrostalo) — 2h, k, kph, parveke (yj. 2 h + kt) — 44.5 m² — Gumböle Espoo</t>
  </si>
  <si>
    <t>Matruusinkatu 4 B Katajanokka Helsinki</t>
  </si>
  <si>
    <t>Matruusinkatu 4 B</t>
  </si>
  <si>
    <t>Katajanokka Helsinki</t>
  </si>
  <si>
    <t>2462</t>
  </si>
  <si>
    <t>OP Koti Uusimaa Oy LKV, Töölö</t>
  </si>
  <si>
    <t>Kristel Järvelill</t>
  </si>
  <si>
    <t>Katajanokka</t>
  </si>
  <si>
    <t>620659</t>
  </si>
  <si>
    <t>https://d3ls91xgksobn.cloudfront.net/400x300/etuovimedia/images/property/import/428/2609428/0e76b9541118d347871c0e0e51d244c4/26dac6655ecbf039d3b3a92773261bb0/ORIGINAL.jpeg</t>
  </si>
  <si>
    <t>https://d3ls91xgksobn.cloudfront.net/1200x900/etuovimedia/images/property/import/428/2609428/0e76b9541118d347871c0e0e51d244c4/26dac6655ecbf039d3b3a92773261bb0/ORIGINAL.jpeg</t>
  </si>
  <si>
    <t>https://d3ls91xgksobn.cloudfront.net/1200x900/etuovimedia/images/property/import/428/2609428/0e76b9541118d347871c0e0e51d244c4/f625ab2c89b546b0015a01e08d885d09/ORIGINAL.jpeg</t>
  </si>
  <si>
    <t>2609428</t>
  </si>
  <si>
    <t>https://www.etuovi.com/kohde/620659</t>
  </si>
  <si>
    <t>2h + k + kph + p (YJ:n mukaan 2h + k)</t>
  </si>
  <si>
    <t>2026-06-10T14:03:23.908Z</t>
  </si>
  <si>
    <t>Apartment (Kerrostalo) — 2h + k + kph + p (YJ:n mukaan 2h + k) — 60 m² — Katajanokka Helsinki</t>
  </si>
  <si>
    <t>Karjalankatu 13 A Alppila Helsinki</t>
  </si>
  <si>
    <t>Karjalankatu 13 A</t>
  </si>
  <si>
    <t>Alppila Helsinki</t>
  </si>
  <si>
    <t>Anita Manner</t>
  </si>
  <si>
    <t>Alppila</t>
  </si>
  <si>
    <t>620628</t>
  </si>
  <si>
    <t>https://d3ls91xgksobn.cloudfront.net/400x300/etuovimedia/images/property/import/427/2609427/0e76b9541118d347871c0e0e51d244c4/337a3db1d395dc57dec11204c229a83c/ORIGINAL.jpeg</t>
  </si>
  <si>
    <t>https://d3ls91xgksobn.cloudfront.net/1200x900/etuovimedia/images/property/import/427/2609427/0e76b9541118d347871c0e0e51d244c4/337a3db1d395dc57dec11204c229a83c/ORIGINAL.jpeg</t>
  </si>
  <si>
    <t>https://d3ls91xgksobn.cloudfront.net/1200x900/etuovimedia/images/property/import/427/2609427/0e76b9541118d347871c0e0e51d244c4/24fd5717a915e75218faaade153cbedb/ORIGINAL.jpeg</t>
  </si>
  <si>
    <t>2609427</t>
  </si>
  <si>
    <t>https://www.etuovi.com/kohde/620628</t>
  </si>
  <si>
    <t>420 000 €</t>
  </si>
  <si>
    <t>3-4h + k + 2*kph + p (yj 4h + k)</t>
  </si>
  <si>
    <t>2026-06-10T14:03:23.979Z</t>
  </si>
  <si>
    <t>Apartment (Kerrostalo) — 3-4h + k + 2*kph + p (yj 4h + k) — 88.5 m² — Alppila Helsinki</t>
  </si>
  <si>
    <t>Kyntäjänkuja 7 Kisakallio Lieto</t>
  </si>
  <si>
    <t>Kyntäjänkuja 7</t>
  </si>
  <si>
    <t>Kisakallio Lieto</t>
  </si>
  <si>
    <t>Pia Willberg</t>
  </si>
  <si>
    <t>Kisakallio</t>
  </si>
  <si>
    <t>620448</t>
  </si>
  <si>
    <t>https://d3ls91xgksobn.cloudfront.net/400x300/etuovimedia/images/property/import/426/2609426/0e76b9541118d347871c0e0e51d244c4/de389b7827ce6de7646f1f5e8420a032/ORIGINAL.jpeg</t>
  </si>
  <si>
    <t>https://d3ls91xgksobn.cloudfront.net/1200x900/etuovimedia/images/property/import/426/2609426/0e76b9541118d347871c0e0e51d244c4/de389b7827ce6de7646f1f5e8420a032/ORIGINAL.jpeg</t>
  </si>
  <si>
    <t>https://d3ls91xgksobn.cloudfront.net/1200x900/etuovimedia/images/property/import/426/2609426/0e76b9541118d347871c0e0e51d244c4/7921839fd90ea3429c66c485d94ad714/ORIGINAL.jpeg</t>
  </si>
  <si>
    <t>2609426</t>
  </si>
  <si>
    <t>https://www.etuovi.com/kohde/620448</t>
  </si>
  <si>
    <t>3h(4h) + et + erillinen wc + vh + erillinen wc + pesuhuone + sauna + keittiö + kylmiö + autotalli</t>
  </si>
  <si>
    <t>2026-06-10T14:03:24.026Z</t>
  </si>
  <si>
    <t>Detached House (Omakotitalo) — 3h(4h) + et + erillinen wc + vh + erillinen wc + pesuhuone + sauna + keittiö + kylmiö + autotalli — 116 m² — Kisakallio Lieto</t>
  </si>
  <si>
    <t>Porarinkatu 5 A Vallikallio Espoo</t>
  </si>
  <si>
    <t>Porarinkatu 5 A</t>
  </si>
  <si>
    <t>Vallikallio Espoo</t>
  </si>
  <si>
    <t>Hannele Malkki</t>
  </si>
  <si>
    <t>Vallikallio</t>
  </si>
  <si>
    <t>620302</t>
  </si>
  <si>
    <t>https://d3ls91xgksobn.cloudfront.net/400x300/etuovimedia/images/property/import/425/2609425/0e76b9541118d347871c0e0e51d244c4/7c907f793daa831007b8c4ee8aeddb7f/ORIGINAL.jpeg</t>
  </si>
  <si>
    <t>https://d3ls91xgksobn.cloudfront.net/1200x900/etuovimedia/images/property/import/425/2609425/0e76b9541118d347871c0e0e51d244c4/7c907f793daa831007b8c4ee8aeddb7f/ORIGINAL.jpeg</t>
  </si>
  <si>
    <t>https://d3ls91xgksobn.cloudfront.net/1200x900/etuovimedia/images/property/import/425/2609425/0e76b9541118d347871c0e0e51d244c4/5a22313cfadd10ab3bef7c2ca9c79fc8/ORIGINAL.jpeg</t>
  </si>
  <si>
    <t>2609425</t>
  </si>
  <si>
    <t>https://www.etuovi.com/kohde/620302</t>
  </si>
  <si>
    <t>2h + tk + p (yhtiöjärjestyksessä 1h + tk + s)</t>
  </si>
  <si>
    <t>2026-06-10T14:03:24.051Z</t>
  </si>
  <si>
    <t>Apartment (Kerrostalo) — 2h + tk + p (yhtiöjärjestyksessä 1h + tk + s) — 39.5 m² — Vallikallio Espoo</t>
  </si>
  <si>
    <t>Albertinkuja 20 B Keskusta Oulu</t>
  </si>
  <si>
    <t>Albertinkuja 20 B</t>
  </si>
  <si>
    <t>Keskusta Oulu</t>
  </si>
  <si>
    <t>3164</t>
  </si>
  <si>
    <t>OP Koti Pohjoinen Oy LKV, Oulu</t>
  </si>
  <si>
    <t>Terhi Heikkilä</t>
  </si>
  <si>
    <t>620395</t>
  </si>
  <si>
    <t>https://d3ls91xgksobn.cloudfront.net/400x300/etuovimedia/images/property/import/423/2609423/0e76b9541118d347871c0e0e51d244c4/826729b23683b38db480cdbcf7f0d2db/ORIGINAL.jpeg</t>
  </si>
  <si>
    <t>https://d3ls91xgksobn.cloudfront.net/1200x900/etuovimedia/images/property/import/423/2609423/0e76b9541118d347871c0e0e51d244c4/826729b23683b38db480cdbcf7f0d2db/ORIGINAL.jpeg</t>
  </si>
  <si>
    <t>https://d3ls91xgksobn.cloudfront.net/1200x900/etuovimedia/images/property/import/423/2609423/0e76b9541118d347871c0e0e51d244c4/967ca0fbd2ff5f51e0ffb7656a1a235c/ORIGINAL.jpeg</t>
  </si>
  <si>
    <t>2609423</t>
  </si>
  <si>
    <t>https://www.etuovi.com/kohde/620395</t>
  </si>
  <si>
    <t>393 000 €</t>
  </si>
  <si>
    <t>3h, k, ru, s</t>
  </si>
  <si>
    <t>2026-06-10T14:03:26.763Z</t>
  </si>
  <si>
    <t>Apartment (Kerrostalo) — 3h, k, ru, s — 78 m² — Keskusta Oulu</t>
  </si>
  <si>
    <t>Tehtaanmäenkatu 3 B Savio Kerava</t>
  </si>
  <si>
    <t>Tehtaanmäenkatu 3 B</t>
  </si>
  <si>
    <t>Savio Kerava</t>
  </si>
  <si>
    <t>3373</t>
  </si>
  <si>
    <t>OP Koti Uusimaa Oy LKV, Kerava</t>
  </si>
  <si>
    <t>Veera Kallio</t>
  </si>
  <si>
    <t>Savio</t>
  </si>
  <si>
    <t>619940</t>
  </si>
  <si>
    <t>https://d3ls91xgksobn.cloudfront.net/400x300/etuovimedia/images/property/import/422/2609422/0e76b9541118d347871c0e0e51d244c4/f8579db9cbd3eccde1134ed15a536a9a/ORIGINAL.jpeg</t>
  </si>
  <si>
    <t>https://d3ls91xgksobn.cloudfront.net/1200x900/etuovimedia/images/property/import/422/2609422/0e76b9541118d347871c0e0e51d244c4/f8579db9cbd3eccde1134ed15a536a9a/ORIGINAL.jpeg</t>
  </si>
  <si>
    <t>https://d3ls91xgksobn.cloudfront.net/1200x900/etuovimedia/images/property/import/422/2609422/0e76b9541118d347871c0e0e51d244c4/e8afc1c14f7c3b9a8d7ff36f31ad2daf/ORIGINAL.jpeg</t>
  </si>
  <si>
    <t>https://d3ls91xgksobn.cloudfront.net/1200x900/etuovimedia/images/property/import/422/2609422/0e76b9541118d347871c0e0e51d244c4/5e25a7e1165a0cc1bf6009dd53b6c448/ORIGINAL.jpeg</t>
  </si>
  <si>
    <t>2609422</t>
  </si>
  <si>
    <t>https://www.etuovi.com/kohde/619940</t>
  </si>
  <si>
    <t>282 000 €</t>
  </si>
  <si>
    <t>4h, k, th, s</t>
  </si>
  <si>
    <t>2026-06-10T14:03:26.850Z</t>
  </si>
  <si>
    <t>Row House (Rivitalo) — 4h, k, th, s — 113 m² — Savio Kerava</t>
  </si>
  <si>
    <t>Maaherrankatu 29-31 B Keskusta Kuopio</t>
  </si>
  <si>
    <t>Maaherrankatu 29-31 B</t>
  </si>
  <si>
    <t>619793</t>
  </si>
  <si>
    <t>https://d3ls91xgksobn.cloudfront.net/400x300/etuovimedia/images/property/import/421/2609421/0e76b9541118d347871c0e0e51d244c4/2cec7da42af73e0c06160e7dd62bce86/ORIGINAL.jpeg</t>
  </si>
  <si>
    <t>https://d3ls91xgksobn.cloudfront.net/1200x900/etuovimedia/images/property/import/421/2609421/0e76b9541118d347871c0e0e51d244c4/2cec7da42af73e0c06160e7dd62bce86/ORIGINAL.jpeg</t>
  </si>
  <si>
    <t>https://d3ls91xgksobn.cloudfront.net/1200x900/etuovimedia/images/property/import/421/2609421/0e76b9541118d347871c0e0e51d244c4/5474b1af6c88096885c9fee0523b0359/ORIGINAL.jpeg</t>
  </si>
  <si>
    <t>2609421</t>
  </si>
  <si>
    <t>https://www.etuovi.com/kohde/619793</t>
  </si>
  <si>
    <t>1h, k, s</t>
  </si>
  <si>
    <t>2026-06-10T14:03:26.892Z</t>
  </si>
  <si>
    <t>Apartment (Kerrostalo) — 1h, k, s — 35 m² — Keskusta Kuopio</t>
  </si>
  <si>
    <t>Kaaritie 19 Haapaniemi Jyväskylä</t>
  </si>
  <si>
    <t>Kaaritie 19</t>
  </si>
  <si>
    <t>Haapaniemi Jyväskylä</t>
  </si>
  <si>
    <t>Mikko Raivio</t>
  </si>
  <si>
    <t>619711</t>
  </si>
  <si>
    <t>https://d3ls91xgksobn.cloudfront.net/400x300/etuovimedia/images/property/import/420/2609420/0e76b9541118d347871c0e0e51d244c4/0b9e8ebe38757e46db1083e3b8beb6a2/ORIGINAL.jpeg</t>
  </si>
  <si>
    <t>https://d3ls91xgksobn.cloudfront.net/1200x900/etuovimedia/images/property/import/420/2609420/0e76b9541118d347871c0e0e51d244c4/0b9e8ebe38757e46db1083e3b8beb6a2/ORIGINAL.jpeg</t>
  </si>
  <si>
    <t>https://d3ls91xgksobn.cloudfront.net/1200x900/etuovimedia/images/property/import/420/2609420/0e76b9541118d347871c0e0e51d244c4/6828ef437a8ceb212a0fbe9f8ea3bd7d/ORIGINAL.jpeg</t>
  </si>
  <si>
    <t>2609420</t>
  </si>
  <si>
    <t>https://www.etuovi.com/kohde/619711</t>
  </si>
  <si>
    <t>2026-06-10T14:03:26.908Z</t>
  </si>
  <si>
    <t>Detached House (Omakotitalo) — 4h, k, s — 109 m² — Haapaniemi Jyväskylä</t>
  </si>
  <si>
    <t>Puolukkaroves 6 Hyllykallio Seinäjoki</t>
  </si>
  <si>
    <t>Puolukkaroves 6</t>
  </si>
  <si>
    <t>Hyllykallio Seinäjoki</t>
  </si>
  <si>
    <t>1994</t>
  </si>
  <si>
    <t>Hyllykallio</t>
  </si>
  <si>
    <t>618804</t>
  </si>
  <si>
    <t>https://d3ls91xgksobn.cloudfront.net/400x300/etuovimedia/images/property/import/418/2609418/0e76b9541118d347871c0e0e51d244c4/38cba6392cb3b0ebc958606739bbf72b/ORIGINAL.jpeg</t>
  </si>
  <si>
    <t>https://d3ls91xgksobn.cloudfront.net/1200x900/etuovimedia/images/property/import/418/2609418/0e76b9541118d347871c0e0e51d244c4/38cba6392cb3b0ebc958606739bbf72b/ORIGINAL.jpeg</t>
  </si>
  <si>
    <t>https://d3ls91xgksobn.cloudfront.net/1200x900/etuovimedia/images/property/import/418/2609418/0e76b9541118d347871c0e0e51d244c4/862bbcb307dcc78978d714e10170e414/ORIGINAL.jpeg</t>
  </si>
  <si>
    <t>https://d3ls91xgksobn.cloudfront.net/1200x900/etuovimedia/images/property/import/418/2609418/0e76b9541118d347871c0e0e51d244c4/8a8033bcff76bec38a502851c82914e9/ORIGINAL.jpeg</t>
  </si>
  <si>
    <t>2609418</t>
  </si>
  <si>
    <t>https://www.etuovi.com/kohde/618804</t>
  </si>
  <si>
    <t>280 000 €</t>
  </si>
  <si>
    <t>6h + k + aula + ph + s + khh + erill wc / suihku</t>
  </si>
  <si>
    <t>2026-06-10T14:03:26.938Z</t>
  </si>
  <si>
    <t>Detached House (Omakotitalo) — 6h + k + aula + ph + s + khh + erill wc / suihku — 166 m² — Hyllykallio Seinäjoki</t>
  </si>
  <si>
    <t>Itäniitynpolku 1d Laajasalo Helsinki</t>
  </si>
  <si>
    <t>Itäniitynpolku 1d</t>
  </si>
  <si>
    <t>Laajasalo Helsinki</t>
  </si>
  <si>
    <t>Oskari Anttila</t>
  </si>
  <si>
    <t>Laajasalo</t>
  </si>
  <si>
    <t>618636</t>
  </si>
  <si>
    <t>https://d3ls91xgksobn.cloudfront.net/400x300/etuovimedia/images/property/import/417/2609417/0e76b9541118d347871c0e0e51d244c4/3a1a2f22d3f39c7c4245dd1a01020fba/ORIGINAL.jpeg</t>
  </si>
  <si>
    <t>https://d3ls91xgksobn.cloudfront.net/1200x900/etuovimedia/images/property/import/417/2609417/0e76b9541118d347871c0e0e51d244c4/3a1a2f22d3f39c7c4245dd1a01020fba/ORIGINAL.jpeg</t>
  </si>
  <si>
    <t>https://d3ls91xgksobn.cloudfront.net/1200x900/etuovimedia/images/property/import/417/2609417/0e76b9541118d347871c0e0e51d244c4/42f0767a1aff74b53694af9c3c71bff0/ORIGINAL.jpeg</t>
  </si>
  <si>
    <t>https://d3ls91xgksobn.cloudfront.net/1200x900/etuovimedia/images/property/import/417/2609417/0e76b9541118d347871c0e0e51d244c4/b429c3f5b834ef2aa392cecb65efa838/ORIGINAL.jpeg</t>
  </si>
  <si>
    <t>2609417</t>
  </si>
  <si>
    <t>https://www.etuovi.com/kohde/618636</t>
  </si>
  <si>
    <t>729 000 €</t>
  </si>
  <si>
    <t>5h, avok, kph x2, khh x2, wc, s, ph</t>
  </si>
  <si>
    <t>2026-06-10T14:03:26.961Z</t>
  </si>
  <si>
    <t>Detached House (Omakotitalo) — 5h, avok, kph x2, khh x2, wc, s, ph — 126 m² — Laajasalo Helsinki</t>
  </si>
  <si>
    <t>Itätie 16 Haukivuori Mikkeli</t>
  </si>
  <si>
    <t>Itätie 16</t>
  </si>
  <si>
    <t>Haukivuori Mikkeli</t>
  </si>
  <si>
    <t>Haukivuori</t>
  </si>
  <si>
    <t>1399654</t>
  </si>
  <si>
    <t>https://d3ls91xgksobn.cloudfront.net/400x300/etuovimedia/images/property/import/176/2300176/0e76b9541118d347871c0e0e51d244c4/909224d8b403a1f541ec3d9aacbe3ef0/ORIGINAL.jpeg</t>
  </si>
  <si>
    <t>https://d3ls91xgksobn.cloudfront.net/1200x900/etuovimedia/images/property/import/176/2300176/0e76b9541118d347871c0e0e51d244c4/909224d8b403a1f541ec3d9aacbe3ef0/ORIGINAL.jpeg</t>
  </si>
  <si>
    <t>https://d3ls91xgksobn.cloudfront.net/1200x900/etuovimedia/images/property/import/176/2300176/0e76b9541118d347871c0e0e51d244c4/dd5d63707342deb9a2a76c0d128243d9/ORIGINAL.jpeg</t>
  </si>
  <si>
    <t>https://d3ls91xgksobn.cloudfront.net/1200x900/etuovimedia/images/property/import/176/2300176/0e76b9541118d347871c0e0e51d244c4/35dbeeea90f95a5bc1ae1c95d8671789/ORIGINAL.jpeg</t>
  </si>
  <si>
    <t>2300176</t>
  </si>
  <si>
    <t>https://www.etuovi.com/kohde/1399654</t>
  </si>
  <si>
    <t>20 000 €</t>
  </si>
  <si>
    <t>2025-08-23</t>
  </si>
  <si>
    <t>2026-06-10T14:03:26.980Z</t>
  </si>
  <si>
    <t>Row House (Rivitalo) — 2h, k, s — 60 m² — Haukivuori Mikkeli</t>
  </si>
  <si>
    <t>Touvitie 14 Rantakylä Joensuu</t>
  </si>
  <si>
    <t>Touvitie 14</t>
  </si>
  <si>
    <t>3066</t>
  </si>
  <si>
    <t>OP Koti Itä-Suomi Oy LKV, Joensuu</t>
  </si>
  <si>
    <t>Juuso Salomies</t>
  </si>
  <si>
    <t>618565</t>
  </si>
  <si>
    <t>https://d3ls91xgksobn.cloudfront.net/400x300/etuovimedia/images/property/import/414/2609414/0e76b9541118d347871c0e0e51d244c4/2ebef1e12ad318fad3faef4ed0543b0c/ORIGINAL.jpeg</t>
  </si>
  <si>
    <t>https://d3ls91xgksobn.cloudfront.net/1200x900/etuovimedia/images/property/import/414/2609414/0e76b9541118d347871c0e0e51d244c4/2ebef1e12ad318fad3faef4ed0543b0c/ORIGINAL.jpeg</t>
  </si>
  <si>
    <t>https://d3ls91xgksobn.cloudfront.net/1200x900/etuovimedia/images/property/import/414/2609414/0e76b9541118d347871c0e0e51d244c4/2a8c6084074e3f2374f09a3e84f3b8aa/ORIGINAL.jpeg</t>
  </si>
  <si>
    <t>2609414</t>
  </si>
  <si>
    <t>https://www.etuovi.com/kohde/618565</t>
  </si>
  <si>
    <t>95 000 €</t>
  </si>
  <si>
    <t>3mh, k, oh, khh, s, wc</t>
  </si>
  <si>
    <t>2026-06-10T14:03:27.065Z</t>
  </si>
  <si>
    <t>Detached House (Omakotitalo) — 3mh, k, oh, khh, s, wc — 119.5 m² — Rantakylä Joensuu</t>
  </si>
  <si>
    <t>Karinpolku 11 D 16 Haukipudas Oulu</t>
  </si>
  <si>
    <t>Karinpolku 11 D 16</t>
  </si>
  <si>
    <t>61062839</t>
  </si>
  <si>
    <t>https://d3ls91xgksobn.cloudfront.net/400x300/etuovimedia/images/property/import/412/2609412/0e76b9541118d347871c0e0e51d244c4/274feae75182d56a94a49ea4f29de13e/ORIGINAL.jpeg</t>
  </si>
  <si>
    <t>https://d3ls91xgksobn.cloudfront.net/1200x900/etuovimedia/images/property/import/412/2609412/0e76b9541118d347871c0e0e51d244c4/274feae75182d56a94a49ea4f29de13e/ORIGINAL.jpeg</t>
  </si>
  <si>
    <t>2609412</t>
  </si>
  <si>
    <t>https://www.etuovi.com/kohde/61062839</t>
  </si>
  <si>
    <t>2026-06-10T14:03:27.119Z</t>
  </si>
  <si>
    <t>Kinkorinne 20 Kinkomaa Muurame</t>
  </si>
  <si>
    <t>Kinkorinne 20</t>
  </si>
  <si>
    <t>Kinkomaa Muurame</t>
  </si>
  <si>
    <t>844</t>
  </si>
  <si>
    <t>Kiinteistönvälitys LKV Savolin Oy</t>
  </si>
  <si>
    <t>http://www.savolin.fi/fi/etusivu</t>
  </si>
  <si>
    <t>Jere Savolin</t>
  </si>
  <si>
    <t>Kinkomaa</t>
  </si>
  <si>
    <t>80462656</t>
  </si>
  <si>
    <t>https://d3ls91xgksobn.cloudfront.net/400x300/etuovimedia/images/property/import/585/2368585/0e76b9541118d347871c0e0e51d244c4/2d115aa1cb8ca00113e02f073968e5e5/ORIGINAL.jpeg</t>
  </si>
  <si>
    <t>https://d3ls91xgksobn.cloudfront.net/1200x900/etuovimedia/images/property/import/585/2368585/0e76b9541118d347871c0e0e51d244c4/2d115aa1cb8ca00113e02f073968e5e5/ORIGINAL.jpeg</t>
  </si>
  <si>
    <t>https://d3ls91xgksobn.cloudfront.net/1200x900/etuovimedia/images/property/import/585/2368585/0e76b9541118d347871c0e0e51d244c4/39db864f35382fe43e4b56dd602db567/ORIGINAL.jpeg</t>
  </si>
  <si>
    <t>2368585</t>
  </si>
  <si>
    <t>https://www.etuovi.com/kohde/80462656</t>
  </si>
  <si>
    <t>398 000 €</t>
  </si>
  <si>
    <t>2025-10-22</t>
  </si>
  <si>
    <t>4 huonetta, keittiö, kph, sauna, 2x erill. wc, khh, vaatehuone, varasto</t>
  </si>
  <si>
    <t>2026-06-10T14:03:27.163Z</t>
  </si>
  <si>
    <t>Semi-detached (Paritalo) — 4 huonetta, keittiö, kph, sauna, 2x erill. wc, khh, vaatehuone, varasto — 141 m² — Kinkomaa Muurame</t>
  </si>
  <si>
    <t>Käsälä 1-3 As Lohikoski Jyväskylä</t>
  </si>
  <si>
    <t>Käsälä 1-3 As</t>
  </si>
  <si>
    <t>Lohikoski Jyväskylä</t>
  </si>
  <si>
    <t>Lohikoski</t>
  </si>
  <si>
    <t>80504255</t>
  </si>
  <si>
    <t>https://d3ls91xgksobn.cloudfront.net/400x300/etuovimedia/images/property/import/318/2569318/0e76b9541118d347871c0e0e51d244c4/c7f1591d776d7196276658e79613ed04/ORIGINAL.jpeg</t>
  </si>
  <si>
    <t>https://d3ls91xgksobn.cloudfront.net/1200x900/etuovimedia/images/property/import/318/2569318/0e76b9541118d347871c0e0e51d244c4/c7f1591d776d7196276658e79613ed04/ORIGINAL.jpeg</t>
  </si>
  <si>
    <t>https://d3ls91xgksobn.cloudfront.net/1200x900/etuovimedia/images/property/import/318/2569318/0e76b9541118d347871c0e0e51d244c4/7486bc0e1bbe4a5fb3539d07a7e254a1/ORIGINAL.jpeg</t>
  </si>
  <si>
    <t>2569318</t>
  </si>
  <si>
    <t>https://www.etuovi.com/kohde/80504255</t>
  </si>
  <si>
    <t>157 000 €</t>
  </si>
  <si>
    <t>2026-05-07</t>
  </si>
  <si>
    <t>3h, k, pkh, kph, s, erill.wc / kph, varastot, parveke</t>
  </si>
  <si>
    <t>2026-06-10T14:03:27.187Z</t>
  </si>
  <si>
    <t>Row House (Rivitalo) — 3h, k, pkh, kph, s, erill.wc / kph, varastot, parveke — 115.5 m² — Lohikoski Jyväskylä</t>
  </si>
  <si>
    <t>Onnelanpolku 3 Onnela Kajaani</t>
  </si>
  <si>
    <t>Onnelanpolku 3</t>
  </si>
  <si>
    <t>Onnela Kajaani</t>
  </si>
  <si>
    <t>2006</t>
  </si>
  <si>
    <t>Onnela</t>
  </si>
  <si>
    <t>20010417</t>
  </si>
  <si>
    <t>https://d3ls91xgksobn.cloudfront.net/400x300/etuovimedia/images/property/import/411/2609411/0e76b9541118d347871c0e0e51d244c4/57b228de2d95b44bd8ae826a400156db/ORIGINAL.jpeg</t>
  </si>
  <si>
    <t>https://d3ls91xgksobn.cloudfront.net/1200x900/etuovimedia/images/property/import/411/2609411/0e76b9541118d347871c0e0e51d244c4/57b228de2d95b44bd8ae826a400156db/ORIGINAL.jpeg</t>
  </si>
  <si>
    <t>2609411</t>
  </si>
  <si>
    <t>https://www.etuovi.com/kohde/20010417</t>
  </si>
  <si>
    <t>120 000 €</t>
  </si>
  <si>
    <t>2026-06-10T14:03:27.274Z</t>
  </si>
  <si>
    <t>Apartment (Kerrostalo) — 2h + k + s — 54.5 m² — Onnela Kajaani</t>
  </si>
  <si>
    <t>Länsipuisto 20 B Keskusta Pori</t>
  </si>
  <si>
    <t>Länsipuisto 20 B</t>
  </si>
  <si>
    <t>2884</t>
  </si>
  <si>
    <t>Kiinteistönvälitys Otso Lkv Oy</t>
  </si>
  <si>
    <t>https://otsolkv.fi/</t>
  </si>
  <si>
    <t>80511185</t>
  </si>
  <si>
    <t>https://d3ls91xgksobn.cloudfront.net/400x300/etuovimedia/images/property/import/409/2609409/0e76b9541118d347871c0e0e51d244c4/9049ee948efd5b27c7f6805925515bd0/ORIGINAL.jpeg</t>
  </si>
  <si>
    <t>https://d3ls91xgksobn.cloudfront.net/1200x900/etuovimedia/images/property/import/409/2609409/0e76b9541118d347871c0e0e51d244c4/9049ee948efd5b27c7f6805925515bd0/ORIGINAL.jpeg</t>
  </si>
  <si>
    <t>2609409</t>
  </si>
  <si>
    <t>https://www.etuovi.com/kohde/80511185</t>
  </si>
  <si>
    <t>81 000 €</t>
  </si>
  <si>
    <t>2h + k + parveke</t>
  </si>
  <si>
    <t>2026-06-10T14:03:27.289Z</t>
  </si>
  <si>
    <t>Apartment (Kerrostalo) — 2h + k + parveke — 53 m² — Keskusta Pori</t>
  </si>
  <si>
    <t>Otsontie 21 B Leppävesi Laukaa</t>
  </si>
  <si>
    <t>Otsontie 21 B</t>
  </si>
  <si>
    <t>Leppävesi Laukaa</t>
  </si>
  <si>
    <t>Leppävesi</t>
  </si>
  <si>
    <t>80512975</t>
  </si>
  <si>
    <t>https://d3ls91xgksobn.cloudfront.net/400x300/etuovimedia/images/property/import/408/2609408/0e76b9541118d347871c0e0e51d244c4/60fad230be54a3b70d227f3f3d2da322/ORIGINAL.jpeg</t>
  </si>
  <si>
    <t>https://d3ls91xgksobn.cloudfront.net/1200x900/etuovimedia/images/property/import/408/2609408/0e76b9541118d347871c0e0e51d244c4/60fad230be54a3b70d227f3f3d2da322/ORIGINAL.jpeg</t>
  </si>
  <si>
    <t>https://d3ls91xgksobn.cloudfront.net/1200x900/etuovimedia/images/property/import/408/2609408/0e76b9541118d347871c0e0e51d244c4/47b09004273f20bd9aad1f3be0c43e33/ORIGINAL.jpeg</t>
  </si>
  <si>
    <t>2609408</t>
  </si>
  <si>
    <t>https://www.etuovi.com/kohde/80512975</t>
  </si>
  <si>
    <t>4h, k, kph, s, khh, erill. wc, lasitettu terassi</t>
  </si>
  <si>
    <t>2026-06-10T14:03:27.306Z</t>
  </si>
  <si>
    <t>Semi-detached (Paritalo) — 4h, k, kph, s, khh, erill. wc, lasitettu terassi — 92 m² — Leppävesi Laukaa</t>
  </si>
  <si>
    <t>Kaivosrinteentie 1 H 62 Kaivoksela Vantaa</t>
  </si>
  <si>
    <t>Kaivosrinteentie 1 H 62</t>
  </si>
  <si>
    <t>Kaivoksela Vantaa</t>
  </si>
  <si>
    <t>3146</t>
  </si>
  <si>
    <t>Forsia Housing LKV</t>
  </si>
  <si>
    <t>Kaivoksela</t>
  </si>
  <si>
    <t>80512774</t>
  </si>
  <si>
    <t>https://d3ls91xgksobn.cloudfront.net/400x300/etuovimedia/images/property/import/407/2609407/0e76b9541118d347871c0e0e51d244c4/5797b60ae36244262b0cdae7ca56c48e/ORIGINAL.jpeg</t>
  </si>
  <si>
    <t>https://d3ls91xgksobn.cloudfront.net/1200x900/etuovimedia/images/property/import/407/2609407/0e76b9541118d347871c0e0e51d244c4/5797b60ae36244262b0cdae7ca56c48e/ORIGINAL.jpeg</t>
  </si>
  <si>
    <t>2609407</t>
  </si>
  <si>
    <t>https://www.etuovi.com/kohde/80512774</t>
  </si>
  <si>
    <t>2026-06-10T14:03:27.396Z</t>
  </si>
  <si>
    <t>Apartment (Kerrostalo) — 2h + k — 55 m² — Kaivoksela Vantaa</t>
  </si>
  <si>
    <t>Jalostusasemankatu 1 A 07 Rauhalinna Kaarina</t>
  </si>
  <si>
    <t>Jalostusasemankatu 1 A 07</t>
  </si>
  <si>
    <t>Rauhalinna Kaarina</t>
  </si>
  <si>
    <t>2489</t>
  </si>
  <si>
    <t>Avain Asunnot Tampere | Avain Asumisoikeus Oy</t>
  </si>
  <si>
    <t>Rauhalinna</t>
  </si>
  <si>
    <t>u66477</t>
  </si>
  <si>
    <t>https://d3ls91xgksobn.cloudfront.net/400x300/etuovimedia/images/property/import/339/1734339/0e76b9541118d347871c0e0e51d244c4/88adda42bc9efff2b63140649e43454d/ORIGINAL.jpeg</t>
  </si>
  <si>
    <t>https://d3ls91xgksobn.cloudfront.net/1200x900/etuovimedia/images/property/import/339/1734339/0e76b9541118d347871c0e0e51d244c4/88adda42bc9efff2b63140649e43454d/ORIGINAL.jpeg</t>
  </si>
  <si>
    <t>1734339</t>
  </si>
  <si>
    <t>https://www.etuovi.com/kohde/u66477</t>
  </si>
  <si>
    <t>28 811,23 €</t>
  </si>
  <si>
    <t>2023-01-17</t>
  </si>
  <si>
    <t>2026-06-10T14:03:27.478Z</t>
  </si>
  <si>
    <t>Apartment (Kerrostalo) — 2H + KT — 46 m² — Rauhalinna Kaarina</t>
  </si>
  <si>
    <t>Jalostusasemankatu 1 A 12 Rauhalinna Kaarina</t>
  </si>
  <si>
    <t>Jalostusasemankatu 1 A 12</t>
  </si>
  <si>
    <t>ep2876</t>
  </si>
  <si>
    <t>https://d3ls91xgksobn.cloudfront.net/400x300/etuovimedia/images/property/import/911/2507911/0e76b9541118d347871c0e0e51d244c4/83d016282bddc562c3455a49a4dc7446/ORIGINAL.jpeg</t>
  </si>
  <si>
    <t>https://d3ls91xgksobn.cloudfront.net/1200x900/etuovimedia/images/property/import/911/2507911/0e76b9541118d347871c0e0e51d244c4/83d016282bddc562c3455a49a4dc7446/ORIGINAL.jpeg</t>
  </si>
  <si>
    <t>2507911</t>
  </si>
  <si>
    <t>https://www.etuovi.com/kohde/ep2876</t>
  </si>
  <si>
    <t>30 716,59 €</t>
  </si>
  <si>
    <t>2026-03-17</t>
  </si>
  <si>
    <t>2H + KT + S</t>
  </si>
  <si>
    <t>2026-06-10T14:03:27.520Z</t>
  </si>
  <si>
    <t>Apartment (Kerrostalo) — 2H + KT + S — 48 m² — Rauhalinna Kaarina</t>
  </si>
  <si>
    <t>Ahvenkoskentie 15 Ahvenkoski Loviisa</t>
  </si>
  <si>
    <t>Ahvenkoskentie 15</t>
  </si>
  <si>
    <t>Ahvenkoski Loviisa</t>
  </si>
  <si>
    <t>215</t>
  </si>
  <si>
    <t>Aktia Kiinteistönvälitys Oy, Loviisa, Aktia Fastighetsförmedling Ab, Lovisa</t>
  </si>
  <si>
    <t>Ahvenkoski</t>
  </si>
  <si>
    <t>21556033</t>
  </si>
  <si>
    <t>https://d3ls91xgksobn.cloudfront.net/400x300/etuovimedia/images/property/import/406/2609406/0e76b9541118d347871c0e0e51d244c4/457639f0183e2dc91228b1bffae69529/ORIGINAL.jpeg</t>
  </si>
  <si>
    <t>https://d3ls91xgksobn.cloudfront.net/1200x900/etuovimedia/images/property/import/406/2609406/0e76b9541118d347871c0e0e51d244c4/457639f0183e2dc91228b1bffae69529/ORIGINAL.jpeg</t>
  </si>
  <si>
    <t>2609406</t>
  </si>
  <si>
    <t>https://www.etuovi.com/kohde/21556033</t>
  </si>
  <si>
    <t>2026-06-10T14:03:27.575Z</t>
  </si>
  <si>
    <t>Detached House (Omakotitalo) — 4h + k + s — 110 m² — Ahvenkoski Loviisa</t>
  </si>
  <si>
    <t>Karinpolku 11 C 13, 14, 15 Haukipudas Oulu</t>
  </si>
  <si>
    <t>Karinpolku 11 C 13, 14, 15</t>
  </si>
  <si>
    <t>69248825</t>
  </si>
  <si>
    <t>https://d3ls91xgksobn.cloudfront.net/400x300/etuovimedia/images/property/import/404/2609404/0e76b9541118d347871c0e0e51d244c4/274feae75182d56a94a49ea4f29de13e/ORIGINAL.jpeg</t>
  </si>
  <si>
    <t>https://d3ls91xgksobn.cloudfront.net/1200x900/etuovimedia/images/property/import/404/2609404/0e76b9541118d347871c0e0e51d244c4/274feae75182d56a94a49ea4f29de13e/ORIGINAL.jpeg</t>
  </si>
  <si>
    <t>2609404</t>
  </si>
  <si>
    <t>https://www.etuovi.com/kohde/69248825</t>
  </si>
  <si>
    <t>4h, k, vh, kph, s, wc, khh, terassi, var, ak</t>
  </si>
  <si>
    <t>2026-06-10T14:03:27.595Z</t>
  </si>
  <si>
    <t>SEPARATE_HOUSE — 4h, k, vh, kph, s, wc, khh, terassi, var, ak — 89 m² — Haukipudas Oulu</t>
  </si>
  <si>
    <t>Pirttikatu 4 B Tarhamäki Jyväskylä</t>
  </si>
  <si>
    <t>Pirttikatu 4 B</t>
  </si>
  <si>
    <t>Tarhamäki Jyväskylä</t>
  </si>
  <si>
    <t>Netta Janhonen</t>
  </si>
  <si>
    <t>Tarhamäki</t>
  </si>
  <si>
    <t>80444499</t>
  </si>
  <si>
    <t>https://d3ls91xgksobn.cloudfront.net/400x300/etuovimedia/images/property/import/873/2343873/0e76b9541118d347871c0e0e51d244c4/135080744ad809e74ee2307fc110b2b3/ORIGINAL.jpeg</t>
  </si>
  <si>
    <t>https://d3ls91xgksobn.cloudfront.net/1200x900/etuovimedia/images/property/import/873/2343873/0e76b9541118d347871c0e0e51d244c4/135080744ad809e74ee2307fc110b2b3/ORIGINAL.jpeg</t>
  </si>
  <si>
    <t>https://d3ls91xgksobn.cloudfront.net/1200x900/etuovimedia/images/property/import/873/2343873/0e76b9541118d347871c0e0e51d244c4/38c37f77f0e752e627994689aef37c03/ORIGINAL.jpeg</t>
  </si>
  <si>
    <t>2343873</t>
  </si>
  <si>
    <t>https://www.etuovi.com/kohde/80444499</t>
  </si>
  <si>
    <t>2025-09-30</t>
  </si>
  <si>
    <t>3h, k, khh, kph, s, wc, lasitettu terassi, ulkoporeamme</t>
  </si>
  <si>
    <t>2026-06-10T14:03:27.651Z</t>
  </si>
  <si>
    <t>Semi-detached (Paritalo) — 3h, k, khh, kph, s, wc, lasitettu terassi, ulkoporeamme — 100.5 m² — Tarhamäki Jyväskylä</t>
  </si>
  <si>
    <t>Viholankatu 8 B 23 Vihola Nokia</t>
  </si>
  <si>
    <t>Viholankatu 8 B 23</t>
  </si>
  <si>
    <t>Vihola Nokia</t>
  </si>
  <si>
    <t>2613</t>
  </si>
  <si>
    <t>Asuntopehtoori Oy LKV, Tampere</t>
  </si>
  <si>
    <t>https://www.asuntopehtoori.fi/</t>
  </si>
  <si>
    <t>Vihola</t>
  </si>
  <si>
    <t>21774067</t>
  </si>
  <si>
    <t>https://d3ls91xgksobn.cloudfront.net/400x300/etuovimedia/images/property/import/400/2609400/0e76b9541118d347871c0e0e51d244c4/b0f5543aa0b0cf973947b20d1863dcff/ORIGINAL.jpeg</t>
  </si>
  <si>
    <t>https://d3ls91xgksobn.cloudfront.net/1200x900/etuovimedia/images/property/import/400/2609400/0e76b9541118d347871c0e0e51d244c4/b0f5543aa0b0cf973947b20d1863dcff/ORIGINAL.jpeg</t>
  </si>
  <si>
    <t>2609400</t>
  </si>
  <si>
    <t>https://www.etuovi.com/kohde/21774067</t>
  </si>
  <si>
    <t>191 000 €</t>
  </si>
  <si>
    <t>3h + k + s + wc + las.parveke</t>
  </si>
  <si>
    <t>2026-06-10T14:03:27.662Z</t>
  </si>
  <si>
    <t>Apartment (Kerrostalo) — 3h + k + s + wc + las.parveke — 72.5 m² — Vihola Nokia</t>
  </si>
  <si>
    <t>Arjanpellontie 14 Koria Kouvola</t>
  </si>
  <si>
    <t>Arjanpellontie 14</t>
  </si>
  <si>
    <t>Koria Kouvola</t>
  </si>
  <si>
    <t>3331</t>
  </si>
  <si>
    <t>Kiinteistömaailma Kouvola | SamKoti Oy</t>
  </si>
  <si>
    <t>Koria</t>
  </si>
  <si>
    <t>68032319</t>
  </si>
  <si>
    <t>https://d3ls91xgksobn.cloudfront.net/400x300/etuovimedia/images/property/import/399/2609399/0e76b9541118d347871c0e0e51d244c4/808f78d8c6735d4442f8d131aee05027/ORIGINAL.jpeg</t>
  </si>
  <si>
    <t>https://d3ls91xgksobn.cloudfront.net/1200x900/etuovimedia/images/property/import/399/2609399/0e76b9541118d347871c0e0e51d244c4/808f78d8c6735d4442f8d131aee05027/ORIGINAL.jpeg</t>
  </si>
  <si>
    <t>2609399</t>
  </si>
  <si>
    <t>https://www.etuovi.com/kohde/68032319</t>
  </si>
  <si>
    <t>5h, k, khh, kph, s, 2wc, autotalli, varasto</t>
  </si>
  <si>
    <t>2026-06-10T14:03:27.674Z</t>
  </si>
  <si>
    <t>Detached House (Omakotitalo) — 5h, k, khh, kph, s, 2wc, autotalli, varasto — 135 m² — Koria Kouvola</t>
  </si>
  <si>
    <t>Santojantie 107 Laakspohja Lohja</t>
  </si>
  <si>
    <t>Santojantie 107</t>
  </si>
  <si>
    <t>Laakspohja Lohja</t>
  </si>
  <si>
    <t>377</t>
  </si>
  <si>
    <t>Kiinteistöjen Myyntikeskus Harry Pihlström LKV [A]</t>
  </si>
  <si>
    <t>https://pihlstromlkv.fi/</t>
  </si>
  <si>
    <t>1958</t>
  </si>
  <si>
    <t>Laakspohja</t>
  </si>
  <si>
    <t>20971475</t>
  </si>
  <si>
    <t>https://d3ls91xgksobn.cloudfront.net/400x300/etuovimedia/images/property/import/398/2609398/0e76b9541118d347871c0e0e51d244c4/77268c8025b6145b350efed1bd6d5ef7/ORIGINAL.jpeg</t>
  </si>
  <si>
    <t>https://d3ls91xgksobn.cloudfront.net/1200x900/etuovimedia/images/property/import/398/2609398/0e76b9541118d347871c0e0e51d244c4/77268c8025b6145b350efed1bd6d5ef7/ORIGINAL.jpeg</t>
  </si>
  <si>
    <t>2609398</t>
  </si>
  <si>
    <t>https://www.etuovi.com/kohde/20971475</t>
  </si>
  <si>
    <t>3mh + oh + k + rt + khh + uima-allas + kph + s + autotalli sekä kellaritilaa yms.</t>
  </si>
  <si>
    <t>2026-06-10T14:03:27.777Z</t>
  </si>
  <si>
    <t>Detached House (Omakotitalo) — 3mh + oh + k + rt + khh + uima-allas + kph + s + autotalli sekä kellaritilaa yms. — 209 m² — Laakspohja Lohja</t>
  </si>
  <si>
    <t>Helteentie 10 E Heissa Mäntsälä</t>
  </si>
  <si>
    <t>Helteentie 10 E</t>
  </si>
  <si>
    <t>Heissa Mäntsälä</t>
  </si>
  <si>
    <t>4481</t>
  </si>
  <si>
    <t>OP Koti Uusimaa Oy LKV, Mäntsälä</t>
  </si>
  <si>
    <t>Heissa</t>
  </si>
  <si>
    <t>595016</t>
  </si>
  <si>
    <t>https://d3ls91xgksobn.cloudfront.net/400x300/etuovimedia/images/property/import/686/2080686/0e76b9541118d347871c0e0e51d244c4/4d9aff32858f502d5fdcaaefd76571fb/ORIGINAL.jpeg</t>
  </si>
  <si>
    <t>https://d3ls91xgksobn.cloudfront.net/1200x900/etuovimedia/images/property/import/686/2080686/0e76b9541118d347871c0e0e51d244c4/4d9aff32858f502d5fdcaaefd76571fb/ORIGINAL.jpeg</t>
  </si>
  <si>
    <t>https://d3ls91xgksobn.cloudfront.net/1200x900/etuovimedia/images/property/import/686/2080686/0e76b9541118d347871c0e0e51d244c4/5d535476c089bd58ef306aae814b028b/ORIGINAL.jpeg</t>
  </si>
  <si>
    <t>2080686</t>
  </si>
  <si>
    <t>https://www.etuovi.com/kohde/595016</t>
  </si>
  <si>
    <t>2025-04-17</t>
  </si>
  <si>
    <t>3 h + k + s</t>
  </si>
  <si>
    <t>2026-06-10T14:03:27.851Z</t>
  </si>
  <si>
    <t>Row House (Rivitalo) — 3 h + k + s — 68 m² — Heissa Mäntsälä</t>
  </si>
  <si>
    <t>Huttulantie 4 B 21 Keskusta Joutsa</t>
  </si>
  <si>
    <t>Huttulantie 4 B 21</t>
  </si>
  <si>
    <t>fs4689</t>
  </si>
  <si>
    <t>https://d3ls91xgksobn.cloudfront.net/400x300/etuovimedia/images/property/import/380/2609380/0e76b9541118d347871c0e0e51d244c4/1332be3b3711ed3f07671c70ac82eb26/ORIGINAL.jpeg</t>
  </si>
  <si>
    <t>https://d3ls91xgksobn.cloudfront.net/1200x900/etuovimedia/images/property/import/380/2609380/0e76b9541118d347871c0e0e51d244c4/1332be3b3711ed3f07671c70ac82eb26/ORIGINAL.jpeg</t>
  </si>
  <si>
    <t>2609380</t>
  </si>
  <si>
    <t>https://www.etuovi.com/kohde/fs4689</t>
  </si>
  <si>
    <t>16 500 €</t>
  </si>
  <si>
    <t>2h + keittiö</t>
  </si>
  <si>
    <t>2026-06-10T14:03:27.887Z</t>
  </si>
  <si>
    <t>Apartment (Kerrostalo) — 2h + keittiö — 58 m² — Keskusta Joutsa</t>
  </si>
  <si>
    <t>Ruotsinsalmenkatu 8 A Pansio Turku</t>
  </si>
  <si>
    <t>Ruotsinsalmenkatu 8 A</t>
  </si>
  <si>
    <t>Pansio Turku</t>
  </si>
  <si>
    <t>952</t>
  </si>
  <si>
    <t>Huoneistomarkkinat Oy LKV</t>
  </si>
  <si>
    <t>https://www.huoneistomarkkinat.com/</t>
  </si>
  <si>
    <t>Arto Koski</t>
  </si>
  <si>
    <t>Pansio</t>
  </si>
  <si>
    <t>80513829</t>
  </si>
  <si>
    <t>https://d3ls91xgksobn.cloudfront.net/400x300/etuovimedia/images/property/import/379/2609379/0e76b9541118d347871c0e0e51d244c4/6042ba4a1e91e620189397c5532cd29e/ORIGINAL.jpeg</t>
  </si>
  <si>
    <t>https://d3ls91xgksobn.cloudfront.net/1200x900/etuovimedia/images/property/import/379/2609379/0e76b9541118d347871c0e0e51d244c4/6042ba4a1e91e620189397c5532cd29e/ORIGINAL.jpeg</t>
  </si>
  <si>
    <t>https://d3ls91xgksobn.cloudfront.net/1200x900/etuovimedia/images/property/import/379/2609379/0e76b9541118d347871c0e0e51d244c4/e4a62452f8cce80e59e8893159c342dd/ORIGINAL.jpeg</t>
  </si>
  <si>
    <t>2609379</t>
  </si>
  <si>
    <t>https://www.etuovi.com/kohde/80513829</t>
  </si>
  <si>
    <t>2-3 h x 6</t>
  </si>
  <si>
    <t>2026-06-10T14:03:27.931Z</t>
  </si>
  <si>
    <t>Apartment (Kerrostalo) — 2-3 h x 6 — 348 m² — Pansio Turku</t>
  </si>
  <si>
    <t>Tulliportinkatu 27 A Keskusta Kuopio</t>
  </si>
  <si>
    <t>Tulliportinkatu 27 A</t>
  </si>
  <si>
    <t>80508196</t>
  </si>
  <si>
    <t>https://d3ls91xgksobn.cloudfront.net/400x300/etuovimedia/images/property/import/378/2609378/0e76b9541118d347871c0e0e51d244c4/024172fcdcef9d817fcf4717b403473b/ORIGINAL.jpeg</t>
  </si>
  <si>
    <t>https://d3ls91xgksobn.cloudfront.net/1200x900/etuovimedia/images/property/import/378/2609378/0e76b9541118d347871c0e0e51d244c4/024172fcdcef9d817fcf4717b403473b/ORIGINAL.jpeg</t>
  </si>
  <si>
    <t>2609378</t>
  </si>
  <si>
    <t>https://www.etuovi.com/kohde/80508196</t>
  </si>
  <si>
    <t>247 000 €</t>
  </si>
  <si>
    <t>2026-06-10T14:03:27.965Z</t>
  </si>
  <si>
    <t>Apartment (Kerrostalo) — 2h + kt + s — 53 m² — Keskusta Kuopio</t>
  </si>
  <si>
    <t>Hyhkynkatu 8 A Hyhky Tampere</t>
  </si>
  <si>
    <t>Hyhkynkatu 8 A</t>
  </si>
  <si>
    <t>Hyhky Tampere</t>
  </si>
  <si>
    <t>Hyhky</t>
  </si>
  <si>
    <t>80506594</t>
  </si>
  <si>
    <t>https://d3ls91xgksobn.cloudfront.net/400x300/etuovimedia/images/property/import/377/2609377/0e76b9541118d347871c0e0e51d244c4/b3eee32fb91a949d304dc9d586aeb91c/ORIGINAL.jpeg</t>
  </si>
  <si>
    <t>https://d3ls91xgksobn.cloudfront.net/1200x900/etuovimedia/images/property/import/377/2609377/0e76b9541118d347871c0e0e51d244c4/b3eee32fb91a949d304dc9d586aeb91c/ORIGINAL.jpeg</t>
  </si>
  <si>
    <t>https://d3ls91xgksobn.cloudfront.net/1200x900/etuovimedia/images/property/import/377/2609377/0e76b9541118d347871c0e0e51d244c4/04ff8261a74bf63d545132ecd32e2f32/ORIGINAL.jpeg</t>
  </si>
  <si>
    <t>https://d3ls91xgksobn.cloudfront.net/1200x900/etuovimedia/images/property/import/377/2609377/0e76b9541118d347871c0e0e51d244c4/703030d9ea85bfb0c093868ff3eb7cfe/ORIGINAL.jpeg</t>
  </si>
  <si>
    <t>2609377</t>
  </si>
  <si>
    <t>https://www.etuovi.com/kohde/80506594</t>
  </si>
  <si>
    <t>168 000 €</t>
  </si>
  <si>
    <t>2026-06-10T14:03:28.020Z</t>
  </si>
  <si>
    <t>Balcony Access Block (Luhtitalo) — 2h + kk + s — 50.5 m² — Hyhky Tampere</t>
  </si>
  <si>
    <t>Hiekkaranta 5 AS Pitkäjärvi Mikkeli</t>
  </si>
  <si>
    <t>Hiekkaranta 5 AS</t>
  </si>
  <si>
    <t>Pitkäjärvi Mikkeli</t>
  </si>
  <si>
    <t>1847</t>
  </si>
  <si>
    <t>Sp-Koti | Etelä-Savon Huoneistomarkkinat Oy</t>
  </si>
  <si>
    <t>Esa Pietiläinen</t>
  </si>
  <si>
    <t>1997</t>
  </si>
  <si>
    <t>Pitkäjärvi</t>
  </si>
  <si>
    <t>80513909</t>
  </si>
  <si>
    <t>https://d3ls91xgksobn.cloudfront.net/400x300/etuovimedia/images/property/import/376/2609376/0e76b9541118d347871c0e0e51d244c4/dc6540f464133529260ab19219d646da/ORIGINAL.jpeg</t>
  </si>
  <si>
    <t>https://d3ls91xgksobn.cloudfront.net/1200x900/etuovimedia/images/property/import/376/2609376/0e76b9541118d347871c0e0e51d244c4/dc6540f464133529260ab19219d646da/ORIGINAL.jpeg</t>
  </si>
  <si>
    <t>https://d3ls91xgksobn.cloudfront.net/1200x900/etuovimedia/images/property/import/376/2609376/0e76b9541118d347871c0e0e51d244c4/646195d6ccf1ece17b86754f83e04c57/ORIGINAL.jpeg</t>
  </si>
  <si>
    <t>https://d3ls91xgksobn.cloudfront.net/1200x900/etuovimedia/images/property/import/376/2609376/0e76b9541118d347871c0e0e51d244c4/e5b95d3092f92897986055008373bac1/ORIGINAL.jpeg</t>
  </si>
  <si>
    <t>2609376</t>
  </si>
  <si>
    <t>https://www.etuovi.com/kohde/80513909</t>
  </si>
  <si>
    <t>2026-06-10T14:03:28.059Z</t>
  </si>
  <si>
    <t>Row House (Rivitalo) — 2h + k + s — 61.5 m² — Pitkäjärvi Mikkeli</t>
  </si>
  <si>
    <t>Kivikkokatu 3 Mustalampi Imatra</t>
  </si>
  <si>
    <t>Kivikkokatu 3</t>
  </si>
  <si>
    <t>Mustalampi Imatra</t>
  </si>
  <si>
    <t>Mustalampi</t>
  </si>
  <si>
    <t>80507781</t>
  </si>
  <si>
    <t>https://d3ls91xgksobn.cloudfront.net/400x300/etuovimedia/images/property/import/375/2609375/0e76b9541118d347871c0e0e51d244c4/5cc486b8c7bcd8e8d61c4bff23e5a05e/ORIGINAL.jpeg</t>
  </si>
  <si>
    <t>https://d3ls91xgksobn.cloudfront.net/1200x900/etuovimedia/images/property/import/375/2609375/0e76b9541118d347871c0e0e51d244c4/5cc486b8c7bcd8e8d61c4bff23e5a05e/ORIGINAL.jpeg</t>
  </si>
  <si>
    <t>2609375</t>
  </si>
  <si>
    <t>https://www.etuovi.com/kohde/80507781</t>
  </si>
  <si>
    <t>38 000 €</t>
  </si>
  <si>
    <t>3h + k + ruokailutila + pihasauna</t>
  </si>
  <si>
    <t>2026-06-10T14:03:28.094Z</t>
  </si>
  <si>
    <t>Detached House (Omakotitalo) — 3h + k + ruokailutila + pihasauna — 85 m² — Mustalampi Imatra</t>
  </si>
  <si>
    <t>2026-06-10T14:03:36.809Z</t>
  </si>
  <si>
    <t>Vanttitie 12 Letonranta Oulu</t>
  </si>
  <si>
    <t>Vanttitie 12</t>
  </si>
  <si>
    <t>Letonranta Oulu</t>
  </si>
  <si>
    <t>3023</t>
  </si>
  <si>
    <t>Sari Pirilä LKV Oy</t>
  </si>
  <si>
    <t>Letonranta</t>
  </si>
  <si>
    <t>80515011</t>
  </si>
  <si>
    <t>https://d3ls91xgksobn.cloudfront.net/400x300/etuovimedia/images/property/import/374/2609374/0e76b9541118d347871c0e0e51d244c4/a76330ce52b422afb812e2e6ce76b703/ORIGINAL.jpeg</t>
  </si>
  <si>
    <t>https://d3ls91xgksobn.cloudfront.net/1200x900/etuovimedia/images/property/import/374/2609374/0e76b9541118d347871c0e0e51d244c4/a76330ce52b422afb812e2e6ce76b703/ORIGINAL.jpeg</t>
  </si>
  <si>
    <t>2609374</t>
  </si>
  <si>
    <t>https://www.etuovi.com/kohde/80515011</t>
  </si>
  <si>
    <t>320 000 €</t>
  </si>
  <si>
    <t>5 h + k + khh + s + AT + AK</t>
  </si>
  <si>
    <t>2026-06-10T14:03:36.868Z</t>
  </si>
  <si>
    <t>Detached House (Omakotitalo) — 5 h + k + khh + s + AT + AK — 144.5 m² — Letonranta Oulu</t>
  </si>
  <si>
    <t>Topaasikuja 10 A215 Kivistö Vantaa</t>
  </si>
  <si>
    <t>Topaasikuja 10 A215</t>
  </si>
  <si>
    <t>2656</t>
  </si>
  <si>
    <t>SSA Asuntomyynti | SSA Rakennus Oy</t>
  </si>
  <si>
    <t>https://ssa.fi/</t>
  </si>
  <si>
    <t>70084144</t>
  </si>
  <si>
    <t>https://d3ls91xgksobn.cloudfront.net/400x300/etuovimedia/images/property/import/632/2055632/0e76b9541118d347871c0e0e51d244c4/298fd93c364e4c986e87adfe6b393acb/ORIGINAL.jpeg</t>
  </si>
  <si>
    <t>https://d3ls91xgksobn.cloudfront.net/1200x900/etuovimedia/images/property/import/632/2055632/0e76b9541118d347871c0e0e51d244c4/298fd93c364e4c986e87adfe6b393acb/ORIGINAL.jpeg</t>
  </si>
  <si>
    <t>2055632</t>
  </si>
  <si>
    <t>https://www.etuovi.com/kohde/70084144</t>
  </si>
  <si>
    <t>203 000 €</t>
  </si>
  <si>
    <t>2025-02-28</t>
  </si>
  <si>
    <t>1H + KT</t>
  </si>
  <si>
    <t>2026-06-10T14:03:36.891Z</t>
  </si>
  <si>
    <t>Apartment (Kerrostalo) — 1H + KT — 33 m² — Kivistö Vantaa</t>
  </si>
  <si>
    <t>Kytösuontie 8 A Juornatjoki Heinola</t>
  </si>
  <si>
    <t>Kytösuontie 8 A</t>
  </si>
  <si>
    <t>Juornatjoki Heinola</t>
  </si>
  <si>
    <t>1772</t>
  </si>
  <si>
    <t>Heinolan Kodit LKV Oy</t>
  </si>
  <si>
    <t>http://www.heinolankodit.fi/</t>
  </si>
  <si>
    <t>Juornatjoki</t>
  </si>
  <si>
    <t>21798063</t>
  </si>
  <si>
    <t>https://d3ls91xgksobn.cloudfront.net/400x300/etuovimedia/images/property/import/114/2552114/0e76b9541118d347871c0e0e51d244c4/9e99e04a9f0df1a1ed1735fea6a55214/ORIGINAL.jpeg</t>
  </si>
  <si>
    <t>https://d3ls91xgksobn.cloudfront.net/1200x900/etuovimedia/images/property/import/114/2552114/0e76b9541118d347871c0e0e51d244c4/9e99e04a9f0df1a1ed1735fea6a55214/ORIGINAL.jpeg</t>
  </si>
  <si>
    <t>2552114</t>
  </si>
  <si>
    <t>https://www.etuovi.com/kohde/21798063</t>
  </si>
  <si>
    <t>2026-04-24</t>
  </si>
  <si>
    <t>Oh, k, rt, 3mh, kph / wc, s, wc, apuk, vh</t>
  </si>
  <si>
    <t>2026-06-10T14:03:36.921Z</t>
  </si>
  <si>
    <t>Detached House (Omakotitalo) — Oh, k, rt, 3mh, kph / wc, s, wc, apuk, vh — 111 m² — Juornatjoki Heinola</t>
  </si>
  <si>
    <t>Koivutie 10 Ulvajanniemi Valkeakoski</t>
  </si>
  <si>
    <t>Koivutie 10</t>
  </si>
  <si>
    <t>Ulvajanniemi Valkeakoski</t>
  </si>
  <si>
    <t>1946</t>
  </si>
  <si>
    <t>Ulvajanniemi</t>
  </si>
  <si>
    <t>35853867</t>
  </si>
  <si>
    <t>https://d3ls91xgksobn.cloudfront.net/400x300/etuovimedia/images/property/import/368/2609368/0e76b9541118d347871c0e0e51d244c4/9bd36ee078c9bf1f5baa77d646bfa011/ORIGINAL.jpeg</t>
  </si>
  <si>
    <t>https://d3ls91xgksobn.cloudfront.net/1200x900/etuovimedia/images/property/import/368/2609368/0e76b9541118d347871c0e0e51d244c4/9bd36ee078c9bf1f5baa77d646bfa011/ORIGINAL.jpeg</t>
  </si>
  <si>
    <t>2609368</t>
  </si>
  <si>
    <t>https://www.etuovi.com/kohde/35853867</t>
  </si>
  <si>
    <t>2026-06-10T14:03:37.073Z</t>
  </si>
  <si>
    <t>Detached House (Omakotitalo) — 4h, k, s — 130 m² — Ulvajanniemi Valkeakoski</t>
  </si>
  <si>
    <t>Kylätie 3c as 3 Haaga Helsinki</t>
  </si>
  <si>
    <t>Kylätie 3c as 3</t>
  </si>
  <si>
    <t>Haaga Helsinki</t>
  </si>
  <si>
    <t>Haaga</t>
  </si>
  <si>
    <t>70084112</t>
  </si>
  <si>
    <t>https://d3ls91xgksobn.cloudfront.net/400x300/etuovimedia/images/property/import/663/2055663/0e76b9541118d347871c0e0e51d244c4/557d23bfa9009336634f60149be1426e/ORIGINAL.jpeg</t>
  </si>
  <si>
    <t>https://d3ls91xgksobn.cloudfront.net/1200x900/etuovimedia/images/property/import/663/2055663/0e76b9541118d347871c0e0e51d244c4/557d23bfa9009336634f60149be1426e/ORIGINAL.jpeg</t>
  </si>
  <si>
    <t>2055663</t>
  </si>
  <si>
    <t>https://www.etuovi.com/kohde/70084112</t>
  </si>
  <si>
    <t>2026-06-10T14:03:37.200Z</t>
  </si>
  <si>
    <t>Apartment (Kerrostalo) — 2H + KT — 68 m² — Haaga Helsinki</t>
  </si>
  <si>
    <t>Graniittikaari 5 A 1 Kuningattarenvuori Hanko</t>
  </si>
  <si>
    <t>Graniittikaari 5 A 1</t>
  </si>
  <si>
    <t>Kuningattarenvuori Hanko</t>
  </si>
  <si>
    <t>3706</t>
  </si>
  <si>
    <t>Strand Properties Oy, Helsinki</t>
  </si>
  <si>
    <t>Kuningattarenvuori</t>
  </si>
  <si>
    <t>20415973</t>
  </si>
  <si>
    <t>https://d3ls91xgksobn.cloudfront.net/400x300/etuovimedia/images/property/import/343/2609343/0e76b9541118d347871c0e0e51d244c4/62df9417729a588859a38166ca345fd9/ORIGINAL.jpeg</t>
  </si>
  <si>
    <t>https://d3ls91xgksobn.cloudfront.net/1200x900/etuovimedia/images/property/import/343/2609343/0e76b9541118d347871c0e0e51d244c4/62df9417729a588859a38166ca345fd9/ORIGINAL.jpeg</t>
  </si>
  <si>
    <t>https://d3ls91xgksobn.cloudfront.net/1200x900/etuovimedia/images/property/import/343/2609343/0e76b9541118d347871c0e0e51d244c4/c60bb8085898ce1a24d326b20dbacdae/ORIGINAL.jpeg</t>
  </si>
  <si>
    <t>2609343</t>
  </si>
  <si>
    <t>https://www.etuovi.com/kohde/20415973</t>
  </si>
  <si>
    <t>180 000 €</t>
  </si>
  <si>
    <t>1h, avok, kph, p</t>
  </si>
  <si>
    <t>2026-06-10T14:03:37.213Z</t>
  </si>
  <si>
    <t>Apartment (Kerrostalo) — 1h, avok, kph, p — 24 m² — Kuningattarenvuori Hanko</t>
  </si>
  <si>
    <t>Valtakatu 20 Tehdas Hyvinkää</t>
  </si>
  <si>
    <t>Valtakatu 20</t>
  </si>
  <si>
    <t>Tehdas Hyvinkää</t>
  </si>
  <si>
    <t>Jani Kesälä</t>
  </si>
  <si>
    <t>Tehdas</t>
  </si>
  <si>
    <t>46297253</t>
  </si>
  <si>
    <t>https://d3ls91xgksobn.cloudfront.net/400x300/etuovimedia/images/property/import/642/2543642/0e76b9541118d347871c0e0e51d244c4/ed9f4d267b499fc82cffabd41a0d2c08/ORIGINAL.jpeg</t>
  </si>
  <si>
    <t>https://d3ls91xgksobn.cloudfront.net/1200x900/etuovimedia/images/property/import/642/2543642/0e76b9541118d347871c0e0e51d244c4/ed9f4d267b499fc82cffabd41a0d2c08/ORIGINAL.jpeg</t>
  </si>
  <si>
    <t>https://d3ls91xgksobn.cloudfront.net/1200x900/etuovimedia/images/property/import/642/2543642/0e76b9541118d347871c0e0e51d244c4/c66d05ce1b1ce4c45c0c38b1ff9aa919/ORIGINAL.jpeg</t>
  </si>
  <si>
    <t>https://d3ls91xgksobn.cloudfront.net/1200x900/etuovimedia/images/property/import/642/2543642/0e76b9541118d347871c0e0e51d244c4/01ebb606c0774957f4a487100f560fda/ORIGINAL.jpeg</t>
  </si>
  <si>
    <t>2543642</t>
  </si>
  <si>
    <t>https://www.etuovi.com/kohde/46297253</t>
  </si>
  <si>
    <t>3h, k, th, s, 2 x wc / kph, vh</t>
  </si>
  <si>
    <t>2026-06-10T14:03:37.228Z</t>
  </si>
  <si>
    <t>Row House (Rivitalo) — 3h, k, th, s, 2 x wc / kph, vh — 90 m² — Tehdas Hyvinkää</t>
  </si>
  <si>
    <t>Lammentie 1 Uusikartano Pöytyä</t>
  </si>
  <si>
    <t>Lammentie 1</t>
  </si>
  <si>
    <t>Uusikartano Pöytyä</t>
  </si>
  <si>
    <t>Kaleva Vähä-Parta</t>
  </si>
  <si>
    <t>Uusikartano</t>
  </si>
  <si>
    <t>80509170</t>
  </si>
  <si>
    <t>https://d3ls91xgksobn.cloudfront.net/400x300/etuovimedia/images/property/import/318/2609318/0e76b9541118d347871c0e0e51d244c4/0c6bea56509b3c3b4ec057e4587df50c/ORIGINAL.jpeg</t>
  </si>
  <si>
    <t>https://d3ls91xgksobn.cloudfront.net/1200x900/etuovimedia/images/property/import/318/2609318/0e76b9541118d347871c0e0e51d244c4/0c6bea56509b3c3b4ec057e4587df50c/ORIGINAL.jpeg</t>
  </si>
  <si>
    <t>https://d3ls91xgksobn.cloudfront.net/1200x900/etuovimedia/images/property/import/318/2609318/0e76b9541118d347871c0e0e51d244c4/74ef4e299a91bb8f36693d6d87f5e51b/ORIGINAL.jpeg</t>
  </si>
  <si>
    <t>https://d3ls91xgksobn.cloudfront.net/1200x900/etuovimedia/images/property/import/318/2609318/0e76b9541118d347871c0e0e51d244c4/ced401d0b910220df70141bef7a6dd65/ORIGINAL.jpeg</t>
  </si>
  <si>
    <t>2609318</t>
  </si>
  <si>
    <t>https://www.etuovi.com/kohde/80509170</t>
  </si>
  <si>
    <t>oh + 3mh + k + 2wc + khh / wc + ph + s + tektila + harrastetila</t>
  </si>
  <si>
    <t>2026-06-10T14:03:37.239Z</t>
  </si>
  <si>
    <t>Detached House (Omakotitalo) — oh + 3mh + k + 2wc + khh / wc + ph + s + tektila + harrastetila — 112.6 m² — Uusikartano Pöytyä</t>
  </si>
  <si>
    <t>Laivalahdenkatu 6c Herttoniemi Helsinki</t>
  </si>
  <si>
    <t>Laivalahdenkatu 6c</t>
  </si>
  <si>
    <t>Herttoniemi Helsinki</t>
  </si>
  <si>
    <t>Herttoniemi</t>
  </si>
  <si>
    <t>ct4733</t>
  </si>
  <si>
    <t>https://d3ls91xgksobn.cloudfront.net/400x300/etuovimedia/images/property/import/564/2361564/0e76b9541118d347871c0e0e51d244c4/89ae8fa014df32a05f3428e778a41064/ORIGINAL.jpeg</t>
  </si>
  <si>
    <t>https://d3ls91xgksobn.cloudfront.net/1200x900/etuovimedia/images/property/import/564/2361564/0e76b9541118d347871c0e0e51d244c4/89ae8fa014df32a05f3428e778a41064/ORIGINAL.jpeg</t>
  </si>
  <si>
    <t>2361564</t>
  </si>
  <si>
    <t>https://www.etuovi.com/kohde/ct4733</t>
  </si>
  <si>
    <t>58 258,03 €</t>
  </si>
  <si>
    <t>2025-10-14</t>
  </si>
  <si>
    <t>3H + KT</t>
  </si>
  <si>
    <t>2026-06-10T14:03:37.320Z</t>
  </si>
  <si>
    <t>Apartment (Kerrostalo) — 3H + KT — 75.5 m² — Herttoniemi Helsinki</t>
  </si>
  <si>
    <t>Mikkelinkatu 1-3 A Siekkilä Mikkeli</t>
  </si>
  <si>
    <t>Mikkelinkatu 1-3 A</t>
  </si>
  <si>
    <t>Siekkilä Mikkeli</t>
  </si>
  <si>
    <t>1966</t>
  </si>
  <si>
    <t>Siekkilä</t>
  </si>
  <si>
    <t>80513530</t>
  </si>
  <si>
    <t>https://d3ls91xgksobn.cloudfront.net/400x300/etuovimedia/images/property/import/313/2609313/0e76b9541118d347871c0e0e51d244c4/c4de028d7265867f1d522e65a26e35ba/ORIGINAL.jpeg</t>
  </si>
  <si>
    <t>https://d3ls91xgksobn.cloudfront.net/1200x900/etuovimedia/images/property/import/313/2609313/0e76b9541118d347871c0e0e51d244c4/c4de028d7265867f1d522e65a26e35ba/ORIGINAL.jpeg</t>
  </si>
  <si>
    <t>https://d3ls91xgksobn.cloudfront.net/1200x900/etuovimedia/images/property/import/313/2609313/0e76b9541118d347871c0e0e51d244c4/d93b55e06c9725451c0e2a94da7e4360/ORIGINAL.jpeg</t>
  </si>
  <si>
    <t>https://d3ls91xgksobn.cloudfront.net/1200x900/etuovimedia/images/property/import/313/2609313/0e76b9541118d347871c0e0e51d244c4/cd3ca2b781ba6e2ff9dc616429ff0397/ORIGINAL.jpeg</t>
  </si>
  <si>
    <t>2609313</t>
  </si>
  <si>
    <t>https://www.etuovi.com/kohde/80513530</t>
  </si>
  <si>
    <t>1h + kk + ma</t>
  </si>
  <si>
    <t>2026-06-10T14:03:37.384Z</t>
  </si>
  <si>
    <t>Apartment (Kerrostalo) — 1h + kk + ma — 30.5 m² — Siekkilä Mikkeli</t>
  </si>
  <si>
    <t>Seilikaari 12 Mankkaa Espoo</t>
  </si>
  <si>
    <t>Seilikaari 12</t>
  </si>
  <si>
    <t>20610221</t>
  </si>
  <si>
    <t>https://d3ls91xgksobn.cloudfront.net/400x300/etuovimedia/images/property/import/310/2609310/0e76b9541118d347871c0e0e51d244c4/0d06bb44ea91e658256fea939cf900b9/ORIGINAL.jpeg</t>
  </si>
  <si>
    <t>https://d3ls91xgksobn.cloudfront.net/1200x900/etuovimedia/images/property/import/310/2609310/0e76b9541118d347871c0e0e51d244c4/0d06bb44ea91e658256fea939cf900b9/ORIGINAL.jpeg</t>
  </si>
  <si>
    <t>https://d3ls91xgksobn.cloudfront.net/1200x900/etuovimedia/images/property/import/310/2609310/0e76b9541118d347871c0e0e51d244c4/43e9e63510aeb6df8dc8869073c47e0d/ORIGINAL.jpeg</t>
  </si>
  <si>
    <t>2609310</t>
  </si>
  <si>
    <t>https://www.etuovi.com/kohde/20610221</t>
  </si>
  <si>
    <t>389 000 €</t>
  </si>
  <si>
    <t>4h, k, rt, kph, s, vh, var, terassi (yj 4h + k + s)</t>
  </si>
  <si>
    <t>2026-06-10T14:03:37.438Z</t>
  </si>
  <si>
    <t>Row House (Rivitalo) — 4h, k, rt, kph, s, vh, var, terassi (yj 4h + k + s) — 95 m² — Mankkaa Espoo</t>
  </si>
  <si>
    <t>Ensi parvi 3 Vuosaari Helsinki</t>
  </si>
  <si>
    <t>Ensi parvi 3</t>
  </si>
  <si>
    <t>Vuosaari Helsinki</t>
  </si>
  <si>
    <t>Vuosaari</t>
  </si>
  <si>
    <t>df2748</t>
  </si>
  <si>
    <t>https://d3ls91xgksobn.cloudfront.net/400x300/etuovimedia/images/property/import/68/2405068/0e76b9541118d347871c0e0e51d244c4/cb2cc7d1db3d6c0498f79272ef148fe7/ORIGINAL.jpeg</t>
  </si>
  <si>
    <t>https://d3ls91xgksobn.cloudfront.net/1200x900/etuovimedia/images/property/import/68/2405068/0e76b9541118d347871c0e0e51d244c4/cb2cc7d1db3d6c0498f79272ef148fe7/ORIGINAL.jpeg</t>
  </si>
  <si>
    <t>2405068</t>
  </si>
  <si>
    <t>https://www.etuovi.com/kohde/df2748</t>
  </si>
  <si>
    <t>52 243,83 €</t>
  </si>
  <si>
    <t>2025-11-26</t>
  </si>
  <si>
    <t>2026-06-10T14:03:37.459Z</t>
  </si>
  <si>
    <t>Apartment (Kerrostalo) — 4H + KT — 76 m² — Vuosaari Helsinki</t>
  </si>
  <si>
    <t>Sumeliuksentie 3 Viljakkala Ylöjärvi</t>
  </si>
  <si>
    <t>Sumeliuksentie 3</t>
  </si>
  <si>
    <t>Viljakkala Ylöjärvi</t>
  </si>
  <si>
    <t>786</t>
  </si>
  <si>
    <t>VILLA LKV</t>
  </si>
  <si>
    <t>https://www.villalkv.fi/</t>
  </si>
  <si>
    <t>Viljakkala</t>
  </si>
  <si>
    <t>21422583</t>
  </si>
  <si>
    <t>https://d3ls91xgksobn.cloudfront.net/400x300/etuovimedia/images/property/import/381/2384381/0e76b9541118d347871c0e0e51d244c4/127b116c3588fb2a1cc1c0abbfb6ef60/ORIGINAL.jpeg</t>
  </si>
  <si>
    <t>https://d3ls91xgksobn.cloudfront.net/1200x900/etuovimedia/images/property/import/381/2384381/0e76b9541118d347871c0e0e51d244c4/127b116c3588fb2a1cc1c0abbfb6ef60/ORIGINAL.jpeg</t>
  </si>
  <si>
    <t>2384381</t>
  </si>
  <si>
    <t>https://www.etuovi.com/kohde/21422583</t>
  </si>
  <si>
    <t>2025-11-05</t>
  </si>
  <si>
    <t>3h + k + s + pH + kellari + autotalli</t>
  </si>
  <si>
    <t>2026-06-10T14:03:37.470Z</t>
  </si>
  <si>
    <t>Detached House (Omakotitalo) — 3h + k + s + pH + kellari + autotalli — 72 m² — Viljakkala Ylöjärvi</t>
  </si>
  <si>
    <t>249 900 €</t>
  </si>
  <si>
    <t>219 900 €</t>
  </si>
  <si>
    <t>88 000 €</t>
  </si>
  <si>
    <t>Kajuuttakuja 5 Espoonlahti Espoo</t>
  </si>
  <si>
    <t>Kajuuttakuja 5</t>
  </si>
  <si>
    <t>Espoonlahti Espoo</t>
  </si>
  <si>
    <t>Espoonlahti</t>
  </si>
  <si>
    <t>bz6333</t>
  </si>
  <si>
    <t>https://d3ls91xgksobn.cloudfront.net/400x300/etuovimedia/images/property/import/3/2302003/0e76b9541118d347871c0e0e51d244c4/438b7f619b995b8ea05ba673a0a8087c/ORIGINAL.jpeg</t>
  </si>
  <si>
    <t>https://d3ls91xgksobn.cloudfront.net/1200x900/etuovimedia/images/property/import/3/2302003/0e76b9541118d347871c0e0e51d244c4/438b7f619b995b8ea05ba673a0a8087c/ORIGINAL.jpeg</t>
  </si>
  <si>
    <t>2302003</t>
  </si>
  <si>
    <t>https://www.etuovi.com/kohde/bz6333</t>
  </si>
  <si>
    <t>44 816,3 €</t>
  </si>
  <si>
    <t>2025-08-25</t>
  </si>
  <si>
    <t>4H + KT + S</t>
  </si>
  <si>
    <t>2026-06-10T14:03:37.930Z</t>
  </si>
  <si>
    <t>Apartment (Kerrostalo) — 4H + KT + S — 79 m² — Espoonlahti Espoo</t>
  </si>
  <si>
    <t>299 000 €</t>
  </si>
  <si>
    <t>Suomenkyläntie 66 Suomenniemi Mikkeli</t>
  </si>
  <si>
    <t>Suomenkyläntie 66</t>
  </si>
  <si>
    <t>Suomenniemi Mikkeli</t>
  </si>
  <si>
    <t>2068</t>
  </si>
  <si>
    <t>Kiinteistövälitys LKV Eurokiinteistöt &amp; Kiinteistömaisema Oy</t>
  </si>
  <si>
    <t>Suomenniemi</t>
  </si>
  <si>
    <t>45654314</t>
  </si>
  <si>
    <t>https://d3ls91xgksobn.cloudfront.net/400x300/etuovimedia/images/property/import/283/2609283/0e76b9541118d347871c0e0e51d244c4/75fb24ca7d56db1cb02122769e6bb6f0/ORIGINAL.jpeg</t>
  </si>
  <si>
    <t>https://d3ls91xgksobn.cloudfront.net/1200x900/etuovimedia/images/property/import/283/2609283/0e76b9541118d347871c0e0e51d244c4/75fb24ca7d56db1cb02122769e6bb6f0/ORIGINAL.jpeg</t>
  </si>
  <si>
    <t>2609283</t>
  </si>
  <si>
    <t>https://www.etuovi.com/kohde/45654314</t>
  </si>
  <si>
    <t>28 000 €</t>
  </si>
  <si>
    <t>2h, k, wc, s</t>
  </si>
  <si>
    <t>2026-06-10T14:03:40.070Z</t>
  </si>
  <si>
    <t>Detached House (Omakotitalo) — 2h, k, wc, s — 136 m² — Suomenniemi Mikkeli</t>
  </si>
  <si>
    <t>bz6338</t>
  </si>
  <si>
    <t>https://d3ls91xgksobn.cloudfront.net/400x300/etuovimedia/images/property/import/7/2302007/0e76b9541118d347871c0e0e51d244c4/88619e9c1ef1c81c67a66615954dd0bf/ORIGINAL.jpeg</t>
  </si>
  <si>
    <t>https://d3ls91xgksobn.cloudfront.net/1200x900/etuovimedia/images/property/import/7/2302007/0e76b9541118d347871c0e0e51d244c4/88619e9c1ef1c81c67a66615954dd0bf/ORIGINAL.jpeg</t>
  </si>
  <si>
    <t>2302007</t>
  </si>
  <si>
    <t>https://www.etuovi.com/kohde/bz6338</t>
  </si>
  <si>
    <t>35 239,11 €</t>
  </si>
  <si>
    <t>2026-06-10T14:03:40.169Z</t>
  </si>
  <si>
    <t>Apartment (Kerrostalo) — 3H + KT — 59 m² — Espoonlahti Espoo</t>
  </si>
  <si>
    <t>Pietiläntie 10 Nummela Lankila Vihti</t>
  </si>
  <si>
    <t>Pietiläntie 10</t>
  </si>
  <si>
    <t>Nummela Lankila Vihti</t>
  </si>
  <si>
    <t>3545</t>
  </si>
  <si>
    <t>Rean Kodit LKV / Kiinteistönvälitys Rea Nikander Oy</t>
  </si>
  <si>
    <t>https://reankodit.fi/</t>
  </si>
  <si>
    <t>Nummela Lankila</t>
  </si>
  <si>
    <t>21170760</t>
  </si>
  <si>
    <t>https://d3ls91xgksobn.cloudfront.net/400x300/etuovimedia/images/property/import/268/2609268/0e76b9541118d347871c0e0e51d244c4/bad3c50e99b6d0312f5d569d804e6a6c/ORIGINAL.jpeg</t>
  </si>
  <si>
    <t>https://d3ls91xgksobn.cloudfront.net/1200x900/etuovimedia/images/property/import/268/2609268/0e76b9541118d347871c0e0e51d244c4/bad3c50e99b6d0312f5d569d804e6a6c/ORIGINAL.jpeg</t>
  </si>
  <si>
    <t>2609268</t>
  </si>
  <si>
    <t>https://www.etuovi.com/kohde/21170760</t>
  </si>
  <si>
    <t>156 000 €</t>
  </si>
  <si>
    <t>5h, k, s, varasto</t>
  </si>
  <si>
    <t>2026-06-10T14:03:40.221Z</t>
  </si>
  <si>
    <t>Row House (Rivitalo) — 5h, k, s, varasto — 114 m² — Nummela Lankila Vihti</t>
  </si>
  <si>
    <t>Takalontie 5b Ruka, Rukajärvi Kuusamo</t>
  </si>
  <si>
    <t>Takalontie 5b</t>
  </si>
  <si>
    <t>Ruka, Rukajärvi Kuusamo</t>
  </si>
  <si>
    <t>789</t>
  </si>
  <si>
    <t>Kiinteistönvälitys LKV Saaga Oy</t>
  </si>
  <si>
    <t>https://lkvsaaga.fi/</t>
  </si>
  <si>
    <t>Ruka, Rukajärvi</t>
  </si>
  <si>
    <t>21544337</t>
  </si>
  <si>
    <t>https://d3ls91xgksobn.cloudfront.net/400x300/etuovimedia/images/property/import/267/2609267/0e76b9541118d347871c0e0e51d244c4/c99c2528c3c22e2534402e64f50d04bf/ORIGINAL.jpeg</t>
  </si>
  <si>
    <t>https://d3ls91xgksobn.cloudfront.net/1200x900/etuovimedia/images/property/import/267/2609267/0e76b9541118d347871c0e0e51d244c4/c99c2528c3c22e2534402e64f50d04bf/ORIGINAL.jpeg</t>
  </si>
  <si>
    <t>2609267</t>
  </si>
  <si>
    <t>https://www.etuovi.com/kohde/21544337</t>
  </si>
  <si>
    <t>5mh, oh, k, khh, ph, s</t>
  </si>
  <si>
    <t>2026-06-10T14:03:40.244Z</t>
  </si>
  <si>
    <t>Detached House (Omakotitalo) — 5mh, oh, k, khh, ph, s — 143.5 m² — Ruka, Rukajärvi Kuusamo</t>
  </si>
  <si>
    <t>Rajamäentie 11 Ylistaro Seinäjoki</t>
  </si>
  <si>
    <t>Rajamäentie 11</t>
  </si>
  <si>
    <t>Ylistaro Seinäjoki</t>
  </si>
  <si>
    <t>Ylistaro</t>
  </si>
  <si>
    <t>b73443</t>
  </si>
  <si>
    <t>https://d3ls91xgksobn.cloudfront.net/400x300/etuovimedia/images/property/import/51/404051/0e76b9541118d347871c0e0e51d244c4/42033f4e11c0ac3691d7e10d98cc9e31/ORIGINAL.jpeg</t>
  </si>
  <si>
    <t>https://d3ls91xgksobn.cloudfront.net/1200x900/etuovimedia/images/property/import/51/404051/0e76b9541118d347871c0e0e51d244c4/42033f4e11c0ac3691d7e10d98cc9e31/ORIGINAL.jpeg</t>
  </si>
  <si>
    <t>404051</t>
  </si>
  <si>
    <t>https://www.etuovi.com/kohde/b73443</t>
  </si>
  <si>
    <t>39 900 €</t>
  </si>
  <si>
    <t>Juha Tasanko</t>
  </si>
  <si>
    <t>2015-08-04</t>
  </si>
  <si>
    <t>5h + k + s + toimi- ja varstotilaa + iso uima-allas</t>
  </si>
  <si>
    <t>2026-06-10T14:03:40.298Z</t>
  </si>
  <si>
    <t>Detached House (Omakotitalo) — 5h + k + s + toimi- ja varstotilaa + iso uima-allas — 156 m² — Ylistaro Seinäjoki</t>
  </si>
  <si>
    <t>Juhannuskylänkatu 1 Juhannuskylä Tampere</t>
  </si>
  <si>
    <t>Juhannuskylänkatu 1</t>
  </si>
  <si>
    <t>Juhannuskylä Tampere</t>
  </si>
  <si>
    <t>1930</t>
  </si>
  <si>
    <t>Juhannuskylä</t>
  </si>
  <si>
    <t>20094149</t>
  </si>
  <si>
    <t>https://d3ls91xgksobn.cloudfront.net/400x300/etuovimedia/images/property/import/111/2558111/0e76b9541118d347871c0e0e51d244c4/aa5ace35010bf80ef4ea23fd22b0b97c/ORIGINAL.jpeg</t>
  </si>
  <si>
    <t>https://d3ls91xgksobn.cloudfront.net/1200x900/etuovimedia/images/property/import/111/2558111/0e76b9541118d347871c0e0e51d244c4/aa5ace35010bf80ef4ea23fd22b0b97c/ORIGINAL.jpeg</t>
  </si>
  <si>
    <t>https://d3ls91xgksobn.cloudfront.net/1200x900/etuovimedia/images/property/import/111/2558111/0e76b9541118d347871c0e0e51d244c4/4d0c01b6da8dfb7da8e810b89fc22952/ORIGINAL.jpeg</t>
  </si>
  <si>
    <t>https://d3ls91xgksobn.cloudfront.net/1200x900/etuovimedia/images/property/import/111/2558111/0e76b9541118d347871c0e0e51d244c4/60f816f0caa9973f6ee7e2f384cddda1/ORIGINAL.jpeg</t>
  </si>
  <si>
    <t>2558111</t>
  </si>
  <si>
    <t>https://www.etuovi.com/kohde/20094149</t>
  </si>
  <si>
    <t>2026-04-29</t>
  </si>
  <si>
    <t>3h, k, 2 x kph, s, erill. wc (yj:n mukaan 2h + k)</t>
  </si>
  <si>
    <t>2026-06-10T14:03:40.339Z</t>
  </si>
  <si>
    <t>WOODEN_HOUSE_APARTMENT — 3h, k, 2 x kph, s, erill. wc (yj:n mukaan 2h + k) — 105 m² — Juhannuskylä Tampere</t>
  </si>
  <si>
    <t>Munckinkatu 27  Mustamännistö Hyvinkää</t>
  </si>
  <si>
    <t>Munckinkatu 27</t>
  </si>
  <si>
    <t>Mustamännistö Hyvinkää</t>
  </si>
  <si>
    <t>Mustamännistö</t>
  </si>
  <si>
    <t>fs4398</t>
  </si>
  <si>
    <t>https://d3ls91xgksobn.cloudfront.net/400x300/etuovimedia/images/property/import/265/2609265/0e76b9541118d347871c0e0e51d244c4/77b12656bbc78293d5c04737c1ba2a6d/ORIGINAL.jpeg</t>
  </si>
  <si>
    <t>https://d3ls91xgksobn.cloudfront.net/1200x900/etuovimedia/images/property/import/265/2609265/0e76b9541118d347871c0e0e51d244c4/77b12656bbc78293d5c04737c1ba2a6d/ORIGINAL.jpeg</t>
  </si>
  <si>
    <t>2609265</t>
  </si>
  <si>
    <t>https://www.etuovi.com/kohde/fs4398</t>
  </si>
  <si>
    <t>42 000 €</t>
  </si>
  <si>
    <t>Sampo Idstam</t>
  </si>
  <si>
    <t>1h + k + kph + p</t>
  </si>
  <si>
    <t>2026-06-10T14:03:40.352Z</t>
  </si>
  <si>
    <t>Apartment (Kerrostalo) — 1h + k + kph + p — 36 m² — Mustamännistö Hyvinkää</t>
  </si>
  <si>
    <t>Paljaspää 8 E Varissuo Turku</t>
  </si>
  <si>
    <t>Paljaspää 8 E</t>
  </si>
  <si>
    <t>Varissuo Turku</t>
  </si>
  <si>
    <t>Varissuo</t>
  </si>
  <si>
    <t>80501199</t>
  </si>
  <si>
    <t>https://d3ls91xgksobn.cloudfront.net/400x300/etuovimedia/images/property/import/803/2558803/0e76b9541118d347871c0e0e51d244c4/cf7b2ebd960e8ca3e223947ff0f190c8/ORIGINAL.jpeg</t>
  </si>
  <si>
    <t>https://d3ls91xgksobn.cloudfront.net/1200x900/etuovimedia/images/property/import/803/2558803/0e76b9541118d347871c0e0e51d244c4/cf7b2ebd960e8ca3e223947ff0f190c8/ORIGINAL.jpeg</t>
  </si>
  <si>
    <t>2558803</t>
  </si>
  <si>
    <t>https://www.etuovi.com/kohde/80501199</t>
  </si>
  <si>
    <t>5h + k + sauna</t>
  </si>
  <si>
    <t>2026-06-10T14:03:40.365Z</t>
  </si>
  <si>
    <t>Row House (Rivitalo) — 5h + k + sauna — 120 m² — Varissuo Turku</t>
  </si>
  <si>
    <t>Pinarintie 7 Ruskila Nakkila</t>
  </si>
  <si>
    <t>Pinarintie 7</t>
  </si>
  <si>
    <t>Ruskila Nakkila</t>
  </si>
  <si>
    <t>755</t>
  </si>
  <si>
    <t>Haavekoti LKV Puuvilla</t>
  </si>
  <si>
    <t>https://haavelkv.fi/</t>
  </si>
  <si>
    <t>Ruskila</t>
  </si>
  <si>
    <t>21221507</t>
  </si>
  <si>
    <t>https://d3ls91xgksobn.cloudfront.net/400x300/etuovimedia/images/property/import/282/2588282/0e76b9541118d347871c0e0e51d244c4/e961df9aec314655e493afe72b2a058a/ORIGINAL.jpeg</t>
  </si>
  <si>
    <t>https://d3ls91xgksobn.cloudfront.net/1200x900/etuovimedia/images/property/import/282/2588282/0e76b9541118d347871c0e0e51d244c4/e961df9aec314655e493afe72b2a058a/ORIGINAL.jpeg</t>
  </si>
  <si>
    <t>2588282</t>
  </si>
  <si>
    <t>https://www.etuovi.com/kohde/21221507</t>
  </si>
  <si>
    <t>2026-05-25</t>
  </si>
  <si>
    <t>5h + k + s + at</t>
  </si>
  <si>
    <t>2026-06-10T14:03:40.400Z</t>
  </si>
  <si>
    <t>Detached House (Omakotitalo) — 5h + k + s + at — 136 m² — Ruskila Nakkila</t>
  </si>
  <si>
    <t>Juurakkokatu 29 B Savio Kerava</t>
  </si>
  <si>
    <t>Juurakkokatu 29 B</t>
  </si>
  <si>
    <t>3477</t>
  </si>
  <si>
    <t>Zansen Oy</t>
  </si>
  <si>
    <t>https://www.zansen.fi/</t>
  </si>
  <si>
    <t>80513555</t>
  </si>
  <si>
    <t>https://d3ls91xgksobn.cloudfront.net/400x300/etuovimedia/images/property/import/261/2609261/0e76b9541118d347871c0e0e51d244c4/b482976fb549914fc657a44be4c6ff3f/ORIGINAL.jpeg</t>
  </si>
  <si>
    <t>https://d3ls91xgksobn.cloudfront.net/1200x900/etuovimedia/images/property/import/261/2609261/0e76b9541118d347871c0e0e51d244c4/b482976fb549914fc657a44be4c6ff3f/ORIGINAL.jpeg</t>
  </si>
  <si>
    <t>2609261</t>
  </si>
  <si>
    <t>https://www.etuovi.com/kohde/80513555</t>
  </si>
  <si>
    <t>1h + avokeittiö + kph + parveke</t>
  </si>
  <si>
    <t>2026-06-10T14:03:40.534Z</t>
  </si>
  <si>
    <t>Balcony Access Block (Luhtitalo) — 1h + avokeittiö + kph + parveke — 28 m² — Savio Kerava</t>
  </si>
  <si>
    <t>Timanttikiteenkuja 2 Kivistö Vantaa</t>
  </si>
  <si>
    <t>Timanttikiteenkuja 2</t>
  </si>
  <si>
    <t>Cindy Luumberg</t>
  </si>
  <si>
    <t>42729528</t>
  </si>
  <si>
    <t>https://d3ls91xgksobn.cloudfront.net/400x300/etuovimedia/images/property/import/260/2609260/0e76b9541118d347871c0e0e51d244c4/705cfb1774f70f90d324ba789219b1ff/ORIGINAL.jpeg</t>
  </si>
  <si>
    <t>https://d3ls91xgksobn.cloudfront.net/1200x900/etuovimedia/images/property/import/260/2609260/0e76b9541118d347871c0e0e51d244c4/705cfb1774f70f90d324ba789219b1ff/ORIGINAL.jpeg</t>
  </si>
  <si>
    <t>https://d3ls91xgksobn.cloudfront.net/1200x900/etuovimedia/images/property/import/260/2609260/0e76b9541118d347871c0e0e51d244c4/c11b7156f3144c49043e71d97e7cdd63/ORIGINAL.jpeg</t>
  </si>
  <si>
    <t>2609260</t>
  </si>
  <si>
    <t>https://www.etuovi.com/kohde/42729528</t>
  </si>
  <si>
    <t>182 000 €</t>
  </si>
  <si>
    <t>1-2, kt, lasitettu parveke</t>
  </si>
  <si>
    <t>2026-06-10T14:03:40.551Z</t>
  </si>
  <si>
    <t>Apartment (Kerrostalo) — 1-2, kt, lasitettu parveke — 48.5 m² — Kivistö Vantaa</t>
  </si>
  <si>
    <t>Vanha Hämeentie 55b 12 Nummi Turku</t>
  </si>
  <si>
    <t>Vanha Hämeentie 55b 12</t>
  </si>
  <si>
    <t>Nummi Turku</t>
  </si>
  <si>
    <t>3445</t>
  </si>
  <si>
    <t>Ateljé LKV</t>
  </si>
  <si>
    <t>https://ateljelkv.fi/</t>
  </si>
  <si>
    <t>Nummi</t>
  </si>
  <si>
    <t>80513063</t>
  </si>
  <si>
    <t>https://d3ls91xgksobn.cloudfront.net/400x300/etuovimedia/images/property/import/258/2609258/0e76b9541118d347871c0e0e51d244c4/bcdc19ef705555195a9fb8372cbff2f1/ORIGINAL.jpeg</t>
  </si>
  <si>
    <t>https://d3ls91xgksobn.cloudfront.net/1200x900/etuovimedia/images/property/import/258/2609258/0e76b9541118d347871c0e0e51d244c4/bcdc19ef705555195a9fb8372cbff2f1/ORIGINAL.jpeg</t>
  </si>
  <si>
    <t>2609258</t>
  </si>
  <si>
    <t>https://www.etuovi.com/kohde/80513063</t>
  </si>
  <si>
    <t>2-3h, k, kph / wc, et</t>
  </si>
  <si>
    <t>2026-06-10T14:03:40.726Z</t>
  </si>
  <si>
    <t>WOODEN_HOUSE_APARTMENT — 2-3h, k, kph / wc, et — 52 m² — Nummi Turku</t>
  </si>
  <si>
    <t>Rakokiventie 3 A Rakokivi Lahti</t>
  </si>
  <si>
    <t>Rakokiventie 3 A</t>
  </si>
  <si>
    <t>Rakokivi Lahti</t>
  </si>
  <si>
    <t>804</t>
  </si>
  <si>
    <t>NKN-Yhtiöt</t>
  </si>
  <si>
    <t>Rakokivi</t>
  </si>
  <si>
    <t>80511870</t>
  </si>
  <si>
    <t>https://d3ls91xgksobn.cloudfront.net/400x300/etuovimedia/images/property/import/256/2609256/0e76b9541118d347871c0e0e51d244c4/b63978bb968b0d27cd6c5a3caf4abfe4/ORIGINAL.jpeg</t>
  </si>
  <si>
    <t>https://d3ls91xgksobn.cloudfront.net/1200x900/etuovimedia/images/property/import/256/2609256/0e76b9541118d347871c0e0e51d244c4/b63978bb968b0d27cd6c5a3caf4abfe4/ORIGINAL.jpeg</t>
  </si>
  <si>
    <t>2609256</t>
  </si>
  <si>
    <t>https://www.etuovi.com/kohde/80511870</t>
  </si>
  <si>
    <t>21 000 €</t>
  </si>
  <si>
    <t>1h + kk + kph + p</t>
  </si>
  <si>
    <t>2026-06-10T14:03:40.781Z</t>
  </si>
  <si>
    <t>Apartment (Kerrostalo) — 1h + kk + kph + p — 33 m² — Rakokivi Lahti</t>
  </si>
  <si>
    <t>Asemakuja 1 Tuuri Alavus</t>
  </si>
  <si>
    <t>Asemakuja 1</t>
  </si>
  <si>
    <t>Tuuri Alavus</t>
  </si>
  <si>
    <t>Tuuri</t>
  </si>
  <si>
    <t>v42397</t>
  </si>
  <si>
    <t>https://d3ls91xgksobn.cloudfront.net/400x300/etuovimedia/images/property/import/956/1812956/0e76b9541118d347871c0e0e51d244c4/b18f8f60467b8d72a6d4614ce034d745/ORIGINAL.jpeg</t>
  </si>
  <si>
    <t>https://d3ls91xgksobn.cloudfront.net/1200x900/etuovimedia/images/property/import/956/1812956/0e76b9541118d347871c0e0e51d244c4/b18f8f60467b8d72a6d4614ce034d745/ORIGINAL.jpeg</t>
  </si>
  <si>
    <t>1812956</t>
  </si>
  <si>
    <t>https://www.etuovi.com/kohde/v42397</t>
  </si>
  <si>
    <t>Ari Haukka</t>
  </si>
  <si>
    <t>2023-07-11</t>
  </si>
  <si>
    <t>Junaasema ja kiinteistöt</t>
  </si>
  <si>
    <t>2026-06-10T14:03:40.795Z</t>
  </si>
  <si>
    <t>Detached House (Omakotitalo) — Junaasema ja kiinteistöt — 350 m² — Tuuri Alavus</t>
  </si>
  <si>
    <t>Ähtäväntie 232 Ähtävä Pedersören kunta</t>
  </si>
  <si>
    <t>Ähtäväntie 232</t>
  </si>
  <si>
    <t>Ähtävä Pedersören kunta</t>
  </si>
  <si>
    <t>2028</t>
  </si>
  <si>
    <t>Ab Mäklarbyrå J. Riska Meklaritoimisto Oy</t>
  </si>
  <si>
    <t>http://www.riska.fi</t>
  </si>
  <si>
    <t>1934</t>
  </si>
  <si>
    <t>Ähtävä Pedersören</t>
  </si>
  <si>
    <t>21222446</t>
  </si>
  <si>
    <t>https://d3ls91xgksobn.cloudfront.net/400x300/etuovimedia/images/property/import/254/2609254/0e76b9541118d347871c0e0e51d244c4/54624629609f2d2fd26e79d944112a14/ORIGINAL.jpeg</t>
  </si>
  <si>
    <t>https://d3ls91xgksobn.cloudfront.net/1200x900/etuovimedia/images/property/import/254/2609254/0e76b9541118d347871c0e0e51d244c4/54624629609f2d2fd26e79d944112a14/ORIGINAL.jpeg</t>
  </si>
  <si>
    <t>2609254</t>
  </si>
  <si>
    <t>https://www.etuovi.com/kohde/21222446</t>
  </si>
  <si>
    <t>85 000 €</t>
  </si>
  <si>
    <t>7-8 h + k + kph + wc + kellari</t>
  </si>
  <si>
    <t>2026-06-10T14:03:40.851Z</t>
  </si>
  <si>
    <t>Detached House (Omakotitalo) — 7-8 h + k + kph + wc + kellari — 151 m² — Ähtävä Pedersören kunta</t>
  </si>
  <si>
    <t>Rauhankatu 7 Keskusta Turku</t>
  </si>
  <si>
    <t>Rauhankatu 7</t>
  </si>
  <si>
    <t>2275297</t>
  </si>
  <si>
    <t>https://d3ls91xgksobn.cloudfront.net/400x300/etuovimedia/images/property/import/253/2609253/0e76b9541118d347871c0e0e51d244c4/e3b16c503e49e83a5f99883f27e5c711/ORIGINAL.jpeg</t>
  </si>
  <si>
    <t>https://d3ls91xgksobn.cloudfront.net/1200x900/etuovimedia/images/property/import/253/2609253/0e76b9541118d347871c0e0e51d244c4/e3b16c503e49e83a5f99883f27e5c711/ORIGINAL.jpeg</t>
  </si>
  <si>
    <t>2609253</t>
  </si>
  <si>
    <t>https://www.etuovi.com/kohde/2275297</t>
  </si>
  <si>
    <t>4H, KPH / WC, S, ER.WC, KHH, VH, LAS.P.</t>
  </si>
  <si>
    <t>2026-06-10T14:03:40.864Z</t>
  </si>
  <si>
    <t>Apartment (Kerrostalo) — 4H, KPH / WC, S, ER.WC, KHH, VH, LAS.P. — 116 m² — Keskusta Turku</t>
  </si>
  <si>
    <t>Miekka 2 Perkkaa Espoo</t>
  </si>
  <si>
    <t>Miekka 2</t>
  </si>
  <si>
    <t>Perkkaa Espoo</t>
  </si>
  <si>
    <t>1559</t>
  </si>
  <si>
    <t>Habita Espoo | Espoon Habita Oy</t>
  </si>
  <si>
    <t>Perkkaa</t>
  </si>
  <si>
    <t>2275421</t>
  </si>
  <si>
    <t>https://d3ls91xgksobn.cloudfront.net/400x300/etuovimedia/images/property/import/252/2609252/0e76b9541118d347871c0e0e51d244c4/c5aa91cbdad395acc8ae20662d4c5aa9/ORIGINAL.jpeg</t>
  </si>
  <si>
    <t>https://d3ls91xgksobn.cloudfront.net/1200x900/etuovimedia/images/property/import/252/2609252/0e76b9541118d347871c0e0e51d244c4/c5aa91cbdad395acc8ae20662d4c5aa9/ORIGINAL.jpeg</t>
  </si>
  <si>
    <t>2609252</t>
  </si>
  <si>
    <t>https://www.etuovi.com/kohde/2275421</t>
  </si>
  <si>
    <t>86 000 €</t>
  </si>
  <si>
    <t>1h, k, kph, vh, kellarikomero</t>
  </si>
  <si>
    <t>2026-06-10T14:03:40.875Z</t>
  </si>
  <si>
    <t>Apartment (Kerrostalo) — 1h, k, kph, vh, kellarikomero — 32 m² — Perkkaa Espoo</t>
  </si>
  <si>
    <t>Kurkitie 10 Simo Simo</t>
  </si>
  <si>
    <t>Kurkitie 10</t>
  </si>
  <si>
    <t>Simo Simo</t>
  </si>
  <si>
    <t>2954</t>
  </si>
  <si>
    <t>Habita Kemi | Pohjois-Suomen Habita Oy</t>
  </si>
  <si>
    <t>2274649</t>
  </si>
  <si>
    <t>https://d3ls91xgksobn.cloudfront.net/400x300/etuovimedia/images/property/import/251/2609251/0e76b9541118d347871c0e0e51d244c4/9081017bf40abb626500ed1a7630db89/ORIGINAL.jpeg</t>
  </si>
  <si>
    <t>https://d3ls91xgksobn.cloudfront.net/1200x900/etuovimedia/images/property/import/251/2609251/0e76b9541118d347871c0e0e51d244c4/9081017bf40abb626500ed1a7630db89/ORIGINAL.jpeg</t>
  </si>
  <si>
    <t>2609251</t>
  </si>
  <si>
    <t>https://www.etuovi.com/kohde/2274649</t>
  </si>
  <si>
    <t>62 000 €</t>
  </si>
  <si>
    <t>3mh, oh, k, 3vh, wc, ph, sa + at, var</t>
  </si>
  <si>
    <t>2026-06-10T14:03:41.051Z</t>
  </si>
  <si>
    <t>Detached House (Omakotitalo) — 3mh, oh, k, 3vh, wc, ph, sa + at, var — 100 m² — Simo Simo</t>
  </si>
  <si>
    <t>Lanssipiha 2 Santaholma Oulu</t>
  </si>
  <si>
    <t>Lanssipiha 2</t>
  </si>
  <si>
    <t>Santaholma Oulu</t>
  </si>
  <si>
    <t>1305</t>
  </si>
  <si>
    <t>Kiinteistönvälitys Pasi Backman Oy, LKV</t>
  </si>
  <si>
    <t>http://www.backmanlkv.fi/</t>
  </si>
  <si>
    <t>Santaholma</t>
  </si>
  <si>
    <t>20293231</t>
  </si>
  <si>
    <t>https://d3ls91xgksobn.cloudfront.net/400x300/etuovimedia/images/property/import/250/2609250/0e76b9541118d347871c0e0e51d244c4/b33daed929ad6cab6300cc14beed4d1e/ORIGINAL.jpeg</t>
  </si>
  <si>
    <t>https://d3ls91xgksobn.cloudfront.net/1200x900/etuovimedia/images/property/import/250/2609250/0e76b9541118d347871c0e0e51d244c4/b33daed929ad6cab6300cc14beed4d1e/ORIGINAL.jpeg</t>
  </si>
  <si>
    <t>2609250</t>
  </si>
  <si>
    <t>https://www.etuovi.com/kohde/20293231</t>
  </si>
  <si>
    <t>126 000 €</t>
  </si>
  <si>
    <t>4h, k, s, ak</t>
  </si>
  <si>
    <t>2026-06-10T14:03:41.084Z</t>
  </si>
  <si>
    <t>Detached House (Omakotitalo) — 4h, k, s, ak — 116 m² — Santaholma Oulu</t>
  </si>
  <si>
    <t>Rantatie 294 Rova Muhos</t>
  </si>
  <si>
    <t>Rantatie 294</t>
  </si>
  <si>
    <t>Rova Muhos</t>
  </si>
  <si>
    <t>747</t>
  </si>
  <si>
    <t>Helmet LKV Oy</t>
  </si>
  <si>
    <t>http://www.helmetlkv.fi/</t>
  </si>
  <si>
    <t>Rova</t>
  </si>
  <si>
    <t>20046583</t>
  </si>
  <si>
    <t>https://d3ls91xgksobn.cloudfront.net/400x300/etuovimedia/images/property/import/249/2609249/0e76b9541118d347871c0e0e51d244c4/0a574e8730f174980adfa75c68b82182/ORIGINAL.jpeg</t>
  </si>
  <si>
    <t>https://d3ls91xgksobn.cloudfront.net/1200x900/etuovimedia/images/property/import/249/2609249/0e76b9541118d347871c0e0e51d244c4/0a574e8730f174980adfa75c68b82182/ORIGINAL.jpeg</t>
  </si>
  <si>
    <t>2609249</t>
  </si>
  <si>
    <t>https://www.etuovi.com/kohde/20046583</t>
  </si>
  <si>
    <t>338 000 €</t>
  </si>
  <si>
    <t>2mh, oh, k, kh, s,</t>
  </si>
  <si>
    <t>2026-06-10T14:03:41.150Z</t>
  </si>
  <si>
    <t>Detached House (Omakotitalo) — 2mh, oh, k, kh, s,  — 79 m² — Rova Muhos</t>
  </si>
  <si>
    <t>Kirkkoniityntie 30 C Nikkilä Sipoo</t>
  </si>
  <si>
    <t>Kirkkoniityntie 30 C</t>
  </si>
  <si>
    <t>Nikkilä Sipoo</t>
  </si>
  <si>
    <t>Nikkilä</t>
  </si>
  <si>
    <t>80460690</t>
  </si>
  <si>
    <t>https://d3ls91xgksobn.cloudfront.net/400x300/etuovimedia/images/property/import/554/2388554/0e76b9541118d347871c0e0e51d244c4/8852bb8d836605bee4df81dba6d1818c/ORIGINAL.jpeg</t>
  </si>
  <si>
    <t>https://d3ls91xgksobn.cloudfront.net/1200x900/etuovimedia/images/property/import/554/2388554/0e76b9541118d347871c0e0e51d244c4/8852bb8d836605bee4df81dba6d1818c/ORIGINAL.jpeg</t>
  </si>
  <si>
    <t>2388554</t>
  </si>
  <si>
    <t>https://www.etuovi.com/kohde/80460690</t>
  </si>
  <si>
    <t>2025-11-10</t>
  </si>
  <si>
    <t>2026-06-10T14:03:41.162Z</t>
  </si>
  <si>
    <t>Apartment (Kerrostalo) — 2h + k — 63 m² — Nikkilä Sipoo</t>
  </si>
  <si>
    <t>Lehmijärventie 191 Lehmijärvi Lohja</t>
  </si>
  <si>
    <t>Lehmijärventie 191</t>
  </si>
  <si>
    <t>Lehmijärvi Lohja</t>
  </si>
  <si>
    <t>3646</t>
  </si>
  <si>
    <t>Kiinteistömaailma Lohja | Muuttovoitto LKV Oy</t>
  </si>
  <si>
    <t>Jouni Majasalmi</t>
  </si>
  <si>
    <t>Lehmijärvi</t>
  </si>
  <si>
    <t>1394293</t>
  </si>
  <si>
    <t>https://d3ls91xgksobn.cloudfront.net/400x300/etuovimedia/images/property/import/538/2133538/0e76b9541118d347871c0e0e51d244c4/2f4d2733b513ba3f3b1626f451a548b5/ORIGINAL.jpeg</t>
  </si>
  <si>
    <t>https://d3ls91xgksobn.cloudfront.net/1200x900/etuovimedia/images/property/import/538/2133538/0e76b9541118d347871c0e0e51d244c4/2f4d2733b513ba3f3b1626f451a548b5/ORIGINAL.jpeg</t>
  </si>
  <si>
    <t>https://d3ls91xgksobn.cloudfront.net/1200x900/etuovimedia/images/property/import/538/2133538/0e76b9541118d347871c0e0e51d244c4/e41725a8694c7533d7791e3bf97b1a2d/ORIGINAL.jpeg</t>
  </si>
  <si>
    <t>2133538</t>
  </si>
  <si>
    <t>https://www.etuovi.com/kohde/1394293</t>
  </si>
  <si>
    <t>395 000 €</t>
  </si>
  <si>
    <t>2025-05-28</t>
  </si>
  <si>
    <t>6h, k, rt, khh, wcx2, s, pkh, vhx2, var. / at</t>
  </si>
  <si>
    <t>2026-06-10T14:03:41.260Z</t>
  </si>
  <si>
    <t>Detached House (Omakotitalo) — 6h, k, rt, khh, wcx2, s, pkh, vhx2, var. / at — 235 m² — Lehmijärvi Lohja</t>
  </si>
  <si>
    <t>Päretie 8 Kastelli Oulu</t>
  </si>
  <si>
    <t>Päretie 8</t>
  </si>
  <si>
    <t>Kastelli Oulu</t>
  </si>
  <si>
    <t>Launonen Antti</t>
  </si>
  <si>
    <t>Kastelli</t>
  </si>
  <si>
    <t>21440324</t>
  </si>
  <si>
    <t>https://d3ls91xgksobn.cloudfront.net/400x300/etuovimedia/images/property/import/244/2609244/0e76b9541118d347871c0e0e51d244c4/0c86768d5ea98122f7ac603908c638f6/ORIGINAL.jpeg</t>
  </si>
  <si>
    <t>https://d3ls91xgksobn.cloudfront.net/1200x900/etuovimedia/images/property/import/244/2609244/0e76b9541118d347871c0e0e51d244c4/0c86768d5ea98122f7ac603908c638f6/ORIGINAL.jpeg</t>
  </si>
  <si>
    <t>https://d3ls91xgksobn.cloudfront.net/1200x900/etuovimedia/images/property/import/244/2609244/0e76b9541118d347871c0e0e51d244c4/5f214f8b7a6bfe0e7253d1316ad6546e/ORIGINAL.jpeg</t>
  </si>
  <si>
    <t>https://d3ls91xgksobn.cloudfront.net/1200x900/etuovimedia/images/property/import/244/2609244/0e76b9541118d347871c0e0e51d244c4/57ceac0638974920891bd3a2f04d8e03/ORIGINAL.jpeg</t>
  </si>
  <si>
    <t>2609244</t>
  </si>
  <si>
    <t>https://www.etuovi.com/kohde/21440324</t>
  </si>
  <si>
    <t>575 000 €</t>
  </si>
  <si>
    <t>4-5h + k + s</t>
  </si>
  <si>
    <t>2026-06-10T14:03:41.362Z</t>
  </si>
  <si>
    <t>Detached House (Omakotitalo) — 4-5h + k + s — 118.1 m² — Kastelli Oulu</t>
  </si>
  <si>
    <t>Merkkisoitontie 2 E13 Hiukkavaara Oulu</t>
  </si>
  <si>
    <t>Merkkisoitontie 2 E13</t>
  </si>
  <si>
    <t>Hiukkavaara Oulu</t>
  </si>
  <si>
    <t>Hiukkavaara</t>
  </si>
  <si>
    <t>67307609</t>
  </si>
  <si>
    <t>https://d3ls91xgksobn.cloudfront.net/400x300/etuovimedia/images/property/import/240/2609240/0e76b9541118d347871c0e0e51d244c4/7f1f1fc75f2451ac33d33230418e7be0/ORIGINAL.jpeg</t>
  </si>
  <si>
    <t>https://d3ls91xgksobn.cloudfront.net/1200x900/etuovimedia/images/property/import/240/2609240/0e76b9541118d347871c0e0e51d244c4/7f1f1fc75f2451ac33d33230418e7be0/ORIGINAL.jpeg</t>
  </si>
  <si>
    <t>2609240</t>
  </si>
  <si>
    <t>https://www.etuovi.com/kohde/67307609</t>
  </si>
  <si>
    <t>3h, k, vh, kph, s, wc, khh, terassi, var, ak</t>
  </si>
  <si>
    <t>2026-06-10T14:03:41.391Z</t>
  </si>
  <si>
    <t>Row House (Rivitalo) — 3h, k, vh, kph, s, wc, khh, terassi, var, ak — 73.5 m² — Hiukkavaara Oulu</t>
  </si>
  <si>
    <t>Kaupintie 15 B Lassila, Pohjois-Haaga Helsinki</t>
  </si>
  <si>
    <t>Kaupintie 15 B</t>
  </si>
  <si>
    <t>Lassila, Pohjois-Haaga Helsinki</t>
  </si>
  <si>
    <t>Lassila, Pohjois-Haaga</t>
  </si>
  <si>
    <t>80512879</t>
  </si>
  <si>
    <t>https://d3ls91xgksobn.cloudfront.net/400x300/etuovimedia/images/property/import/238/2609238/0e76b9541118d347871c0e0e51d244c4/ae59b0e59b324adfea79aecc23ead97b/ORIGINAL.jpeg</t>
  </si>
  <si>
    <t>https://d3ls91xgksobn.cloudfront.net/1200x900/etuovimedia/images/property/import/238/2609238/0e76b9541118d347871c0e0e51d244c4/ae59b0e59b324adfea79aecc23ead97b/ORIGINAL.jpeg</t>
  </si>
  <si>
    <t>2609238</t>
  </si>
  <si>
    <t>https://www.etuovi.com/kohde/80512879</t>
  </si>
  <si>
    <t>248 000 €</t>
  </si>
  <si>
    <t>3h, k, s, kph, wc, parveke</t>
  </si>
  <si>
    <t>2026-06-10T14:03:41.401Z</t>
  </si>
  <si>
    <t>Apartment (Kerrostalo) — 3h, k, s, kph, wc, parveke — 71 m² — Lassila, Pohjois-Haaga Helsinki</t>
  </si>
  <si>
    <t>Taivaanpankontie 27 C C Puijonlaakso Kuopio</t>
  </si>
  <si>
    <t>Taivaanpankontie 27 C C</t>
  </si>
  <si>
    <t>80509396</t>
  </si>
  <si>
    <t>https://d3ls91xgksobn.cloudfront.net/400x300/etuovimedia/images/property/import/237/2609237/0e76b9541118d347871c0e0e51d244c4/0f7fb2bdb4371cc423e1d495ddd59e36/ORIGINAL.jpeg</t>
  </si>
  <si>
    <t>https://d3ls91xgksobn.cloudfront.net/1200x900/etuovimedia/images/property/import/237/2609237/0e76b9541118d347871c0e0e51d244c4/0f7fb2bdb4371cc423e1d495ddd59e36/ORIGINAL.jpeg</t>
  </si>
  <si>
    <t>2609237</t>
  </si>
  <si>
    <t>https://www.etuovi.com/kohde/80509396</t>
  </si>
  <si>
    <t>3h + kt + s + parveke</t>
  </si>
  <si>
    <t>2026-06-10T14:03:41.496Z</t>
  </si>
  <si>
    <t>Apartment (Kerrostalo) — 3h + kt + s + parveke — 59.5 m² — Puijonlaakso Kuopio</t>
  </si>
  <si>
    <t>Humalistonkatu 16 A Keskusta Turku</t>
  </si>
  <si>
    <t>Humalistonkatu 16 A</t>
  </si>
  <si>
    <t>4514</t>
  </si>
  <si>
    <t>Arktium Oy | Solid House Turku</t>
  </si>
  <si>
    <t>https://www.solidhouse.fi/asunnon-arvio/varaa-arviokaynti</t>
  </si>
  <si>
    <t>80513002</t>
  </si>
  <si>
    <t>https://d3ls91xgksobn.cloudfront.net/400x300/etuovimedia/images/property/import/236/2609236/0e76b9541118d347871c0e0e51d244c4/811325b3341eb90d7d0380bc5a81c76c/ORIGINAL.jpeg</t>
  </si>
  <si>
    <t>https://d3ls91xgksobn.cloudfront.net/1200x900/etuovimedia/images/property/import/236/2609236/0e76b9541118d347871c0e0e51d244c4/811325b3341eb90d7d0380bc5a81c76c/ORIGINAL.jpeg</t>
  </si>
  <si>
    <t>2609236</t>
  </si>
  <si>
    <t>https://www.etuovi.com/kohde/80513002</t>
  </si>
  <si>
    <t>255 000 €</t>
  </si>
  <si>
    <t>NÄKOALAHUONEISTO 3h + avokeittiö</t>
  </si>
  <si>
    <t>2026-06-10T14:03:41.590Z</t>
  </si>
  <si>
    <t>Apartment (Kerrostalo) — NÄKOALAHUONEISTO 3h + avokeittiö — 59 m² — Keskusta Turku</t>
  </si>
  <si>
    <t>Syyskuja 4-6 Lystimäki,Olari Espoo</t>
  </si>
  <si>
    <t>Syyskuja 4-6</t>
  </si>
  <si>
    <t>Lystimäki,Olari Espoo</t>
  </si>
  <si>
    <t>4627</t>
  </si>
  <si>
    <t>Residenssi Kiinteistönvälitys</t>
  </si>
  <si>
    <t>https://residenssi.fi</t>
  </si>
  <si>
    <t>1979</t>
  </si>
  <si>
    <t>Lystimäki,Olari</t>
  </si>
  <si>
    <t>80499271</t>
  </si>
  <si>
    <t>https://d3ls91xgksobn.cloudfront.net/400x300/etuovimedia/images/property/import/235/2609235/0e76b9541118d347871c0e0e51d244c4/64ad73ac32656f4b780e3d5287399c71/ORIGINAL.jpeg</t>
  </si>
  <si>
    <t>https://d3ls91xgksobn.cloudfront.net/1200x900/etuovimedia/images/property/import/235/2609235/0e76b9541118d347871c0e0e51d244c4/64ad73ac32656f4b780e3d5287399c71/ORIGINAL.jpeg</t>
  </si>
  <si>
    <t>2609235</t>
  </si>
  <si>
    <t>https://www.etuovi.com/kohde/80499271</t>
  </si>
  <si>
    <t>379 000 €</t>
  </si>
  <si>
    <t>5h, k, th, kph, s, wc</t>
  </si>
  <si>
    <t>2026-06-10T14:03:43.146Z</t>
  </si>
  <si>
    <t>Semi-detached (Paritalo) — 5h, k, th, kph, s, wc — 120.5 m² — Lystimäki,Olari Espoo</t>
  </si>
  <si>
    <t>Lehtimäentie 4 C Kyösti Pirkkala</t>
  </si>
  <si>
    <t>Lehtimäentie 4 C</t>
  </si>
  <si>
    <t>Kyösti Pirkkala</t>
  </si>
  <si>
    <t>4503</t>
  </si>
  <si>
    <t>Talasmäki LKV</t>
  </si>
  <si>
    <t>https://talasmakilkv.fi/</t>
  </si>
  <si>
    <t>Kyösti</t>
  </si>
  <si>
    <t>80511976</t>
  </si>
  <si>
    <t>https://d3ls91xgksobn.cloudfront.net/400x300/etuovimedia/images/property/import/234/2609234/0e76b9541118d347871c0e0e51d244c4/339017be6bef498d340cff1588bc00df/ORIGINAL.jpeg</t>
  </si>
  <si>
    <t>https://d3ls91xgksobn.cloudfront.net/1200x900/etuovimedia/images/property/import/234/2609234/0e76b9541118d347871c0e0e51d244c4/339017be6bef498d340cff1588bc00df/ORIGINAL.jpeg</t>
  </si>
  <si>
    <t>2609234</t>
  </si>
  <si>
    <t>https://www.etuovi.com/kohde/80511976</t>
  </si>
  <si>
    <t>145 000 €</t>
  </si>
  <si>
    <t>2h + k + wc + s + piha</t>
  </si>
  <si>
    <t>2026-06-10T14:03:43.208Z</t>
  </si>
  <si>
    <t>Row House (Rivitalo) — 2h + k + wc + s + piha — 62.5 m² — Kyösti Pirkkala</t>
  </si>
  <si>
    <t>Saniaistie 12 C Tapanila Helsinki</t>
  </si>
  <si>
    <t>Saniaistie 12 C</t>
  </si>
  <si>
    <t>Tapanila Helsinki</t>
  </si>
  <si>
    <t>Tapanila</t>
  </si>
  <si>
    <t>80511438</t>
  </si>
  <si>
    <t>https://d3ls91xgksobn.cloudfront.net/400x300/etuovimedia/images/property/import/232/2609232/0e76b9541118d347871c0e0e51d244c4/217edd2ba3d5c39c035459b330bbad63/ORIGINAL.jpeg</t>
  </si>
  <si>
    <t>https://d3ls91xgksobn.cloudfront.net/1200x900/etuovimedia/images/property/import/232/2609232/0e76b9541118d347871c0e0e51d244c4/217edd2ba3d5c39c035459b330bbad63/ORIGINAL.jpeg</t>
  </si>
  <si>
    <t>2609232</t>
  </si>
  <si>
    <t>https://www.etuovi.com/kohde/80511438</t>
  </si>
  <si>
    <t>4 h, k, kph, erill. wc, vh, lasitettu parveke</t>
  </si>
  <si>
    <t>2026-06-10T14:03:43.251Z</t>
  </si>
  <si>
    <t>Apartment (Kerrostalo) — 4 h, k, kph, erill. wc, vh, lasitettu parveke — 83 m² — Tapanila Helsinki</t>
  </si>
  <si>
    <t>Sairaalakatu 6 Keskusta Kuopio</t>
  </si>
  <si>
    <t>Sairaalakatu 6</t>
  </si>
  <si>
    <t>20304438</t>
  </si>
  <si>
    <t>https://d3ls91xgksobn.cloudfront.net/400x300/etuovimedia/images/property/import/231/2609231/0e76b9541118d347871c0e0e51d244c4/41548d2624c6f0197013ab9f1c07f86f/ORIGINAL.jpeg</t>
  </si>
  <si>
    <t>https://d3ls91xgksobn.cloudfront.net/1200x900/etuovimedia/images/property/import/231/2609231/0e76b9541118d347871c0e0e51d244c4/41548d2624c6f0197013ab9f1c07f86f/ORIGINAL.jpeg</t>
  </si>
  <si>
    <t>2609231</t>
  </si>
  <si>
    <t>https://www.etuovi.com/kohde/20304438</t>
  </si>
  <si>
    <t>410 000 €</t>
  </si>
  <si>
    <t>2026-06-10T14:03:43.301Z</t>
  </si>
  <si>
    <t>Apartment (Kerrostalo) — 4h + k + s — 105 m² — Keskusta Kuopio</t>
  </si>
  <si>
    <t>Koskitie 1 Kuhmo</t>
  </si>
  <si>
    <t>Koskitie 1</t>
  </si>
  <si>
    <t>3885</t>
  </si>
  <si>
    <t>Helmi LKV</t>
  </si>
  <si>
    <t>https://www.helmilkv.fi/</t>
  </si>
  <si>
    <t>67271779</t>
  </si>
  <si>
    <t>https://d3ls91xgksobn.cloudfront.net/400x300/etuovimedia/images/property/import/228/2609228/0e76b9541118d347871c0e0e51d244c4/0c4682fd4a4581de9ac964950a324bc7/ORIGINAL.jpeg</t>
  </si>
  <si>
    <t>https://d3ls91xgksobn.cloudfront.net/1200x900/etuovimedia/images/property/import/228/2609228/0e76b9541118d347871c0e0e51d244c4/0c4682fd4a4581de9ac964950a324bc7/ORIGINAL.jpeg</t>
  </si>
  <si>
    <t>2609228</t>
  </si>
  <si>
    <t>https://www.etuovi.com/kohde/67271779</t>
  </si>
  <si>
    <t>2026-06-10T14:03:43.352Z</t>
  </si>
  <si>
    <t>Apartment (Kerrostalo) — 2h + k + s — 52.5 m² — Kuhmo</t>
  </si>
  <si>
    <t>Varisselänkatu 21b Palosaari Vaasa</t>
  </si>
  <si>
    <t>Varisselänkatu 21b</t>
  </si>
  <si>
    <t>Palosaari Vaasa</t>
  </si>
  <si>
    <t>3907</t>
  </si>
  <si>
    <t>Kokkolan Kotijoukkue | KJ Kokkola Oy</t>
  </si>
  <si>
    <t>Palosaari</t>
  </si>
  <si>
    <t>53172102</t>
  </si>
  <si>
    <t>https://d3ls91xgksobn.cloudfront.net/400x300/etuovimedia/images/property/import/226/2609226/0e76b9541118d347871c0e0e51d244c4/2573cc1b1239bfed2cb14d5689a0ecf6/ORIGINAL.jpeg</t>
  </si>
  <si>
    <t>https://d3ls91xgksobn.cloudfront.net/1200x900/etuovimedia/images/property/import/226/2609226/0e76b9541118d347871c0e0e51d244c4/2573cc1b1239bfed2cb14d5689a0ecf6/ORIGINAL.jpeg</t>
  </si>
  <si>
    <t>2609226</t>
  </si>
  <si>
    <t>https://www.etuovi.com/kohde/53172102</t>
  </si>
  <si>
    <t>2h, s, kk</t>
  </si>
  <si>
    <t>2026-06-10T14:03:43.364Z</t>
  </si>
  <si>
    <t>Apartment (Kerrostalo) — 2h, s, kk — 43 m² — Palosaari Vaasa</t>
  </si>
  <si>
    <t>59153152</t>
  </si>
  <si>
    <t>https://d3ls91xgksobn.cloudfront.net/400x300/etuovimedia/images/property/import/224/2609224/0e76b9541118d347871c0e0e51d244c4/1a7554b595a2b3e991712d1df626c3c8/ORIGINAL.jpeg</t>
  </si>
  <si>
    <t>https://d3ls91xgksobn.cloudfront.net/1200x900/etuovimedia/images/property/import/224/2609224/0e76b9541118d347871c0e0e51d244c4/1a7554b595a2b3e991712d1df626c3c8/ORIGINAL.jpeg</t>
  </si>
  <si>
    <t>2609224</t>
  </si>
  <si>
    <t>https://www.etuovi.com/kohde/59153152</t>
  </si>
  <si>
    <t>2026-06-10T14:03:43.390Z</t>
  </si>
  <si>
    <t>Apartment (Kerrostalo) — 4h + k + s — 104 m² — Kuhmo</t>
  </si>
  <si>
    <t>Hembontie 4 Alaveteli Kruunupyy</t>
  </si>
  <si>
    <t>Hembontie 4</t>
  </si>
  <si>
    <t>Alaveteli Kruunupyy</t>
  </si>
  <si>
    <t>2046</t>
  </si>
  <si>
    <t>Averanda LKV</t>
  </si>
  <si>
    <t>Alaveteli</t>
  </si>
  <si>
    <t>56060703</t>
  </si>
  <si>
    <t>https://d3ls91xgksobn.cloudfront.net/400x300/etuovimedia/images/property/import/221/2609221/0e76b9541118d347871c0e0e51d244c4/472b288366e7efcc0765f94e9f97f587/ORIGINAL.jpeg</t>
  </si>
  <si>
    <t>https://d3ls91xgksobn.cloudfront.net/1200x900/etuovimedia/images/property/import/221/2609221/0e76b9541118d347871c0e0e51d244c4/472b288366e7efcc0765f94e9f97f587/ORIGINAL.jpeg</t>
  </si>
  <si>
    <t>2609221</t>
  </si>
  <si>
    <t>https://www.etuovi.com/kohde/56060703</t>
  </si>
  <si>
    <t>10 000 €</t>
  </si>
  <si>
    <t>Kolme rivitaloa; yhteensä 17 rivitaloasuntoa (1h + k, 2h + k, 3h + k)</t>
  </si>
  <si>
    <t>2026-06-10T14:03:43.408Z</t>
  </si>
  <si>
    <t>Row House (Rivitalo) — Kolme rivitaloa; yhteensä 17 rivitaloasuntoa (1h + k, 2h + k, 3h + k) — 976 m² — Alaveteli Kruunupyy</t>
  </si>
  <si>
    <t>Merkkisoitontie 2 F 17 Hiukkavaara Oulu</t>
  </si>
  <si>
    <t>Merkkisoitontie 2 F 17</t>
  </si>
  <si>
    <t>43916144</t>
  </si>
  <si>
    <t>https://d3ls91xgksobn.cloudfront.net/400x300/etuovimedia/images/property/import/219/2609219/0e76b9541118d347871c0e0e51d244c4/391032c3fa4e58580f0701de9aac5c8a/ORIGINAL.jpeg</t>
  </si>
  <si>
    <t>https://d3ls91xgksobn.cloudfront.net/1200x900/etuovimedia/images/property/import/219/2609219/0e76b9541118d347871c0e0e51d244c4/391032c3fa4e58580f0701de9aac5c8a/ORIGINAL.jpeg</t>
  </si>
  <si>
    <t>2609219</t>
  </si>
  <si>
    <t>https://www.etuovi.com/kohde/43916144</t>
  </si>
  <si>
    <t>205 000 €</t>
  </si>
  <si>
    <t>3h, k, kph, s, wc, terassi, var, ak</t>
  </si>
  <si>
    <t>2026-06-10T14:03:43.462Z</t>
  </si>
  <si>
    <t>Row House (Rivitalo) — 3h, k, kph, s, wc, terassi, var, ak — 58.5 m² — Hiukkavaara Oulu</t>
  </si>
  <si>
    <t>Pinninkatu 42 Tammela Tampere</t>
  </si>
  <si>
    <t>Pinninkatu 42</t>
  </si>
  <si>
    <t>Tammela Tampere</t>
  </si>
  <si>
    <t>1094</t>
  </si>
  <si>
    <t>Kiinteistömaailma Tampere Sammonkatu | Asunto Pirkanmaa Oy</t>
  </si>
  <si>
    <t>Kaj Foudila</t>
  </si>
  <si>
    <t>Tammela</t>
  </si>
  <si>
    <t>53682191</t>
  </si>
  <si>
    <t>https://d3ls91xgksobn.cloudfront.net/400x300/etuovimedia/images/property/import/215/2609215/0e76b9541118d347871c0e0e51d244c4/69e2964a347d0aaa7cf6ce344a81c91b/ORIGINAL.jpeg</t>
  </si>
  <si>
    <t>https://d3ls91xgksobn.cloudfront.net/1200x900/etuovimedia/images/property/import/215/2609215/0e76b9541118d347871c0e0e51d244c4/69e2964a347d0aaa7cf6ce344a81c91b/ORIGINAL.jpeg</t>
  </si>
  <si>
    <t>https://d3ls91xgksobn.cloudfront.net/1200x900/etuovimedia/images/property/import/215/2609215/0e76b9541118d347871c0e0e51d244c4/271d3cb428b647bcb16fa00b378b9155/ORIGINAL.jpeg</t>
  </si>
  <si>
    <t>https://d3ls91xgksobn.cloudfront.net/1200x900/etuovimedia/images/property/import/215/2609215/0e76b9541118d347871c0e0e51d244c4/72ef6bd87733f6b6da17b7586b73599f/ORIGINAL.jpeg</t>
  </si>
  <si>
    <t>2609215</t>
  </si>
  <si>
    <t>https://www.etuovi.com/kohde/53682191</t>
  </si>
  <si>
    <t>140 000 €</t>
  </si>
  <si>
    <t>2h, kk, kph / wc, vh, lasit.p.</t>
  </si>
  <si>
    <t>2026-06-10T14:03:43.496Z</t>
  </si>
  <si>
    <t>Apartment (Kerrostalo) — 2h, kk, kph / wc, vh, lasit.p. — 43 m² — Tammela Tampere</t>
  </si>
  <si>
    <t>Safiirikuja 7 A 37 Kivistö Vantaa</t>
  </si>
  <si>
    <t>Safiirikuja 7 A 37</t>
  </si>
  <si>
    <t>ew6248</t>
  </si>
  <si>
    <t>https://d3ls91xgksobn.cloudfront.net/400x300/etuovimedia/images/property/import/365/2536365/0e76b9541118d347871c0e0e51d244c4/aad1c74692ca5af850e6c431ad1df06f/ORIGINAL.jpeg</t>
  </si>
  <si>
    <t>https://d3ls91xgksobn.cloudfront.net/1200x900/etuovimedia/images/property/import/365/2536365/0e76b9541118d347871c0e0e51d244c4/aad1c74692ca5af850e6c431ad1df06f/ORIGINAL.jpeg</t>
  </si>
  <si>
    <t>2536365</t>
  </si>
  <si>
    <t>https://www.etuovi.com/kohde/ew6248</t>
  </si>
  <si>
    <t>Petri Markus</t>
  </si>
  <si>
    <t>3h + kt + kph + s + p</t>
  </si>
  <si>
    <t>2026-06-10T14:03:43.551Z</t>
  </si>
  <si>
    <t>Apartment (Kerrostalo) — 3h + kt + kph + s + p — 61 m² — Kivistö Vantaa</t>
  </si>
  <si>
    <t>Pyhtäänkorventie 12a Aviapolis Vantaa</t>
  </si>
  <si>
    <t>Pyhtäänkorventie 12a</t>
  </si>
  <si>
    <t>Aviapolis Vantaa</t>
  </si>
  <si>
    <t>Aviapolis</t>
  </si>
  <si>
    <t>57995581</t>
  </si>
  <si>
    <t>https://d3ls91xgksobn.cloudfront.net/400x300/etuovimedia/images/property/import/213/2609213/0e76b9541118d347871c0e0e51d244c4/545660e3a5d40717898b1ec1e7100aae/ORIGINAL.jpeg</t>
  </si>
  <si>
    <t>https://d3ls91xgksobn.cloudfront.net/1200x900/etuovimedia/images/property/import/213/2609213/0e76b9541118d347871c0e0e51d244c4/545660e3a5d40717898b1ec1e7100aae/ORIGINAL.jpeg</t>
  </si>
  <si>
    <t>2609213</t>
  </si>
  <si>
    <t>https://www.etuovi.com/kohde/57995581</t>
  </si>
  <si>
    <t>279 800 €</t>
  </si>
  <si>
    <t>4H + KT + S + WC + PARVEKE</t>
  </si>
  <si>
    <t>2026-06-10T14:03:43.567Z</t>
  </si>
  <si>
    <t>Apartment (Kerrostalo) — 4H + KT + S + WC + PARVEKE — 73 m² — Aviapolis Vantaa</t>
  </si>
  <si>
    <t>Suuntima 1 C 14 Kiviniemi Oulu</t>
  </si>
  <si>
    <t>Suuntima 1 C 14</t>
  </si>
  <si>
    <t>62748633</t>
  </si>
  <si>
    <t>https://d3ls91xgksobn.cloudfront.net/400x300/etuovimedia/images/property/import/336/2453336/0e76b9541118d347871c0e0e51d244c4/6e06c5d880a3f75af817b000dcd95ea4/ORIGINAL.jpeg</t>
  </si>
  <si>
    <t>https://d3ls91xgksobn.cloudfront.net/1200x900/etuovimedia/images/property/import/336/2453336/0e76b9541118d347871c0e0e51d244c4/6e06c5d880a3f75af817b000dcd95ea4/ORIGINAL.jpeg</t>
  </si>
  <si>
    <t>2453336</t>
  </si>
  <si>
    <t>https://www.etuovi.com/kohde/62748633</t>
  </si>
  <si>
    <t>2026-01-23</t>
  </si>
  <si>
    <t>2026-06-10T14:03:43.580Z</t>
  </si>
  <si>
    <t>SEPARATE_HOUSE — 3h, k, vh, kph, s, wc, khh, terassi, var, ak — 81 m² — Kiviniemi Oulu</t>
  </si>
  <si>
    <t>Samoilijantie 5 Puijonlaakso Kuopio</t>
  </si>
  <si>
    <t>Samoilijantie 5</t>
  </si>
  <si>
    <t>21000697</t>
  </si>
  <si>
    <t>https://d3ls91xgksobn.cloudfront.net/400x300/etuovimedia/images/property/import/211/2609211/0e76b9541118d347871c0e0e51d244c4/3a6fadf67ee693899dbd25a7cb843b47/ORIGINAL.jpeg</t>
  </si>
  <si>
    <t>https://d3ls91xgksobn.cloudfront.net/1200x900/etuovimedia/images/property/import/211/2609211/0e76b9541118d347871c0e0e51d244c4/3a6fadf67ee693899dbd25a7cb843b47/ORIGINAL.jpeg</t>
  </si>
  <si>
    <t>2609211</t>
  </si>
  <si>
    <t>https://www.etuovi.com/kohde/21000697</t>
  </si>
  <si>
    <t>196 000 €</t>
  </si>
  <si>
    <t>5h + k + s</t>
  </si>
  <si>
    <t>2026-06-10T14:03:43.693Z</t>
  </si>
  <si>
    <t>Row House (Rivitalo) — 5h + k + s — 125 m² — Puijonlaakso Kuopio</t>
  </si>
  <si>
    <t>Kempeleenkuja 6 Etu-Lyötty, Limingantulli Oulu</t>
  </si>
  <si>
    <t>Kempeleenkuja 6</t>
  </si>
  <si>
    <t>Etu-Lyötty, Limingantulli Oulu</t>
  </si>
  <si>
    <t>1374</t>
  </si>
  <si>
    <t>alku LKV</t>
  </si>
  <si>
    <t>http://www.alkulkv.fi/</t>
  </si>
  <si>
    <t>Etu-Lyötty, Limingantulli</t>
  </si>
  <si>
    <t>20575763</t>
  </si>
  <si>
    <t>https://d3ls91xgksobn.cloudfront.net/400x300/etuovimedia/images/property/import/210/2609210/0e76b9541118d347871c0e0e51d244c4/14026615eac2a433cc9dc5c8dc0dcdad/ORIGINAL.jpeg</t>
  </si>
  <si>
    <t>https://d3ls91xgksobn.cloudfront.net/1200x900/etuovimedia/images/property/import/210/2609210/0e76b9541118d347871c0e0e51d244c4/14026615eac2a433cc9dc5c8dc0dcdad/ORIGINAL.jpeg</t>
  </si>
  <si>
    <t>2609210</t>
  </si>
  <si>
    <t>https://www.etuovi.com/kohde/20575763</t>
  </si>
  <si>
    <t>228 000 €</t>
  </si>
  <si>
    <t>3h, k, kph, s, wc, las.parveke</t>
  </si>
  <si>
    <t>2026-06-10T14:03:43.732Z</t>
  </si>
  <si>
    <t>Apartment (Kerrostalo) — 3h, k, kph, s, wc, las.parveke — 56.5 m² — Etu-Lyötty, Limingantulli Oulu</t>
  </si>
  <si>
    <t>Suuntima 1 B 8 Kiviniemi Oulu</t>
  </si>
  <si>
    <t>Suuntima 1 B 8</t>
  </si>
  <si>
    <t>69468254</t>
  </si>
  <si>
    <t>https://d3ls91xgksobn.cloudfront.net/400x300/etuovimedia/images/property/import/208/2609208/0e76b9541118d347871c0e0e51d244c4/f621fdbceaf9f5e89fd4a8db52c8fa6a/ORIGINAL.jpeg</t>
  </si>
  <si>
    <t>https://d3ls91xgksobn.cloudfront.net/1200x900/etuovimedia/images/property/import/208/2609208/0e76b9541118d347871c0e0e51d244c4/f621fdbceaf9f5e89fd4a8db52c8fa6a/ORIGINAL.jpeg</t>
  </si>
  <si>
    <t>2609208</t>
  </si>
  <si>
    <t>https://www.etuovi.com/kohde/69468254</t>
  </si>
  <si>
    <t>2h, k, kph, s, terassi, var, ak</t>
  </si>
  <si>
    <t>2026-06-10T14:03:43.807Z</t>
  </si>
  <si>
    <t>Row House (Rivitalo) — 2h, k, kph, s, terassi, var, ak — 56.5 m² — Kiviniemi Oulu</t>
  </si>
  <si>
    <t>Kylätie 16 C Nummi Hämeenlinna</t>
  </si>
  <si>
    <t>Kylätie 16 C</t>
  </si>
  <si>
    <t>Nummi Hämeenlinna</t>
  </si>
  <si>
    <t>700</t>
  </si>
  <si>
    <t>Autiotalot LKV</t>
  </si>
  <si>
    <t>http://www.autiotalot.fi/</t>
  </si>
  <si>
    <t>Harri Myllylä</t>
  </si>
  <si>
    <t>80514509</t>
  </si>
  <si>
    <t>https://d3ls91xgksobn.cloudfront.net/400x300/etuovimedia/images/property/import/205/2609205/0e76b9541118d347871c0e0e51d244c4/d7500d1f7e5cf0fe1272fa3d6acd3164/ORIGINAL.jpeg</t>
  </si>
  <si>
    <t>https://d3ls91xgksobn.cloudfront.net/1200x900/etuovimedia/images/property/import/205/2609205/0e76b9541118d347871c0e0e51d244c4/d7500d1f7e5cf0fe1272fa3d6acd3164/ORIGINAL.jpeg</t>
  </si>
  <si>
    <t>https://d3ls91xgksobn.cloudfront.net/1200x900/etuovimedia/images/property/import/205/2609205/0e76b9541118d347871c0e0e51d244c4/8d5f9837da90d1cd8fc02d4088ae94ee/ORIGINAL.jpeg</t>
  </si>
  <si>
    <t>https://d3ls91xgksobn.cloudfront.net/1200x900/etuovimedia/images/property/import/205/2609205/0e76b9541118d347871c0e0e51d244c4/6225b74863030dfb6c5f998e8271950c/ORIGINAL.jpeg</t>
  </si>
  <si>
    <t>2609205</t>
  </si>
  <si>
    <t>https://www.etuovi.com/kohde/80514509</t>
  </si>
  <si>
    <t>52 500 €</t>
  </si>
  <si>
    <t>2h + kk + vh + et</t>
  </si>
  <si>
    <t>2026-06-10T14:03:43.847Z</t>
  </si>
  <si>
    <t>Apartment (Kerrostalo) — 2h + kk + vh + et — 53.5 m² — Nummi Hämeenlinna</t>
  </si>
  <si>
    <t>Palkkikatu 3 Hiidensalmi Lohja</t>
  </si>
  <si>
    <t>Palkkikatu 3</t>
  </si>
  <si>
    <t>Hiidensalmi Lohja</t>
  </si>
  <si>
    <t>3361</t>
  </si>
  <si>
    <t>Kiinteistönvälitys Riitta Väänänen LKV</t>
  </si>
  <si>
    <t>https://www.krv-lkv.fi/</t>
  </si>
  <si>
    <t>Riitta Väänänen</t>
  </si>
  <si>
    <t>Hiidensalmi</t>
  </si>
  <si>
    <t>80514433</t>
  </si>
  <si>
    <t>https://d3ls91xgksobn.cloudfront.net/400x300/etuovimedia/images/property/import/204/2609204/0e76b9541118d347871c0e0e51d244c4/e560834fe10fc8767f043818a633ab84/ORIGINAL.jpeg</t>
  </si>
  <si>
    <t>https://d3ls91xgksobn.cloudfront.net/1200x900/etuovimedia/images/property/import/204/2609204/0e76b9541118d347871c0e0e51d244c4/e560834fe10fc8767f043818a633ab84/ORIGINAL.jpeg</t>
  </si>
  <si>
    <t>https://d3ls91xgksobn.cloudfront.net/1200x900/etuovimedia/images/property/import/204/2609204/0e76b9541118d347871c0e0e51d244c4/2163483ed5bc3e71f0c9c7393814cf00/ORIGINAL.jpeg</t>
  </si>
  <si>
    <t>https://d3ls91xgksobn.cloudfront.net/1200x900/etuovimedia/images/property/import/204/2609204/0e76b9541118d347871c0e0e51d244c4/fddc947c67a1bd1af85ec86be26cb2f7/ORIGINAL.jpeg</t>
  </si>
  <si>
    <t>2609204</t>
  </si>
  <si>
    <t>https://www.etuovi.com/kohde/80514433</t>
  </si>
  <si>
    <t>598 000 €</t>
  </si>
  <si>
    <t>6h, k, lasitettu terassi, pihasauna, autokatos, lämmin varasto</t>
  </si>
  <si>
    <t>2026-06-10T14:03:43.922Z</t>
  </si>
  <si>
    <t>Detached House (Omakotitalo) — 6h, k, lasitettu terassi, pihasauna, autokatos, lämmin varasto — 185 m² — Hiidensalmi Lohja</t>
  </si>
  <si>
    <t>Iivisniemenkatu 4 E Iivisniemi, Finnoo Espoo</t>
  </si>
  <si>
    <t>Iivisniemenkatu 4 E</t>
  </si>
  <si>
    <t>Iivisniemi, Finnoo Espoo</t>
  </si>
  <si>
    <t>3339</t>
  </si>
  <si>
    <t>ROOF LKV Espoo Oy</t>
  </si>
  <si>
    <t>Iivisniemi, Finnoo</t>
  </si>
  <si>
    <t>80496335</t>
  </si>
  <si>
    <t>https://d3ls91xgksobn.cloudfront.net/400x300/etuovimedia/images/property/import/721/2537721/0e76b9541118d347871c0e0e51d244c4/0dbc514a07939f15a227737c60a2c8c2/ORIGINAL.jpeg</t>
  </si>
  <si>
    <t>https://d3ls91xgksobn.cloudfront.net/1200x900/etuovimedia/images/property/import/721/2537721/0e76b9541118d347871c0e0e51d244c4/0dbc514a07939f15a227737c60a2c8c2/ORIGINAL.jpeg</t>
  </si>
  <si>
    <t>2537721</t>
  </si>
  <si>
    <t>https://www.etuovi.com/kohde/80496335</t>
  </si>
  <si>
    <t>2026-04-12</t>
  </si>
  <si>
    <t>PUTKIREMONTOITU, 3h, k, kph, et, las.parv</t>
  </si>
  <si>
    <t>2026-06-10T14:03:43.966Z</t>
  </si>
  <si>
    <t>Apartment (Kerrostalo) — PUTKIREMONTOITU, 3h, k, kph, et, las.parv — 62 m² — Iivisniemi, Finnoo Espoo</t>
  </si>
  <si>
    <t>Harjukuja 13 A Marttila Sastamala</t>
  </si>
  <si>
    <t>Harjukuja 13 A</t>
  </si>
  <si>
    <t>Marttila Sastamala</t>
  </si>
  <si>
    <t>Ville Heinonen</t>
  </si>
  <si>
    <t>Marttila</t>
  </si>
  <si>
    <t>80510899</t>
  </si>
  <si>
    <t>https://d3ls91xgksobn.cloudfront.net/400x300/etuovimedia/images/property/import/203/2609203/0e76b9541118d347871c0e0e51d244c4/12072c4a2424ba0f93dd406e36623687/ORIGINAL.jpeg</t>
  </si>
  <si>
    <t>https://d3ls91xgksobn.cloudfront.net/1200x900/etuovimedia/images/property/import/203/2609203/0e76b9541118d347871c0e0e51d244c4/12072c4a2424ba0f93dd406e36623687/ORIGINAL.jpeg</t>
  </si>
  <si>
    <t>https://d3ls91xgksobn.cloudfront.net/1200x900/etuovimedia/images/property/import/203/2609203/0e76b9541118d347871c0e0e51d244c4/4f609cf5dbba93a48af2a38a3e92e83a/ORIGINAL.jpeg</t>
  </si>
  <si>
    <t>https://d3ls91xgksobn.cloudfront.net/1200x900/etuovimedia/images/property/import/203/2609203/0e76b9541118d347871c0e0e51d244c4/f597297bacfc7434cf27d4f4778d5c83/ORIGINAL.jpeg</t>
  </si>
  <si>
    <t>2609203</t>
  </si>
  <si>
    <t>https://www.etuovi.com/kohde/80510899</t>
  </si>
  <si>
    <t>134 000 €</t>
  </si>
  <si>
    <t>4h, k, s, ph, at</t>
  </si>
  <si>
    <t>2026-06-10T14:03:44.051Z</t>
  </si>
  <si>
    <t>Row House (Rivitalo) — 4h, k, s, ph, at — 98.5 m² — Marttila Sastamala</t>
  </si>
  <si>
    <t>Härkönevantie 5 A Palopää Outokumpu</t>
  </si>
  <si>
    <t>Härkönevantie 5 A</t>
  </si>
  <si>
    <t>Palopää Outokumpu</t>
  </si>
  <si>
    <t>Karjalan Kiinteistöpalvelu Oy</t>
  </si>
  <si>
    <t>Palopää</t>
  </si>
  <si>
    <t>21579604</t>
  </si>
  <si>
    <t>https://d3ls91xgksobn.cloudfront.net/400x300/etuovimedia/images/property/import/201/2609201/0e76b9541118d347871c0e0e51d244c4/f18632f9cdef098e53952c7cefbd2fb5/ORIGINAL.jpeg</t>
  </si>
  <si>
    <t>https://d3ls91xgksobn.cloudfront.net/1200x900/etuovimedia/images/property/import/201/2609201/0e76b9541118d347871c0e0e51d244c4/f18632f9cdef098e53952c7cefbd2fb5/ORIGINAL.jpeg</t>
  </si>
  <si>
    <t>2609201</t>
  </si>
  <si>
    <t>https://www.etuovi.com/kohde/21579604</t>
  </si>
  <si>
    <t>30 000 €</t>
  </si>
  <si>
    <t>k + 2 mh + oh + s + kylpyh. + vaateh. + khh + wc + s</t>
  </si>
  <si>
    <t>2026-06-10T14:03:44.084Z</t>
  </si>
  <si>
    <t>Detached House (Omakotitalo) — k + 2 mh + oh + s + kylpyh. + vaateh. + khh + wc + s — 198 m² — Palopää Outokumpu</t>
  </si>
  <si>
    <t>Paraistentie 12 as Keskusta Kaarina</t>
  </si>
  <si>
    <t>Paraistentie 12 as</t>
  </si>
  <si>
    <t>Keskusta Kaarina</t>
  </si>
  <si>
    <t>Anne Backman</t>
  </si>
  <si>
    <t>620988</t>
  </si>
  <si>
    <t>https://d3ls91xgksobn.cloudfront.net/400x300/etuovimedia/images/property/import/196/2609196/0e76b9541118d347871c0e0e51d244c4/825ebe048a856b15a5340d2670a4851c/ORIGINAL.jpeg</t>
  </si>
  <si>
    <t>https://d3ls91xgksobn.cloudfront.net/1200x900/etuovimedia/images/property/import/196/2609196/0e76b9541118d347871c0e0e51d244c4/825ebe048a856b15a5340d2670a4851c/ORIGINAL.jpeg</t>
  </si>
  <si>
    <t>https://d3ls91xgksobn.cloudfront.net/1200x900/etuovimedia/images/property/import/196/2609196/0e76b9541118d347871c0e0e51d244c4/8eaea7918eeba9d9ddc60c513d7d1870/ORIGINAL.jpeg</t>
  </si>
  <si>
    <t>https://d3ls91xgksobn.cloudfront.net/1200x900/etuovimedia/images/property/import/196/2609196/0e76b9541118d347871c0e0e51d244c4/3e6dec76ca5a77dd93a8d925306a3f60/ORIGINAL.jpeg</t>
  </si>
  <si>
    <t>2609196</t>
  </si>
  <si>
    <t>https://www.etuovi.com/kohde/620988</t>
  </si>
  <si>
    <t>124 000 €</t>
  </si>
  <si>
    <t>1h + tk + s</t>
  </si>
  <si>
    <t>2026-06-10T14:03:44.202Z</t>
  </si>
  <si>
    <t>Apartment (Kerrostalo) — 1h + tk + s — 41 m² — Keskusta Kaarina</t>
  </si>
  <si>
    <t>Maijanniitynkatu 6 Holvasti Tampere</t>
  </si>
  <si>
    <t>Maijanniitynkatu 6</t>
  </si>
  <si>
    <t>Holvasti Tampere</t>
  </si>
  <si>
    <t>Jesse Ouni</t>
  </si>
  <si>
    <t>1986</t>
  </si>
  <si>
    <t>Holvasti</t>
  </si>
  <si>
    <t>620865</t>
  </si>
  <si>
    <t>https://d3ls91xgksobn.cloudfront.net/400x300/etuovimedia/images/property/import/195/2609195/0e76b9541118d347871c0e0e51d244c4/bdadf93e6c2ee5b2bc426857cf97d43f/ORIGINAL.jpeg</t>
  </si>
  <si>
    <t>https://d3ls91xgksobn.cloudfront.net/1200x900/etuovimedia/images/property/import/195/2609195/0e76b9541118d347871c0e0e51d244c4/bdadf93e6c2ee5b2bc426857cf97d43f/ORIGINAL.jpeg</t>
  </si>
  <si>
    <t>https://d3ls91xgksobn.cloudfront.net/1200x900/etuovimedia/images/property/import/195/2609195/0e76b9541118d347871c0e0e51d244c4/e478059779df6c6140b0cca64c7d020c/ORIGINAL.jpeg</t>
  </si>
  <si>
    <t>2609195</t>
  </si>
  <si>
    <t>https://www.etuovi.com/kohde/620865</t>
  </si>
  <si>
    <t>2h + k + rt + kph / s + wc + vh + terassi + var</t>
  </si>
  <si>
    <t>2026-06-10T14:03:44.218Z</t>
  </si>
  <si>
    <t>Row House (Rivitalo) — 2h + k + rt + kph / s + wc + vh + terassi + var — 61.5 m² — Holvasti Tampere</t>
  </si>
  <si>
    <t>Kuninkaantie 33 Hornhattula-Johannes Porvoo</t>
  </si>
  <si>
    <t>Kuninkaantie 33</t>
  </si>
  <si>
    <t>Hornhattula-Johannes Porvoo</t>
  </si>
  <si>
    <t>3375</t>
  </si>
  <si>
    <t>OP Koti Uusimaa Oy LKV, Porvoo</t>
  </si>
  <si>
    <t>Jukka Karppinen</t>
  </si>
  <si>
    <t>Hornhattula-Johannes</t>
  </si>
  <si>
    <t>620701</t>
  </si>
  <si>
    <t>https://d3ls91xgksobn.cloudfront.net/400x300/etuovimedia/images/property/import/193/2609193/0e76b9541118d347871c0e0e51d244c4/7f2dbe4edcc00ffb45837cf118d9043c/ORIGINAL.jpeg</t>
  </si>
  <si>
    <t>https://d3ls91xgksobn.cloudfront.net/1200x900/etuovimedia/images/property/import/193/2609193/0e76b9541118d347871c0e0e51d244c4/7f2dbe4edcc00ffb45837cf118d9043c/ORIGINAL.jpeg</t>
  </si>
  <si>
    <t>https://d3ls91xgksobn.cloudfront.net/1200x900/etuovimedia/images/property/import/193/2609193/0e76b9541118d347871c0e0e51d244c4/ef8b7d798f2e3dee284b2f6e3568810a/ORIGINAL.jpeg</t>
  </si>
  <si>
    <t>https://d3ls91xgksobn.cloudfront.net/1200x900/etuovimedia/images/property/import/193/2609193/0e76b9541118d347871c0e0e51d244c4/9cc196220b1ae1089b320dbd26e78176/ORIGINAL.jpeg</t>
  </si>
  <si>
    <t>2609193</t>
  </si>
  <si>
    <t>https://www.etuovi.com/kohde/620701</t>
  </si>
  <si>
    <t>215 000 €</t>
  </si>
  <si>
    <t>2mh, oh, k, 2kph, s, wc, pukuhuone, vh</t>
  </si>
  <si>
    <t>2026-06-10T14:03:44.279Z</t>
  </si>
  <si>
    <t>Detached House (Omakotitalo) — 2mh, oh, k, 2kph, s, wc, pukuhuone, vh — 112 m² — Hornhattula-Johannes Porvoo</t>
  </si>
  <si>
    <t>Jatasalmentie 6 B Tammisalo Helsinki</t>
  </si>
  <si>
    <t>Jatasalmentie 6 B</t>
  </si>
  <si>
    <t>Tammisalo Helsinki</t>
  </si>
  <si>
    <t>3054</t>
  </si>
  <si>
    <t>OP Koti Uusimaa Oy LKV, Mikonkatu</t>
  </si>
  <si>
    <t>Sanna-Leena Peltonen</t>
  </si>
  <si>
    <t>Tammisalo</t>
  </si>
  <si>
    <t>620270</t>
  </si>
  <si>
    <t>https://d3ls91xgksobn.cloudfront.net/400x300/etuovimedia/images/property/import/191/2609191/0e76b9541118d347871c0e0e51d244c4/37089a1874dc4d73d6cbcdb5fa47d4aa/ORIGINAL.jpeg</t>
  </si>
  <si>
    <t>https://d3ls91xgksobn.cloudfront.net/1200x900/etuovimedia/images/property/import/191/2609191/0e76b9541118d347871c0e0e51d244c4/37089a1874dc4d73d6cbcdb5fa47d4aa/ORIGINAL.jpeg</t>
  </si>
  <si>
    <t>https://d3ls91xgksobn.cloudfront.net/1200x900/etuovimedia/images/property/import/191/2609191/0e76b9541118d347871c0e0e51d244c4/058765064dad96fdcba3ae77f2acf69e/ORIGINAL.jpeg</t>
  </si>
  <si>
    <t>2609191</t>
  </si>
  <si>
    <t>https://www.etuovi.com/kohde/620270</t>
  </si>
  <si>
    <t>799 000 €</t>
  </si>
  <si>
    <t>4 h, k, takkah, s-os, ask.tila, khh, apu- ja varastotiloja (yj:4h + k + khh + th + kh + s + 2vh)</t>
  </si>
  <si>
    <t>2026-06-10T14:03:44.319Z</t>
  </si>
  <si>
    <t>Semi-detached (Paritalo) — 4 h, k, takkah, s-os, ask.tila, khh, apu- ja varastotiloja (yj:4h + k + khh + th + kh + s + 2vh) — 254 m² — Tammisalo Helsinki</t>
  </si>
  <si>
    <t>Hirvitie 4 Rästäsmäki Nousiainen</t>
  </si>
  <si>
    <t>Hirvitie 4</t>
  </si>
  <si>
    <t>Rästäsmäki Nousiainen</t>
  </si>
  <si>
    <t>Henrik Haapakoski</t>
  </si>
  <si>
    <t>Rästäsmäki</t>
  </si>
  <si>
    <t>560067</t>
  </si>
  <si>
    <t>https://d3ls91xgksobn.cloudfront.net/400x300/etuovimedia/images/property/import/990/1825990/0e76b9541118d347871c0e0e51d244c4/9bfcd72f8bce01064b9c7ef3c5606fbd/ORIGINAL.jpeg</t>
  </si>
  <si>
    <t>https://d3ls91xgksobn.cloudfront.net/1200x900/etuovimedia/images/property/import/990/1825990/0e76b9541118d347871c0e0e51d244c4/9bfcd72f8bce01064b9c7ef3c5606fbd/ORIGINAL.jpeg</t>
  </si>
  <si>
    <t>https://d3ls91xgksobn.cloudfront.net/1200x900/etuovimedia/images/property/import/990/1825990/0e76b9541118d347871c0e0e51d244c4/f6f062eb41ab843622367a510c3fc0dd/ORIGINAL.jpeg</t>
  </si>
  <si>
    <t>https://d3ls91xgksobn.cloudfront.net/1200x900/etuovimedia/images/property/import/990/1825990/0e76b9541118d347871c0e0e51d244c4/e62f919dabb575b12cdac440aafbec93/ORIGINAL.jpeg</t>
  </si>
  <si>
    <t>1825990</t>
  </si>
  <si>
    <t>https://www.etuovi.com/kohde/560067</t>
  </si>
  <si>
    <t>2023-08-13</t>
  </si>
  <si>
    <t>9-10h + k + 2wc + aula + th + 2kph / wc + s + var + parv + ak + autotalli</t>
  </si>
  <si>
    <t>2026-06-10T14:03:44.357Z</t>
  </si>
  <si>
    <t>Detached House (Omakotitalo) — 9-10h + k + 2wc + aula + th + 2kph / wc + s + var + parv + ak + autotalli — 360 m² — Rästäsmäki Nousiainen</t>
  </si>
  <si>
    <t>Koukkukankareentie 44 as Ruohonpää Turku</t>
  </si>
  <si>
    <t>Koukkukankareentie 44 as</t>
  </si>
  <si>
    <t>Ruohonpää Turku</t>
  </si>
  <si>
    <t>Niina Salo</t>
  </si>
  <si>
    <t>Ruohonpää</t>
  </si>
  <si>
    <t>619194</t>
  </si>
  <si>
    <t>https://d3ls91xgksobn.cloudfront.net/400x300/etuovimedia/images/property/import/190/2609190/0e76b9541118d347871c0e0e51d244c4/d0105274d02a982560b966c3a0ddeec0/ORIGINAL.jpeg</t>
  </si>
  <si>
    <t>https://d3ls91xgksobn.cloudfront.net/1200x900/etuovimedia/images/property/import/190/2609190/0e76b9541118d347871c0e0e51d244c4/d0105274d02a982560b966c3a0ddeec0/ORIGINAL.jpeg</t>
  </si>
  <si>
    <t>https://d3ls91xgksobn.cloudfront.net/1200x900/etuovimedia/images/property/import/190/2609190/0e76b9541118d347871c0e0e51d244c4/419888cabde5e2f5fcb695eef97c6385/ORIGINAL.jpeg</t>
  </si>
  <si>
    <t>2609190</t>
  </si>
  <si>
    <t>https://www.etuovi.com/kohde/619194</t>
  </si>
  <si>
    <t>5h + k + s (yj. 5h + k)</t>
  </si>
  <si>
    <t>2026-06-10T14:03:44.372Z</t>
  </si>
  <si>
    <t>Row House (Rivitalo) — 5h + k + s (yj. 5h + k) — 127 m² — Ruohonpää Turku</t>
  </si>
  <si>
    <t>Myllärintie 31 D Levänen Kuopio</t>
  </si>
  <si>
    <t>Myllärintie 31 D</t>
  </si>
  <si>
    <t>Levänen Kuopio</t>
  </si>
  <si>
    <t>Eino Poutiainen</t>
  </si>
  <si>
    <t>Levänen</t>
  </si>
  <si>
    <t>617595</t>
  </si>
  <si>
    <t>https://d3ls91xgksobn.cloudfront.net/400x300/etuovimedia/images/property/import/187/2609187/0e76b9541118d347871c0e0e51d244c4/cdca008337c88645c2a1c815b0922603/ORIGINAL.jpeg</t>
  </si>
  <si>
    <t>https://d3ls91xgksobn.cloudfront.net/1200x900/etuovimedia/images/property/import/187/2609187/0e76b9541118d347871c0e0e51d244c4/cdca008337c88645c2a1c815b0922603/ORIGINAL.jpeg</t>
  </si>
  <si>
    <t>https://d3ls91xgksobn.cloudfront.net/1200x900/etuovimedia/images/property/import/187/2609187/0e76b9541118d347871c0e0e51d244c4/ec38fa7cbe0a451162e45798c0132aee/ORIGINAL.jpeg</t>
  </si>
  <si>
    <t>2609187</t>
  </si>
  <si>
    <t>https://www.etuovi.com/kohde/617595</t>
  </si>
  <si>
    <t>2026-06-10T14:03:44.461Z</t>
  </si>
  <si>
    <t>Row House (Rivitalo) — 3h, k, s — 81 m² — Levänen Kuopio</t>
  </si>
  <si>
    <t>Karjalankatu 1 As Keskusta, Paavola Lahti</t>
  </si>
  <si>
    <t>Karjalankatu 1 As</t>
  </si>
  <si>
    <t>Keskusta, Paavola Lahti</t>
  </si>
  <si>
    <t>Niklas Sahlman</t>
  </si>
  <si>
    <t>1940</t>
  </si>
  <si>
    <t>Keskusta, Paavola</t>
  </si>
  <si>
    <t>80511506</t>
  </si>
  <si>
    <t>https://d3ls91xgksobn.cloudfront.net/400x300/etuovimedia/images/property/import/183/2609183/0e76b9541118d347871c0e0e51d244c4/16172e7e77431a7e26a87e289617c679/ORIGINAL.jpeg</t>
  </si>
  <si>
    <t>https://d3ls91xgksobn.cloudfront.net/1200x900/etuovimedia/images/property/import/183/2609183/0e76b9541118d347871c0e0e51d244c4/16172e7e77431a7e26a87e289617c679/ORIGINAL.jpeg</t>
  </si>
  <si>
    <t>https://d3ls91xgksobn.cloudfront.net/1200x900/etuovimedia/images/property/import/183/2609183/0e76b9541118d347871c0e0e51d244c4/d43ba645facaea6b83fd72710edfc303/ORIGINAL.jpeg</t>
  </si>
  <si>
    <t>2609183</t>
  </si>
  <si>
    <t>https://www.etuovi.com/kohde/80511506</t>
  </si>
  <si>
    <t>2026-06-10T14:03:44.477Z</t>
  </si>
  <si>
    <t>Apartment (Kerrostalo) — 3h, k, kph, s — 79 m² — Keskusta, Paavola Lahti</t>
  </si>
  <si>
    <t>Vaasankatu 2 Harju Helsinki</t>
  </si>
  <si>
    <t>Vaasankatu 2</t>
  </si>
  <si>
    <t>60832947</t>
  </si>
  <si>
    <t>https://d3ls91xgksobn.cloudfront.net/400x300/etuovimedia/images/property/import/181/2609181/0e76b9541118d347871c0e0e51d244c4/4b42a46e9a61cf63d67b548059859469/ORIGINAL.jpeg</t>
  </si>
  <si>
    <t>https://d3ls91xgksobn.cloudfront.net/1200x900/etuovimedia/images/property/import/181/2609181/0e76b9541118d347871c0e0e51d244c4/4b42a46e9a61cf63d67b548059859469/ORIGINAL.jpeg</t>
  </si>
  <si>
    <t>2609181</t>
  </si>
  <si>
    <t>https://www.etuovi.com/kohde/60832947</t>
  </si>
  <si>
    <t>289 000 €</t>
  </si>
  <si>
    <t>3h, k, kph, s, las.p</t>
  </si>
  <si>
    <t>2026-06-10T14:03:44.515Z</t>
  </si>
  <si>
    <t>Apartment (Kerrostalo) — 3h, k, kph, s, las.p — 66 m² — Harju Helsinki</t>
  </si>
  <si>
    <t>Topinkuja 4 A Maksjoki Lohja</t>
  </si>
  <si>
    <t>Topinkuja 4 A</t>
  </si>
  <si>
    <t>Maksjoki Lohja</t>
  </si>
  <si>
    <t>Helena Kuronen</t>
  </si>
  <si>
    <t>1993</t>
  </si>
  <si>
    <t>Maksjoki</t>
  </si>
  <si>
    <t>57992392</t>
  </si>
  <si>
    <t>https://d3ls91xgksobn.cloudfront.net/400x300/etuovimedia/images/property/import/592/2546592/0e76b9541118d347871c0e0e51d244c4/8e29dfdee30d8775b7fb1cd660b017c7/ORIGINAL.jpeg</t>
  </si>
  <si>
    <t>https://d3ls91xgksobn.cloudfront.net/1200x900/etuovimedia/images/property/import/592/2546592/0e76b9541118d347871c0e0e51d244c4/8e29dfdee30d8775b7fb1cd660b017c7/ORIGINAL.jpeg</t>
  </si>
  <si>
    <t>https://d3ls91xgksobn.cloudfront.net/1200x900/etuovimedia/images/property/import/592/2546592/0e76b9541118d347871c0e0e51d244c4/0108bcef64caa842a871b9b5225f5199/ORIGINAL.jpeg</t>
  </si>
  <si>
    <t>2546592</t>
  </si>
  <si>
    <t>https://www.etuovi.com/kohde/57992392</t>
  </si>
  <si>
    <t>164 000 €</t>
  </si>
  <si>
    <t>3-4h + k + khh + s + ph + 2xwc + 2xvh + at + var.</t>
  </si>
  <si>
    <t>2026-06-10T14:03:46.309Z</t>
  </si>
  <si>
    <t>Detached House (Omakotitalo) — 3-4h + k + khh + s + ph + 2xwc + 2xvh + at + var. — 115 m² — Maksjoki Lohja</t>
  </si>
  <si>
    <t>Tehtaankatu 5 Keskusta Lohja</t>
  </si>
  <si>
    <t>Tehtaankatu 5</t>
  </si>
  <si>
    <t>Keskusta Lohja</t>
  </si>
  <si>
    <t>1407418</t>
  </si>
  <si>
    <t>https://d3ls91xgksobn.cloudfront.net/400x300/etuovimedia/images/property/import/524/2435524/0e76b9541118d347871c0e0e51d244c4/a3d77a1306b22618a9782340cb7ba595/ORIGINAL.jpeg</t>
  </si>
  <si>
    <t>https://d3ls91xgksobn.cloudfront.net/1200x900/etuovimedia/images/property/import/524/2435524/0e76b9541118d347871c0e0e51d244c4/a3d77a1306b22618a9782340cb7ba595/ORIGINAL.jpeg</t>
  </si>
  <si>
    <t>https://d3ls91xgksobn.cloudfront.net/1200x900/etuovimedia/images/property/import/524/2435524/0e76b9541118d347871c0e0e51d244c4/99be77e0abf777c0c8fbf92bf3fc9e2d/ORIGINAL.jpeg</t>
  </si>
  <si>
    <t>2435524</t>
  </si>
  <si>
    <t>https://www.etuovi.com/kohde/1407418</t>
  </si>
  <si>
    <t>2026-01-03</t>
  </si>
  <si>
    <t>2026-06-10T14:03:46.324Z</t>
  </si>
  <si>
    <t>Apartment (Kerrostalo) — 2h, k, s — 48 m² — Keskusta Lohja</t>
  </si>
  <si>
    <t>Hietarannanpolku 3 Hietaranta Mänttä-Vilppula</t>
  </si>
  <si>
    <t>Hietarannanpolku 3</t>
  </si>
  <si>
    <t>Hietaranta Mänttä-Vilppula</t>
  </si>
  <si>
    <t>3655</t>
  </si>
  <si>
    <t>Sp-Koti | Keyhouse Oy, Kangasala</t>
  </si>
  <si>
    <t>Riitta Hellgren</t>
  </si>
  <si>
    <t>Hietaranta</t>
  </si>
  <si>
    <t>80433710</t>
  </si>
  <si>
    <t>https://d3ls91xgksobn.cloudfront.net/400x300/etuovimedia/images/property/import/968/2259968/0e76b9541118d347871c0e0e51d244c4/864797ea1ee66e07f9089598248fda9d/ORIGINAL.jpeg</t>
  </si>
  <si>
    <t>https://d3ls91xgksobn.cloudfront.net/1200x900/etuovimedia/images/property/import/968/2259968/0e76b9541118d347871c0e0e51d244c4/864797ea1ee66e07f9089598248fda9d/ORIGINAL.jpeg</t>
  </si>
  <si>
    <t>https://d3ls91xgksobn.cloudfront.net/1200x900/etuovimedia/images/property/import/968/2259968/0e76b9541118d347871c0e0e51d244c4/f59a6907fc73d419e2888b1b02b334ad/ORIGINAL.jpeg</t>
  </si>
  <si>
    <t>https://d3ls91xgksobn.cloudfront.net/1200x900/etuovimedia/images/property/import/968/2259968/0e76b9541118d347871c0e0e51d244c4/bd35a6fa732655d227466233b2ef4e77/ORIGINAL.jpeg</t>
  </si>
  <si>
    <t>2259968</t>
  </si>
  <si>
    <t>https://www.etuovi.com/kohde/80433710</t>
  </si>
  <si>
    <t>2025-07-27</t>
  </si>
  <si>
    <t>5h + k + apukeittiö + kph + s + 3xwc + parveke + terassi + at + varasto</t>
  </si>
  <si>
    <t>2026-06-10T14:03:46.392Z</t>
  </si>
  <si>
    <t>Detached House (Omakotitalo) — 5h + k + apukeittiö + kph + s + 3xwc + parveke + terassi + at + varasto — 157 m² — Hietaranta Mänttä-Vilppula</t>
  </si>
  <si>
    <t>Pohjavedenkuja 3 Vuosaari Helsinki</t>
  </si>
  <si>
    <t>Pohjavedenkuja 3</t>
  </si>
  <si>
    <t>w49849</t>
  </si>
  <si>
    <t>https://d3ls91xgksobn.cloudfront.net/400x300/etuovimedia/images/property/import/972/1973972/0e76b9541118d347871c0e0e51d244c4/b3244ab2b761300e558287adeea78ac3/ORIGINAL.jpeg</t>
  </si>
  <si>
    <t>https://d3ls91xgksobn.cloudfront.net/1200x900/etuovimedia/images/property/import/972/1973972/0e76b9541118d347871c0e0e51d244c4/b3244ab2b761300e558287adeea78ac3/ORIGINAL.jpeg</t>
  </si>
  <si>
    <t>1973972</t>
  </si>
  <si>
    <t>https://www.etuovi.com/kohde/w49849</t>
  </si>
  <si>
    <t>30 487,41 €</t>
  </si>
  <si>
    <t>2024-08-06</t>
  </si>
  <si>
    <t>2026-06-10T14:03:46.433Z</t>
  </si>
  <si>
    <t>Apartment (Kerrostalo) — 4H + K + S — 87.5 m² — Vuosaari Helsinki</t>
  </si>
  <si>
    <t>Pohjantähdentie 12 D Talvikangas Oulu</t>
  </si>
  <si>
    <t>Pohjantähdentie 12 D</t>
  </si>
  <si>
    <t>Talvikangas Oulu</t>
  </si>
  <si>
    <t>1498</t>
  </si>
  <si>
    <t>AUREA KODIT OY, Oulu</t>
  </si>
  <si>
    <t>https://aurealkv.fi/myymassa/</t>
  </si>
  <si>
    <t>JP Kyllönen</t>
  </si>
  <si>
    <t>2020</t>
  </si>
  <si>
    <t>Talvikangas</t>
  </si>
  <si>
    <t>80492297</t>
  </si>
  <si>
    <t>https://d3ls91xgksobn.cloudfront.net/400x300/etuovimedia/images/property/import/902/2506902/0e76b9541118d347871c0e0e51d244c4/e101509661e0bc940b63927cbd1c307d/ORIGINAL.jpeg</t>
  </si>
  <si>
    <t>https://d3ls91xgksobn.cloudfront.net/1200x900/etuovimedia/images/property/import/902/2506902/0e76b9541118d347871c0e0e51d244c4/e101509661e0bc940b63927cbd1c307d/ORIGINAL.jpeg</t>
  </si>
  <si>
    <t>https://d3ls91xgksobn.cloudfront.net/1200x900/etuovimedia/images/property/import/902/2506902/0e76b9541118d347871c0e0e51d244c4/7500aa887986eea3b7d8674ce7765459/ORIGINAL.jpeg</t>
  </si>
  <si>
    <t>2506902</t>
  </si>
  <si>
    <t>https://www.etuovi.com/kohde/80492297</t>
  </si>
  <si>
    <t>265 000 €</t>
  </si>
  <si>
    <t>2026-03-16</t>
  </si>
  <si>
    <t>2026-06-10T14:03:46.469Z</t>
  </si>
  <si>
    <t>Semi-detached (Paritalo) — 4h, k, s — 104 m² — Talvikangas Oulu</t>
  </si>
  <si>
    <t>Hämeenlinnankatu 4 Suvilahti Vaasa</t>
  </si>
  <si>
    <t>Hämeenlinnankatu 4</t>
  </si>
  <si>
    <t>Suvilahti Vaasa</t>
  </si>
  <si>
    <t>2802</t>
  </si>
  <si>
    <t>Kiinteistönvälitys Living LKV Oy</t>
  </si>
  <si>
    <t>https://www.livinglkv.fi/</t>
  </si>
  <si>
    <t>Suvilahti</t>
  </si>
  <si>
    <t>21219627</t>
  </si>
  <si>
    <t>https://d3ls91xgksobn.cloudfront.net/400x300/etuovimedia/images/property/import/176/2609176/0e76b9541118d347871c0e0e51d244c4/e20d397b4d56618d43fe95638a260935/ORIGINAL.jpeg</t>
  </si>
  <si>
    <t>https://d3ls91xgksobn.cloudfront.net/1200x900/etuovimedia/images/property/import/176/2609176/0e76b9541118d347871c0e0e51d244c4/e20d397b4d56618d43fe95638a260935/ORIGINAL.jpeg</t>
  </si>
  <si>
    <t>2609176</t>
  </si>
  <si>
    <t>https://www.etuovi.com/kohde/21219627</t>
  </si>
  <si>
    <t>5h, k</t>
  </si>
  <si>
    <t>2026-06-10T14:03:46.480Z</t>
  </si>
  <si>
    <t>Apartment (Kerrostalo) — 5h, k — 110 m² — Suvilahti Vaasa</t>
  </si>
  <si>
    <t>Koronakatu 5 Olari, Kuitinmäki Espoo</t>
  </si>
  <si>
    <t>Koronakatu 5</t>
  </si>
  <si>
    <t>Olari, Kuitinmäki Espoo</t>
  </si>
  <si>
    <t>Ehrstén Petri</t>
  </si>
  <si>
    <t>Olari, Kuitinmäki</t>
  </si>
  <si>
    <t>21480930</t>
  </si>
  <si>
    <t>https://d3ls91xgksobn.cloudfront.net/400x300/etuovimedia/images/property/import/174/2609174/0e76b9541118d347871c0e0e51d244c4/5b4594a85b7852a890a5a0cb32701627/ORIGINAL.jpeg</t>
  </si>
  <si>
    <t>https://d3ls91xgksobn.cloudfront.net/1200x900/etuovimedia/images/property/import/174/2609174/0e76b9541118d347871c0e0e51d244c4/5b4594a85b7852a890a5a0cb32701627/ORIGINAL.jpeg</t>
  </si>
  <si>
    <t>https://d3ls91xgksobn.cloudfront.net/1200x900/etuovimedia/images/property/import/174/2609174/0e76b9541118d347871c0e0e51d244c4/e68cc12fc17fde83fc22453f7ac0236a/ORIGINAL.jpeg</t>
  </si>
  <si>
    <t>2609174</t>
  </si>
  <si>
    <t>https://www.etuovi.com/kohde/21480930</t>
  </si>
  <si>
    <t>5h, k, + takkah, s, 2 x kph, kk, kht, ask.tila, varasto</t>
  </si>
  <si>
    <t>2026-06-10T14:03:46.586Z</t>
  </si>
  <si>
    <t>Row House (Rivitalo) — 5h, k, + takkah, s, 2 x kph, kk, kht, ask.tila, varasto — 168 m² — Olari, Kuitinmäki Espoo</t>
  </si>
  <si>
    <t>Koulukatu 10 Keskusta Vaasa</t>
  </si>
  <si>
    <t>Koulukatu 10</t>
  </si>
  <si>
    <t>Keskusta Vaasa</t>
  </si>
  <si>
    <t>66998453</t>
  </si>
  <si>
    <t>https://d3ls91xgksobn.cloudfront.net/400x300/etuovimedia/images/property/import/173/2609173/0e76b9541118d347871c0e0e51d244c4/834ff82a762f13ca2b49cf3743f84814/ORIGINAL.jpeg</t>
  </si>
  <si>
    <t>https://d3ls91xgksobn.cloudfront.net/1200x900/etuovimedia/images/property/import/173/2609173/0e76b9541118d347871c0e0e51d244c4/834ff82a762f13ca2b49cf3743f84814/ORIGINAL.jpeg</t>
  </si>
  <si>
    <t>2609173</t>
  </si>
  <si>
    <t>https://www.etuovi.com/kohde/66998453</t>
  </si>
  <si>
    <t>147 000 €</t>
  </si>
  <si>
    <t>2h, kk</t>
  </si>
  <si>
    <t>2026-06-10T14:03:46.597Z</t>
  </si>
  <si>
    <t>Apartment (Kerrostalo) — 2h, kk — 39.5 m² — Keskusta Vaasa</t>
  </si>
  <si>
    <t>Brantaksentie 108 Linnanpelto Sipoo</t>
  </si>
  <si>
    <t>Brantaksentie 108</t>
  </si>
  <si>
    <t>Linnanpelto Sipoo</t>
  </si>
  <si>
    <t>2648</t>
  </si>
  <si>
    <t>Bo LKV Porvoo</t>
  </si>
  <si>
    <t>Toivola Jatta</t>
  </si>
  <si>
    <t>1938</t>
  </si>
  <si>
    <t>Linnanpelto</t>
  </si>
  <si>
    <t>21610414</t>
  </si>
  <si>
    <t>https://d3ls91xgksobn.cloudfront.net/400x300/etuovimedia/images/property/import/171/2609171/0e76b9541118d347871c0e0e51d244c4/18880ce2f19855a1cb8866f209267cdf/ORIGINAL.jpeg</t>
  </si>
  <si>
    <t>https://d3ls91xgksobn.cloudfront.net/1200x900/etuovimedia/images/property/import/171/2609171/0e76b9541118d347871c0e0e51d244c4/18880ce2f19855a1cb8866f209267cdf/ORIGINAL.jpeg</t>
  </si>
  <si>
    <t>https://d3ls91xgksobn.cloudfront.net/1200x900/etuovimedia/images/property/import/171/2609171/0e76b9541118d347871c0e0e51d244c4/5127a7f113be4e2247919b9e9c943de9/ORIGINAL.jpeg</t>
  </si>
  <si>
    <t>2609171</t>
  </si>
  <si>
    <t>https://www.etuovi.com/kohde/21610414</t>
  </si>
  <si>
    <t>585 000 €</t>
  </si>
  <si>
    <t>Sali, 2 x k, arkioh, 4 mh, aula, 2x erill.wc, kph,</t>
  </si>
  <si>
    <t>2026-06-10T14:03:46.610Z</t>
  </si>
  <si>
    <t>Detached House (Omakotitalo) — Sali, 2 x k, arkioh, 4 mh, aula, 2x erill.wc, kph,  — 252 m² — Linnanpelto Sipoo</t>
  </si>
  <si>
    <t>Kaleva Tampere</t>
  </si>
  <si>
    <t>Kaleva</t>
  </si>
  <si>
    <t>Runeberginaukio 3 Keskusta Mikkeli</t>
  </si>
  <si>
    <t>Runeberginaukio 3</t>
  </si>
  <si>
    <t>Keskusta Mikkeli</t>
  </si>
  <si>
    <t>44967297</t>
  </si>
  <si>
    <t>https://d3ls91xgksobn.cloudfront.net/400x300/etuovimedia/images/property/import/164/2609164/0e76b9541118d347871c0e0e51d244c4/4e020ca3cab954c5555cef338df7ea30/ORIGINAL.jpeg</t>
  </si>
  <si>
    <t>https://d3ls91xgksobn.cloudfront.net/1200x900/etuovimedia/images/property/import/164/2609164/0e76b9541118d347871c0e0e51d244c4/4e020ca3cab954c5555cef338df7ea30/ORIGINAL.jpeg</t>
  </si>
  <si>
    <t>https://d3ls91xgksobn.cloudfront.net/1200x900/etuovimedia/images/property/import/164/2609164/0e76b9541118d347871c0e0e51d244c4/e8526d0c83c1dbe062b3f5636f935166/ORIGINAL.jpeg</t>
  </si>
  <si>
    <t>2609164</t>
  </si>
  <si>
    <t>https://www.etuovi.com/kohde/44967297</t>
  </si>
  <si>
    <t>2026-06-10T14:03:46.660Z</t>
  </si>
  <si>
    <t>Apartment (Kerrostalo) — 2h, k, s — 56.5 m² — Keskusta Mikkeli</t>
  </si>
  <si>
    <t>Framnäsintie 2 A Masala Kirkkonummi</t>
  </si>
  <si>
    <t>Framnäsintie 2 A</t>
  </si>
  <si>
    <t>Masala Kirkkonummi</t>
  </si>
  <si>
    <t>4506</t>
  </si>
  <si>
    <t>REMAX Classic | Casa Grande LKV Oy</t>
  </si>
  <si>
    <t>Tiina Hakansuu</t>
  </si>
  <si>
    <t>Masala</t>
  </si>
  <si>
    <t>80511308</t>
  </si>
  <si>
    <t>https://d3ls91xgksobn.cloudfront.net/400x300/etuovimedia/images/property/import/163/2609163/0e76b9541118d347871c0e0e51d244c4/8d02a6ce5718525935d849bb1585f6b5/ORIGINAL.jpeg</t>
  </si>
  <si>
    <t>https://d3ls91xgksobn.cloudfront.net/1200x900/etuovimedia/images/property/import/163/2609163/0e76b9541118d347871c0e0e51d244c4/8d02a6ce5718525935d849bb1585f6b5/ORIGINAL.jpeg</t>
  </si>
  <si>
    <t>https://d3ls91xgksobn.cloudfront.net/1200x900/etuovimedia/images/property/import/163/2609163/0e76b9541118d347871c0e0e51d244c4/654ac3f2d1bdd78bdeac2e586b115aa1/ORIGINAL.jpeg</t>
  </si>
  <si>
    <t>https://d3ls91xgksobn.cloudfront.net/1200x900/etuovimedia/images/property/import/163/2609163/0e76b9541118d347871c0e0e51d244c4/f4bbee2dfb87a0b94f8706f2e25c7548/ORIGINAL.jpeg</t>
  </si>
  <si>
    <t>2609163</t>
  </si>
  <si>
    <t>https://www.etuovi.com/kohde/80511308</t>
  </si>
  <si>
    <t>4h, k, kph, s, wc, vh, terassi ja ulkovar.</t>
  </si>
  <si>
    <t>2026-06-10T14:03:46.684Z</t>
  </si>
  <si>
    <t>Row House (Rivitalo) — 4h, k, kph, s, wc, vh, terassi ja ulkovar. — 98 m² — Masala Kirkkonummi</t>
  </si>
  <si>
    <t>Malturinkatu 2 B 18 Keskusta Salo</t>
  </si>
  <si>
    <t>Malturinkatu 2 B 18</t>
  </si>
  <si>
    <t>Keskusta Salo</t>
  </si>
  <si>
    <t>1402</t>
  </si>
  <si>
    <t>Salon Asuntopalvelu LKV</t>
  </si>
  <si>
    <t>https://salonasuntopalvelu.fi/</t>
  </si>
  <si>
    <t>80515521</t>
  </si>
  <si>
    <t>https://d3ls91xgksobn.cloudfront.net/400x300/etuovimedia/images/property/import/162/2609162/0e76b9541118d347871c0e0e51d244c4/005e68d88f8b330acbb081ea0292a26f/ORIGINAL.jpeg</t>
  </si>
  <si>
    <t>https://d3ls91xgksobn.cloudfront.net/1200x900/etuovimedia/images/property/import/162/2609162/0e76b9541118d347871c0e0e51d244c4/005e68d88f8b330acbb081ea0292a26f/ORIGINAL.jpeg</t>
  </si>
  <si>
    <t>2609162</t>
  </si>
  <si>
    <t>https://www.etuovi.com/kohde/80515521</t>
  </si>
  <si>
    <t>66 000 €</t>
  </si>
  <si>
    <t>2h, k, kph / wc, et, lasit.parveke</t>
  </si>
  <si>
    <t>2026-06-10T14:03:46.695Z</t>
  </si>
  <si>
    <t>Apartment (Kerrostalo) — 2h, k, kph / wc, et, lasit.parveke — 55 m² — Keskusta Salo</t>
  </si>
  <si>
    <t>Alatie 11a Toijala Akaa</t>
  </si>
  <si>
    <t>Alatie 11a</t>
  </si>
  <si>
    <t>Toijala Akaa</t>
  </si>
  <si>
    <t>3795</t>
  </si>
  <si>
    <t>Strand Properties | Tuukka Hakkarainen LKV</t>
  </si>
  <si>
    <t>Hakkarainen Tuukka</t>
  </si>
  <si>
    <t>Toijala</t>
  </si>
  <si>
    <t>21225556</t>
  </si>
  <si>
    <t>https://d3ls91xgksobn.cloudfront.net/400x300/etuovimedia/images/property/import/758/2571758/0e76b9541118d347871c0e0e51d244c4/f975a81a02b6cf80211dbc03fb2e826f/ORIGINAL.jpeg</t>
  </si>
  <si>
    <t>https://d3ls91xgksobn.cloudfront.net/1200x900/etuovimedia/images/property/import/758/2571758/0e76b9541118d347871c0e0e51d244c4/f975a81a02b6cf80211dbc03fb2e826f/ORIGINAL.jpeg</t>
  </si>
  <si>
    <t>https://d3ls91xgksobn.cloudfront.net/1200x900/etuovimedia/images/property/import/758/2571758/0e76b9541118d347871c0e0e51d244c4/31c24d825f232fbb6abb3581655bd331/ORIGINAL.jpeg</t>
  </si>
  <si>
    <t>2571758</t>
  </si>
  <si>
    <t>https://www.etuovi.com/kohde/21225556</t>
  </si>
  <si>
    <t>2026-05-09</t>
  </si>
  <si>
    <t>4mh, oh, k, ph, s, khh, autokatos</t>
  </si>
  <si>
    <t>2026-06-10T14:03:46.761Z</t>
  </si>
  <si>
    <t>Detached House (Omakotitalo) — 4mh, oh, k, ph, s, khh, autokatos — 113 m² — Toijala Akaa</t>
  </si>
  <si>
    <t>Viirinkankaantie 20 A Viirinkangas Rovaniemi</t>
  </si>
  <si>
    <t>Viirinkankaantie 20 A</t>
  </si>
  <si>
    <t>Viirinkangas Rovaniemi</t>
  </si>
  <si>
    <t>1675</t>
  </si>
  <si>
    <t>Sp-Koti | Kiinteistönvälitys Rovaniemen Tähelliset LKV Oy</t>
  </si>
  <si>
    <t>Kiinteistönvälitys Rovaniemen Tähelliset LKV Oy</t>
  </si>
  <si>
    <t>Viirinkangas</t>
  </si>
  <si>
    <t>80514042</t>
  </si>
  <si>
    <t>https://d3ls91xgksobn.cloudfront.net/400x300/etuovimedia/images/property/import/160/2609160/0e76b9541118d347871c0e0e51d244c4/aeee9ea31a4d34ccda155e097d721e1c/ORIGINAL.jpeg</t>
  </si>
  <si>
    <t>https://d3ls91xgksobn.cloudfront.net/1200x900/etuovimedia/images/property/import/160/2609160/0e76b9541118d347871c0e0e51d244c4/aeee9ea31a4d34ccda155e097d721e1c/ORIGINAL.jpeg</t>
  </si>
  <si>
    <t>https://d3ls91xgksobn.cloudfront.net/1200x900/etuovimedia/images/property/import/160/2609160/0e76b9541118d347871c0e0e51d244c4/fb9b2d5d8491747316b4a81c102cead6/ORIGINAL.jpeg</t>
  </si>
  <si>
    <t>https://d3ls91xgksobn.cloudfront.net/1200x900/etuovimedia/images/property/import/160/2609160/0e76b9541118d347871c0e0e51d244c4/35053facef48cced9bebf9e827570aa4/ORIGINAL.jpeg</t>
  </si>
  <si>
    <t>2609160</t>
  </si>
  <si>
    <t>https://www.etuovi.com/kohde/80514042</t>
  </si>
  <si>
    <t>2 h + k + parveke</t>
  </si>
  <si>
    <t>2026-06-10T14:03:46.788Z</t>
  </si>
  <si>
    <t>Apartment (Kerrostalo) — 2 h + k + parveke — 40 m² — Viirinkangas Rovaniemi</t>
  </si>
  <si>
    <t>Hannuntie 2 A 2 Sipovaara Kemijärvi</t>
  </si>
  <si>
    <t>Hannuntie 2 A 2</t>
  </si>
  <si>
    <t>Sipovaara Kemijärvi</t>
  </si>
  <si>
    <t>2038</t>
  </si>
  <si>
    <t>LKV-Posio Ky</t>
  </si>
  <si>
    <t>Sipovaara</t>
  </si>
  <si>
    <t>21652909</t>
  </si>
  <si>
    <t>https://d3ls91xgksobn.cloudfront.net/400x300/etuovimedia/images/property/import/159/2609159/0e76b9541118d347871c0e0e51d244c4/aa07211a9c4761dcfdbe913097e89e7f/ORIGINAL.jpeg</t>
  </si>
  <si>
    <t>https://d3ls91xgksobn.cloudfront.net/1200x900/etuovimedia/images/property/import/159/2609159/0e76b9541118d347871c0e0e51d244c4/aa07211a9c4761dcfdbe913097e89e7f/ORIGINAL.jpeg</t>
  </si>
  <si>
    <t>2609159</t>
  </si>
  <si>
    <t>https://www.etuovi.com/kohde/21652909</t>
  </si>
  <si>
    <t>29 000 €</t>
  </si>
  <si>
    <t>5h, k, s</t>
  </si>
  <si>
    <t>2026-06-10T14:03:46.839Z</t>
  </si>
  <si>
    <t>Semi-detached (Paritalo) — 5h, k, s — 119 m² — Sipovaara Kemijärvi</t>
  </si>
  <si>
    <t>Kirkkokatu 53 A Keskusta Oulu</t>
  </si>
  <si>
    <t>Kirkkokatu 53 A</t>
  </si>
  <si>
    <t>80512709</t>
  </si>
  <si>
    <t>https://d3ls91xgksobn.cloudfront.net/400x300/etuovimedia/images/property/import/157/2609157/0e76b9541118d347871c0e0e51d244c4/ad55484733945ce7ad752a98adfb2d8a/ORIGINAL.jpeg</t>
  </si>
  <si>
    <t>https://d3ls91xgksobn.cloudfront.net/1200x900/etuovimedia/images/property/import/157/2609157/0e76b9541118d347871c0e0e51d244c4/ad55484733945ce7ad752a98adfb2d8a/ORIGINAL.jpeg</t>
  </si>
  <si>
    <t>2609157</t>
  </si>
  <si>
    <t>https://www.etuovi.com/kohde/80512709</t>
  </si>
  <si>
    <t>3h, k, psh / wc</t>
  </si>
  <si>
    <t>2026-06-10T14:03:46.861Z</t>
  </si>
  <si>
    <t>Apartment (Kerrostalo) — 3h, k, psh / wc — 61 m² — Keskusta Oulu</t>
  </si>
  <si>
    <t>Markulantie 119 Nättinummi  Turku</t>
  </si>
  <si>
    <t>Markulantie 119</t>
  </si>
  <si>
    <t>Nättinummi  Turku</t>
  </si>
  <si>
    <t>933</t>
  </si>
  <si>
    <t>Aninkainen Turku Keskusta | Aninkaisten Kiinteistövälitys Oy</t>
  </si>
  <si>
    <t>http://www.aninkainen.fi</t>
  </si>
  <si>
    <t>Nättinummi</t>
  </si>
  <si>
    <t>63939341</t>
  </si>
  <si>
    <t>https://d3ls91xgksobn.cloudfront.net/400x300/etuovimedia/images/property/import/156/2609156/0e76b9541118d347871c0e0e51d244c4/e6be184cd56fc41ad486733fba2e25a4/ORIGINAL.jpeg</t>
  </si>
  <si>
    <t>https://d3ls91xgksobn.cloudfront.net/1200x900/etuovimedia/images/property/import/156/2609156/0e76b9541118d347871c0e0e51d244c4/e6be184cd56fc41ad486733fba2e25a4/ORIGINAL.jpeg</t>
  </si>
  <si>
    <t>2609156</t>
  </si>
  <si>
    <t>https://www.etuovi.com/kohde/63939341</t>
  </si>
  <si>
    <t>4h, k, kph, erill.wc, lasp</t>
  </si>
  <si>
    <t>2026-06-10T14:03:46.878Z</t>
  </si>
  <si>
    <t>Apartment (Kerrostalo) — 4h, k, kph, erill.wc, lasp — 91 m² — Nättinummi  Turku</t>
  </si>
  <si>
    <t>Mäkitie 50 Nummi Kurikka</t>
  </si>
  <si>
    <t>Mäkitie 50</t>
  </si>
  <si>
    <t>Nummi Kurikka</t>
  </si>
  <si>
    <t>239</t>
  </si>
  <si>
    <t>Ala-Nikkola LAKI ja LKV</t>
  </si>
  <si>
    <t>http://www.ala-nikkola.fi/</t>
  </si>
  <si>
    <t>20242670</t>
  </si>
  <si>
    <t>https://d3ls91xgksobn.cloudfront.net/400x300/etuovimedia/images/property/import/155/2609155/0e76b9541118d347871c0e0e51d244c4/5713965479e9e3503291d48d63ca832c/ORIGINAL.jpeg</t>
  </si>
  <si>
    <t>https://d3ls91xgksobn.cloudfront.net/1200x900/etuovimedia/images/property/import/155/2609155/0e76b9541118d347871c0e0e51d244c4/5713965479e9e3503291d48d63ca832c/ORIGINAL.jpeg</t>
  </si>
  <si>
    <t>2609155</t>
  </si>
  <si>
    <t>https://www.etuovi.com/kohde/20242670</t>
  </si>
  <si>
    <t>63 000 €</t>
  </si>
  <si>
    <t>3mh + oh + k + vh + kh / khh + wc + et + parveke</t>
  </si>
  <si>
    <t>2026-06-10T14:03:46.890Z</t>
  </si>
  <si>
    <t>Apartment (Kerrostalo) — 3mh + oh + k + vh + kh / khh + wc + et + parveke — 93 m² — Nummi Kurikka</t>
  </si>
  <si>
    <t>Kruunuvuorenranta Helsinki</t>
  </si>
  <si>
    <t>389</t>
  </si>
  <si>
    <t>Skanska Kodit Helsinki</t>
  </si>
  <si>
    <t>https://kodit.skanska.fi/</t>
  </si>
  <si>
    <t>Kruunuvuorenranta</t>
  </si>
  <si>
    <t>2023-05-03</t>
  </si>
  <si>
    <t>3H + KT + S</t>
  </si>
  <si>
    <t>Yksisarvisenkuja 2 A 13 Kruunuvuorenranta Helsinki</t>
  </si>
  <si>
    <t>Yksisarvisenkuja 2 A 13</t>
  </si>
  <si>
    <t>v23236</t>
  </si>
  <si>
    <t>https://d3ls91xgksobn.cloudfront.net/400x300/etuovimedia/images/property/import/658/1777658/0e76b9541118d347871c0e0e51d244c4/5dc125e7e7054ae601f05226b7e3cbbb/ORIGINAL.jpeg</t>
  </si>
  <si>
    <t>https://d3ls91xgksobn.cloudfront.net/1200x900/etuovimedia/images/property/import/658/1777658/0e76b9541118d347871c0e0e51d244c4/5dc125e7e7054ae601f05226b7e3cbbb/ORIGINAL.jpeg</t>
  </si>
  <si>
    <t>1777658</t>
  </si>
  <si>
    <t>https://www.etuovi.com/kohde/v23236</t>
  </si>
  <si>
    <t>328 600 €</t>
  </si>
  <si>
    <t>2H + KK</t>
  </si>
  <si>
    <t>2026-06-10T14:03:47.074Z</t>
  </si>
  <si>
    <t>Apartment (Kerrostalo) — 2H + KK — 42 m² — Kruunuvuorenranta Helsinki</t>
  </si>
  <si>
    <t>Yksisarvisenkuja 2 A 14 Kruunuvuorenranta Helsinki</t>
  </si>
  <si>
    <t>Yksisarvisenkuja 2 A 14</t>
  </si>
  <si>
    <t>v23232</t>
  </si>
  <si>
    <t>https://d3ls91xgksobn.cloudfront.net/400x300/etuovimedia/images/property/import/655/1777655/0e76b9541118d347871c0e0e51d244c4/e4be5b16d3abd6e05ed0479e824c317c/ORIGINAL.jpeg</t>
  </si>
  <si>
    <t>https://d3ls91xgksobn.cloudfront.net/1200x900/etuovimedia/images/property/import/655/1777655/0e76b9541118d347871c0e0e51d244c4/e4be5b16d3abd6e05ed0479e824c317c/ORIGINAL.jpeg</t>
  </si>
  <si>
    <t>1777655</t>
  </si>
  <si>
    <t>https://www.etuovi.com/kohde/v23232</t>
  </si>
  <si>
    <t>697 300 €</t>
  </si>
  <si>
    <t>2026-06-10T14:03:47.108Z</t>
  </si>
  <si>
    <t>Apartment (Kerrostalo) — 4H + KT + S — 84.5 m² — Kruunuvuorenranta Helsinki</t>
  </si>
  <si>
    <t>Yksisarvisenkuja 2 A 01 Kruunuvuorenranta Helsinki</t>
  </si>
  <si>
    <t>Yksisarvisenkuja 2 A 01</t>
  </si>
  <si>
    <t>v23227</t>
  </si>
  <si>
    <t>https://d3ls91xgksobn.cloudfront.net/400x300/etuovimedia/images/property/import/652/1777652/0e76b9541118d347871c0e0e51d244c4/9c7d9c9a4ea0174ca11364da7a13dc04/ORIGINAL.jpeg</t>
  </si>
  <si>
    <t>https://d3ls91xgksobn.cloudfront.net/1200x900/etuovimedia/images/property/import/652/1777652/0e76b9541118d347871c0e0e51d244c4/9c7d9c9a4ea0174ca11364da7a13dc04/ORIGINAL.jpeg</t>
  </si>
  <si>
    <t>1777652</t>
  </si>
  <si>
    <t>https://www.etuovi.com/kohde/v23227</t>
  </si>
  <si>
    <t>299 900 €</t>
  </si>
  <si>
    <t>2026-06-10T14:03:47.151Z</t>
  </si>
  <si>
    <t>Yksisarvisenkuja 2 A 06 Kruunuvuorenranta Helsinki</t>
  </si>
  <si>
    <t>Yksisarvisenkuja 2 A 06</t>
  </si>
  <si>
    <t>v23224</t>
  </si>
  <si>
    <t>https://d3ls91xgksobn.cloudfront.net/400x300/etuovimedia/images/property/import/650/1777650/0e76b9541118d347871c0e0e51d244c4/0f888d8e44e07efd4d80ade7101a764a/ORIGINAL.jpeg</t>
  </si>
  <si>
    <t>https://d3ls91xgksobn.cloudfront.net/1200x900/etuovimedia/images/property/import/650/1777650/0e76b9541118d347871c0e0e51d244c4/0f888d8e44e07efd4d80ade7101a764a/ORIGINAL.jpeg</t>
  </si>
  <si>
    <t>1777650</t>
  </si>
  <si>
    <t>https://www.etuovi.com/kohde/v23224</t>
  </si>
  <si>
    <t>647 800 €</t>
  </si>
  <si>
    <t>2026-06-10T14:03:47.222Z</t>
  </si>
  <si>
    <t>Yksisarvisenkuja 2 B 21 Kruunuvuorenranta Helsinki</t>
  </si>
  <si>
    <t>Yksisarvisenkuja 2 B 21</t>
  </si>
  <si>
    <t>v22998</t>
  </si>
  <si>
    <t>https://d3ls91xgksobn.cloudfront.net/400x300/etuovimedia/images/property/import/646/1777646/0e76b9541118d347871c0e0e51d244c4/a81b34632567da89dbf2001e25503e3d/ORIGINAL.jpeg</t>
  </si>
  <si>
    <t>https://d3ls91xgksobn.cloudfront.net/1200x900/etuovimedia/images/property/import/646/1777646/0e76b9541118d347871c0e0e51d244c4/a81b34632567da89dbf2001e25503e3d/ORIGINAL.jpeg</t>
  </si>
  <si>
    <t>1777646</t>
  </si>
  <si>
    <t>https://www.etuovi.com/kohde/v22998</t>
  </si>
  <si>
    <t>488 400 €</t>
  </si>
  <si>
    <t>2026-06-10T14:03:47.295Z</t>
  </si>
  <si>
    <t>Apartment (Kerrostalo) — 3H + KT — 66.5 m² — Kruunuvuorenranta Helsinki</t>
  </si>
  <si>
    <t>Yksisarvisenkuja 2 A 09 Kruunuvuorenranta Helsinki</t>
  </si>
  <si>
    <t>Yksisarvisenkuja 2 A 09</t>
  </si>
  <si>
    <t>v22984</t>
  </si>
  <si>
    <t>https://d3ls91xgksobn.cloudfront.net/400x300/etuovimedia/images/property/import/636/1777636/0e76b9541118d347871c0e0e51d244c4/9d0ea5b637791dc570bd78c9c3636d65/ORIGINAL.jpeg</t>
  </si>
  <si>
    <t>https://d3ls91xgksobn.cloudfront.net/1200x900/etuovimedia/images/property/import/636/1777636/0e76b9541118d347871c0e0e51d244c4/9d0ea5b637791dc570bd78c9c3636d65/ORIGINAL.jpeg</t>
  </si>
  <si>
    <t>1777636</t>
  </si>
  <si>
    <t>https://www.etuovi.com/kohde/v22984</t>
  </si>
  <si>
    <t>2026-06-10T14:03:50.460Z</t>
  </si>
  <si>
    <t>Yksisarvisenkuja 2 A 08 Kruunuvuorenranta Helsinki</t>
  </si>
  <si>
    <t>Yksisarvisenkuja 2 A 08</t>
  </si>
  <si>
    <t>v22979</t>
  </si>
  <si>
    <t>https://d3ls91xgksobn.cloudfront.net/400x300/etuovimedia/images/property/import/633/1777633/0e76b9541118d347871c0e0e51d244c4/4b5b73958167ab3ef52d073cc1be9092/ORIGINAL.jpeg</t>
  </si>
  <si>
    <t>https://d3ls91xgksobn.cloudfront.net/1200x900/etuovimedia/images/property/import/633/1777633/0e76b9541118d347871c0e0e51d244c4/4b5b73958167ab3ef52d073cc1be9092/ORIGINAL.jpeg</t>
  </si>
  <si>
    <t>1777633</t>
  </si>
  <si>
    <t>https://www.etuovi.com/kohde/v22979</t>
  </si>
  <si>
    <t>713 800 €</t>
  </si>
  <si>
    <t>2026-06-10T14:03:50.567Z</t>
  </si>
  <si>
    <t>Apartment (Kerrostalo) — 4H + KT + S — 92 m² — Kruunuvuorenranta Helsinki</t>
  </si>
  <si>
    <t>Yksisarvisenkuja 2 A 04 Kruunuvuorenranta Helsinki</t>
  </si>
  <si>
    <t>Yksisarvisenkuja 2 A 04</t>
  </si>
  <si>
    <t>v22978</t>
  </si>
  <si>
    <t>https://d3ls91xgksobn.cloudfront.net/400x300/etuovimedia/images/property/import/632/1777632/0e76b9541118d347871c0e0e51d244c4/79271931974df7261bc2764af21ac8c2/ORIGINAL.jpeg</t>
  </si>
  <si>
    <t>https://d3ls91xgksobn.cloudfront.net/1200x900/etuovimedia/images/property/import/632/1777632/0e76b9541118d347871c0e0e51d244c4/79271931974df7261bc2764af21ac8c2/ORIGINAL.jpeg</t>
  </si>
  <si>
    <t>1777632</t>
  </si>
  <si>
    <t>https://www.etuovi.com/kohde/v22978</t>
  </si>
  <si>
    <t>359 100 €</t>
  </si>
  <si>
    <t>2026-06-10T14:03:50.624Z</t>
  </si>
  <si>
    <t>Apartment (Kerrostalo) — 2H + KT — 52.5 m² — Kruunuvuorenranta Helsinki</t>
  </si>
  <si>
    <t>Yksisarvisenkuja 2 B 25 Kruunuvuorenranta Helsinki</t>
  </si>
  <si>
    <t>Yksisarvisenkuja 2 B 25</t>
  </si>
  <si>
    <t>v22973</t>
  </si>
  <si>
    <t>https://d3ls91xgksobn.cloudfront.net/400x300/etuovimedia/images/property/import/628/1777628/0e76b9541118d347871c0e0e51d244c4/fc577a2f667d22650331b396a881421a/ORIGINAL.jpeg</t>
  </si>
  <si>
    <t>https://d3ls91xgksobn.cloudfront.net/1200x900/etuovimedia/images/property/import/628/1777628/0e76b9541118d347871c0e0e51d244c4/fc577a2f667d22650331b396a881421a/ORIGINAL.jpeg</t>
  </si>
  <si>
    <t>1777628</t>
  </si>
  <si>
    <t>https://www.etuovi.com/kohde/v22973</t>
  </si>
  <si>
    <t>694 700 €</t>
  </si>
  <si>
    <t>2026-06-10T14:03:50.651Z</t>
  </si>
  <si>
    <t>Apartment (Kerrostalo) — 4H + KT + S — 89.5 m² — Kruunuvuorenranta Helsinki</t>
  </si>
  <si>
    <t>Yksisarvisenkuja 2 A 07 Kruunuvuorenranta Helsinki</t>
  </si>
  <si>
    <t>Yksisarvisenkuja 2 A 07</t>
  </si>
  <si>
    <t>v22969</t>
  </si>
  <si>
    <t>https://d3ls91xgksobn.cloudfront.net/400x300/etuovimedia/images/property/import/626/1777626/0e76b9541118d347871c0e0e51d244c4/d8e044d11f42d9b9852a1ea3053a435d/ORIGINAL.jpeg</t>
  </si>
  <si>
    <t>https://d3ls91xgksobn.cloudfront.net/1200x900/etuovimedia/images/property/import/626/1777626/0e76b9541118d347871c0e0e51d244c4/d8e044d11f42d9b9852a1ea3053a435d/ORIGINAL.jpeg</t>
  </si>
  <si>
    <t>1777626</t>
  </si>
  <si>
    <t>https://www.etuovi.com/kohde/v22969</t>
  </si>
  <si>
    <t>544 900 €</t>
  </si>
  <si>
    <t>2026-06-10T14:03:50.696Z</t>
  </si>
  <si>
    <t>Apartment (Kerrostalo) — 3H + KT + S — 73 m² — Kruunuvuorenranta Helsinki</t>
  </si>
  <si>
    <t>Yksisarvisenkuja 2 A 05 Kruunuvuorenranta Helsinki</t>
  </si>
  <si>
    <t>Yksisarvisenkuja 2 A 05</t>
  </si>
  <si>
    <t>v22943</t>
  </si>
  <si>
    <t>https://d3ls91xgksobn.cloudfront.net/400x300/etuovimedia/images/property/import/614/1777614/0e76b9541118d347871c0e0e51d244c4/d890223ed650ee6c28c5db0b560c9b52/ORIGINAL.jpeg</t>
  </si>
  <si>
    <t>https://d3ls91xgksobn.cloudfront.net/1200x900/etuovimedia/images/property/import/614/1777614/0e76b9541118d347871c0e0e51d244c4/d890223ed650ee6c28c5db0b560c9b52/ORIGINAL.jpeg</t>
  </si>
  <si>
    <t>1777614</t>
  </si>
  <si>
    <t>https://www.etuovi.com/kohde/v22943</t>
  </si>
  <si>
    <t>310 400 €</t>
  </si>
  <si>
    <t>2026-06-10T14:03:51.000Z</t>
  </si>
  <si>
    <t>ruispellontie 6C 1 Sepänkylä Mustasaari</t>
  </si>
  <si>
    <t>ruispellontie 6C 1</t>
  </si>
  <si>
    <t>Sepänkylä Mustasaari</t>
  </si>
  <si>
    <t>Sepänkylä</t>
  </si>
  <si>
    <t>fs4342</t>
  </si>
  <si>
    <t>https://d3ls91xgksobn.cloudfront.net/400x300/etuovimedia/images/property/import/147/2609147/0e76b9541118d347871c0e0e51d244c4/f256a31e4a4eea2a0d2bb251fb66b716/ORIGINAL.jpeg</t>
  </si>
  <si>
    <t>https://d3ls91xgksobn.cloudfront.net/1200x900/etuovimedia/images/property/import/147/2609147/0e76b9541118d347871c0e0e51d244c4/f256a31e4a4eea2a0d2bb251fb66b716/ORIGINAL.jpeg</t>
  </si>
  <si>
    <t>2609147</t>
  </si>
  <si>
    <t>https://www.etuovi.com/kohde/fs4342</t>
  </si>
  <si>
    <t>290 000 €</t>
  </si>
  <si>
    <t>Jakob Karlais</t>
  </si>
  <si>
    <t>3h + vh + s + wc + khh + at</t>
  </si>
  <si>
    <t>2026-06-10T14:03:51.029Z</t>
  </si>
  <si>
    <t>Semi-detached (Paritalo) — 3h + vh + s + wc + khh + at — 103 m² — Sepänkylä Mustasaari</t>
  </si>
  <si>
    <t>Kasarmintie 22 Koskenniska Oulu</t>
  </si>
  <si>
    <t>Kasarmintie 22</t>
  </si>
  <si>
    <t>Koskenniska Oulu</t>
  </si>
  <si>
    <t>Hänninen Nelli</t>
  </si>
  <si>
    <t>Koskenniska</t>
  </si>
  <si>
    <t>20626321</t>
  </si>
  <si>
    <t>https://d3ls91xgksobn.cloudfront.net/400x300/etuovimedia/images/property/import/146/2609146/0e76b9541118d347871c0e0e51d244c4/4d7da64b1ac8914a2c22dc4db25a72dd/ORIGINAL.jpeg</t>
  </si>
  <si>
    <t>https://d3ls91xgksobn.cloudfront.net/1200x900/etuovimedia/images/property/import/146/2609146/0e76b9541118d347871c0e0e51d244c4/4d7da64b1ac8914a2c22dc4db25a72dd/ORIGINAL.jpeg</t>
  </si>
  <si>
    <t>https://d3ls91xgksobn.cloudfront.net/1200x900/etuovimedia/images/property/import/146/2609146/0e76b9541118d347871c0e0e51d244c4/9294e9b05d9d62a2b81d311f43d10f53/ORIGINAL.jpeg</t>
  </si>
  <si>
    <t>2609146</t>
  </si>
  <si>
    <t>https://www.etuovi.com/kohde/20626321</t>
  </si>
  <si>
    <t>1h, tupak, kph, s, las. parveke</t>
  </si>
  <si>
    <t>2026-06-10T14:03:51.041Z</t>
  </si>
  <si>
    <t>Apartment (Kerrostalo) — 1h, tupak, kph, s, las. parveke — 40.5 m² — Koskenniska Oulu</t>
  </si>
  <si>
    <t>Rautionkatu 22 Oulu Oulu</t>
  </si>
  <si>
    <t>Rautionkatu 22</t>
  </si>
  <si>
    <t>Oulu Oulu</t>
  </si>
  <si>
    <t>21919713</t>
  </si>
  <si>
    <t>https://d3ls91xgksobn.cloudfront.net/400x300/etuovimedia/images/property/import/817/2440817/0e76b9541118d347871c0e0e51d244c4/bb873900ede6bb1e66c4b23242e91646/ORIGINAL.jpeg</t>
  </si>
  <si>
    <t>https://d3ls91xgksobn.cloudfront.net/1200x900/etuovimedia/images/property/import/817/2440817/0e76b9541118d347871c0e0e51d244c4/bb873900ede6bb1e66c4b23242e91646/ORIGINAL.jpeg</t>
  </si>
  <si>
    <t>2440817</t>
  </si>
  <si>
    <t>https://www.etuovi.com/kohde/21919713</t>
  </si>
  <si>
    <t>212 000 €</t>
  </si>
  <si>
    <t>2026-01-09</t>
  </si>
  <si>
    <t>2026-06-10T14:03:51.067Z</t>
  </si>
  <si>
    <t>Apartment (Kerrostalo) — 3h, k, s — 69.5 m² — Oulu Oulu</t>
  </si>
  <si>
    <t>Hirvensarvi 22 Ritaharju Oulu</t>
  </si>
  <si>
    <t>Hirvensarvi 22</t>
  </si>
  <si>
    <t>Ritaharju Oulu</t>
  </si>
  <si>
    <t>Ritaharju</t>
  </si>
  <si>
    <t>20618032</t>
  </si>
  <si>
    <t>https://d3ls91xgksobn.cloudfront.net/400x300/etuovimedia/images/property/import/156/2441156/0e76b9541118d347871c0e0e51d244c4/95dd11bab3d53eab9723bbca286710b9/ORIGINAL.jpeg</t>
  </si>
  <si>
    <t>https://d3ls91xgksobn.cloudfront.net/1200x900/etuovimedia/images/property/import/156/2441156/0e76b9541118d347871c0e0e51d244c4/95dd11bab3d53eab9723bbca286710b9/ORIGINAL.jpeg</t>
  </si>
  <si>
    <t>2441156</t>
  </si>
  <si>
    <t>https://www.etuovi.com/kohde/20618032</t>
  </si>
  <si>
    <t>348 000 €</t>
  </si>
  <si>
    <t>2026-01-10</t>
  </si>
  <si>
    <t>2026-06-10T14:03:51.114Z</t>
  </si>
  <si>
    <t>Detached House (Omakotitalo) — 5h, k, s — 169.5 m² — Ritaharju Oulu</t>
  </si>
  <si>
    <t>Käpytie 4 A Käpylä Tampere</t>
  </si>
  <si>
    <t>Käpytie 4 A</t>
  </si>
  <si>
    <t>Käpylä Tampere</t>
  </si>
  <si>
    <t>Juha Palvaanlahti</t>
  </si>
  <si>
    <t>1939</t>
  </si>
  <si>
    <t>Käpylä</t>
  </si>
  <si>
    <t>80473225</t>
  </si>
  <si>
    <t>https://d3ls91xgksobn.cloudfront.net/400x300/etuovimedia/images/property/import/59/2430059/0e76b9541118d347871c0e0e51d244c4/0c1a72dc94e218b488dc1e1d01da353c/ORIGINAL.jpeg</t>
  </si>
  <si>
    <t>https://d3ls91xgksobn.cloudfront.net/1200x900/etuovimedia/images/property/import/59/2430059/0e76b9541118d347871c0e0e51d244c4/0c1a72dc94e218b488dc1e1d01da353c/ORIGINAL.jpeg</t>
  </si>
  <si>
    <t>https://d3ls91xgksobn.cloudfront.net/1200x900/etuovimedia/images/property/import/59/2430059/0e76b9541118d347871c0e0e51d244c4/dfc7a1d4ed7aea43fee67802be648561/ORIGINAL.jpeg</t>
  </si>
  <si>
    <t>2430059</t>
  </si>
  <si>
    <t>https://www.etuovi.com/kohde/80473225</t>
  </si>
  <si>
    <t>286 000 €</t>
  </si>
  <si>
    <t>2025-12-29</t>
  </si>
  <si>
    <t>2026-06-10T14:03:51.151Z</t>
  </si>
  <si>
    <t>Apartment (Kerrostalo) — 3h, k, kph — 91 m² — Käpylä Tampere</t>
  </si>
  <si>
    <t>Survontie 37 A 06 Ainola Jyväskylä</t>
  </si>
  <si>
    <t>Survontie 37 A 06</t>
  </si>
  <si>
    <t>Ainola Jyväskylä</t>
  </si>
  <si>
    <t>fs4337</t>
  </si>
  <si>
    <t>https://d3ls91xgksobn.cloudfront.net/400x300/etuovimedia/images/property/import/140/2609140/0e76b9541118d347871c0e0e51d244c4/5ded1e04d91c6e8a12906eb6e547bf92/ORIGINAL.jpeg</t>
  </si>
  <si>
    <t>https://d3ls91xgksobn.cloudfront.net/1200x900/etuovimedia/images/property/import/140/2609140/0e76b9541118d347871c0e0e51d244c4/5ded1e04d91c6e8a12906eb6e547bf92/ORIGINAL.jpeg</t>
  </si>
  <si>
    <t>2609140</t>
  </si>
  <si>
    <t>https://www.etuovi.com/kohde/fs4337</t>
  </si>
  <si>
    <t>14 156,79 €</t>
  </si>
  <si>
    <t>3H + K + S</t>
  </si>
  <si>
    <t>2026-06-10T14:03:51.162Z</t>
  </si>
  <si>
    <t>Apartment (Kerrostalo) — 3H + K + S — 80 m² — Ainola Jyväskylä</t>
  </si>
  <si>
    <t>Papinniementie 3 Hakkari, Kuokkala Lempäälä</t>
  </si>
  <si>
    <t>Papinniementie 3</t>
  </si>
  <si>
    <t>Hakkari, Kuokkala Lempäälä</t>
  </si>
  <si>
    <t>2002</t>
  </si>
  <si>
    <t>Hakkari, Kuokkala</t>
  </si>
  <si>
    <t>80511553</t>
  </si>
  <si>
    <t>https://d3ls91xgksobn.cloudfront.net/400x300/etuovimedia/images/property/import/129/2609129/0e76b9541118d347871c0e0e51d244c4/79e34201462f49832aacaa06e064bf49/ORIGINAL.jpeg</t>
  </si>
  <si>
    <t>https://d3ls91xgksobn.cloudfront.net/1200x900/etuovimedia/images/property/import/129/2609129/0e76b9541118d347871c0e0e51d244c4/79e34201462f49832aacaa06e064bf49/ORIGINAL.jpeg</t>
  </si>
  <si>
    <t>https://d3ls91xgksobn.cloudfront.net/1200x900/etuovimedia/images/property/import/129/2609129/0e76b9541118d347871c0e0e51d244c4/a25e444c0483d820b992d8a7d28b6ba0/ORIGINAL.jpeg</t>
  </si>
  <si>
    <t>https://d3ls91xgksobn.cloudfront.net/1200x900/etuovimedia/images/property/import/129/2609129/0e76b9541118d347871c0e0e51d244c4/47894aef76199c595b5824c0966334b4/ORIGINAL.jpeg</t>
  </si>
  <si>
    <t>2609129</t>
  </si>
  <si>
    <t>https://www.etuovi.com/kohde/80511553</t>
  </si>
  <si>
    <t>445 000 €</t>
  </si>
  <si>
    <t>7h, k, khh, kph, s, 2 x erillis wc, 3 x vh. parveke, ransk. p. autot. autok. varasto</t>
  </si>
  <si>
    <t>2026-06-10T14:03:51.173Z</t>
  </si>
  <si>
    <t>Detached House (Omakotitalo) — 7h, k, khh, kph, s, 2 x erillis wc, 3 x vh. parveke, ransk. p. autot. autok. varasto — 190 m² — Hakkari, Kuokkala Lempäälä</t>
  </si>
  <si>
    <t>Ilmarinkatu 14 B Tammela Tampere</t>
  </si>
  <si>
    <t>Ilmarinkatu 14 B</t>
  </si>
  <si>
    <t>Jarkko Helenius</t>
  </si>
  <si>
    <t>80514287</t>
  </si>
  <si>
    <t>https://d3ls91xgksobn.cloudfront.net/400x300/etuovimedia/images/property/import/128/2609128/0e76b9541118d347871c0e0e51d244c4/621072cab9f5935d306a8528b6d6d2b6/ORIGINAL.jpeg</t>
  </si>
  <si>
    <t>https://d3ls91xgksobn.cloudfront.net/1200x900/etuovimedia/images/property/import/128/2609128/0e76b9541118d347871c0e0e51d244c4/621072cab9f5935d306a8528b6d6d2b6/ORIGINAL.jpeg</t>
  </si>
  <si>
    <t>https://d3ls91xgksobn.cloudfront.net/1200x900/etuovimedia/images/property/import/128/2609128/0e76b9541118d347871c0e0e51d244c4/23e1cffd7e38d85b984ca5c38c167cf2/ORIGINAL.jpeg</t>
  </si>
  <si>
    <t>2609128</t>
  </si>
  <si>
    <t>https://www.etuovi.com/kohde/80514287</t>
  </si>
  <si>
    <t>2026-06-10T14:03:51.251Z</t>
  </si>
  <si>
    <t>Apartment (Kerrostalo) — 2h + k — 60.5 m² — Tammela Tampere</t>
  </si>
  <si>
    <t>Livanvuorentie 31 Ahtiala Lempäälä</t>
  </si>
  <si>
    <t>Livanvuorentie 31</t>
  </si>
  <si>
    <t>Ahtiala Lempäälä</t>
  </si>
  <si>
    <t>Milla Aalto</t>
  </si>
  <si>
    <t>Ahtiala</t>
  </si>
  <si>
    <t>80515347</t>
  </si>
  <si>
    <t>https://d3ls91xgksobn.cloudfront.net/400x300/etuovimedia/images/property/import/127/2609127/0e76b9541118d347871c0e0e51d244c4/068724c081f8507c90b98089ae8dfdb6/ORIGINAL.jpeg</t>
  </si>
  <si>
    <t>https://d3ls91xgksobn.cloudfront.net/1200x900/etuovimedia/images/property/import/127/2609127/0e76b9541118d347871c0e0e51d244c4/068724c081f8507c90b98089ae8dfdb6/ORIGINAL.jpeg</t>
  </si>
  <si>
    <t>https://d3ls91xgksobn.cloudfront.net/1200x900/etuovimedia/images/property/import/127/2609127/0e76b9541118d347871c0e0e51d244c4/5873a1ebebc7e1e60e264625ea7f7b0e/ORIGINAL.jpeg</t>
  </si>
  <si>
    <t>https://d3ls91xgksobn.cloudfront.net/1200x900/etuovimedia/images/property/import/127/2609127/0e76b9541118d347871c0e0e51d244c4/c9f39766fb845c0ef5a8b8a7f8823c56/ORIGINAL.jpeg</t>
  </si>
  <si>
    <t>2609127</t>
  </si>
  <si>
    <t>https://www.etuovi.com/kohde/80515347</t>
  </si>
  <si>
    <t>519 000 €</t>
  </si>
  <si>
    <t>5h, k, khh, ph, s, kph / wc, erill.wc, 2vh, harrastustila, at</t>
  </si>
  <si>
    <t>2026-06-10T14:03:51.282Z</t>
  </si>
  <si>
    <t>Detached House (Omakotitalo) — 5h, k, khh, ph, s, kph / wc, erill.wc, 2vh, harrastustila, at — 164 m² — Ahtiala Lempäälä</t>
  </si>
  <si>
    <t>Lukkolankatu 4-8 B Pikonlinna Kangasala</t>
  </si>
  <si>
    <t>Lukkolankatu 4-8 B</t>
  </si>
  <si>
    <t>Pikonlinna Kangasala</t>
  </si>
  <si>
    <t>Pikonlinna</t>
  </si>
  <si>
    <t>80510736</t>
  </si>
  <si>
    <t>https://d3ls91xgksobn.cloudfront.net/400x300/etuovimedia/images/property/import/126/2609126/0e76b9541118d347871c0e0e51d244c4/d913498ac90314899ffe18618839e762/ORIGINAL.jpeg</t>
  </si>
  <si>
    <t>https://d3ls91xgksobn.cloudfront.net/1200x900/etuovimedia/images/property/import/126/2609126/0e76b9541118d347871c0e0e51d244c4/d913498ac90314899ffe18618839e762/ORIGINAL.jpeg</t>
  </si>
  <si>
    <t>https://d3ls91xgksobn.cloudfront.net/1200x900/etuovimedia/images/property/import/126/2609126/0e76b9541118d347871c0e0e51d244c4/1fff81cb932adfbb07c3ec4ed7007595/ORIGINAL.jpeg</t>
  </si>
  <si>
    <t>https://d3ls91xgksobn.cloudfront.net/1200x900/etuovimedia/images/property/import/126/2609126/0e76b9541118d347871c0e0e51d244c4/b62e320094244544c5a7b7de7f6e2d84/ORIGINAL.jpeg</t>
  </si>
  <si>
    <t>2609126</t>
  </si>
  <si>
    <t>https://www.etuovi.com/kohde/80510736</t>
  </si>
  <si>
    <t>2h, avok, kph / wc, s, lasit.terassi, terassi, ak, varasto</t>
  </si>
  <si>
    <t>2026-06-10T14:03:51.372Z</t>
  </si>
  <si>
    <t>Row House (Rivitalo) — 2h, avok, kph / wc, s, lasit.terassi, terassi, ak, varasto — 50 m² — Pikonlinna Kangasala</t>
  </si>
  <si>
    <t>Rannantie 60 Muurla Salo</t>
  </si>
  <si>
    <t>Rannantie 60</t>
  </si>
  <si>
    <t>Muurla Salo</t>
  </si>
  <si>
    <t>3645</t>
  </si>
  <si>
    <t>Kiinteistömaailma Salo | Muuttovoitto LKV Oy</t>
  </si>
  <si>
    <t>Muurla</t>
  </si>
  <si>
    <t>39354715</t>
  </si>
  <si>
    <t>https://d3ls91xgksobn.cloudfront.net/400x300/etuovimedia/images/property/import/123/2609123/0e76b9541118d347871c0e0e51d244c4/4713351de91761245e68de346e61a64b/ORIGINAL.jpeg</t>
  </si>
  <si>
    <t>https://d3ls91xgksobn.cloudfront.net/1200x900/etuovimedia/images/property/import/123/2609123/0e76b9541118d347871c0e0e51d244c4/4713351de91761245e68de346e61a64b/ORIGINAL.jpeg</t>
  </si>
  <si>
    <t>2609123</t>
  </si>
  <si>
    <t>https://www.etuovi.com/kohde/39354715</t>
  </si>
  <si>
    <t>3-4h, k ph, s, 2wc, khh.</t>
  </si>
  <si>
    <t>2026-06-10T14:03:51.463Z</t>
  </si>
  <si>
    <t>Detached House (Omakotitalo) — 3-4h, k ph, s, 2wc, khh. — 103 m² — Muurla Salo</t>
  </si>
  <si>
    <t>Hanhikkitie 2 Vanhakylä Ulvila</t>
  </si>
  <si>
    <t>Hanhikkitie 2</t>
  </si>
  <si>
    <t>Vanhakylä Ulvila</t>
  </si>
  <si>
    <t>851</t>
  </si>
  <si>
    <t>Kiinteistöpori Oy Airi Vuorisalo LKV</t>
  </si>
  <si>
    <t>http://kiinteistopori.fi/</t>
  </si>
  <si>
    <t>Vanhakylä</t>
  </si>
  <si>
    <t>20400657</t>
  </si>
  <si>
    <t>https://d3ls91xgksobn.cloudfront.net/400x300/etuovimedia/images/property/import/122/2609122/0e76b9541118d347871c0e0e51d244c4/c8577b57e7e10059bac5423a416d6f58/ORIGINAL.jpeg</t>
  </si>
  <si>
    <t>https://d3ls91xgksobn.cloudfront.net/1200x900/etuovimedia/images/property/import/122/2609122/0e76b9541118d347871c0e0e51d244c4/c8577b57e7e10059bac5423a416d6f58/ORIGINAL.jpeg</t>
  </si>
  <si>
    <t>2609122</t>
  </si>
  <si>
    <t>https://www.etuovi.com/kohde/20400657</t>
  </si>
  <si>
    <t>3h, k, ph, s + autokatospaikka ja varasto</t>
  </si>
  <si>
    <t>2026-06-10T14:03:51.576Z</t>
  </si>
  <si>
    <t>Row House (Rivitalo) — 3h, k, ph, s + autokatospaikka ja varasto — 75 m² — Vanhakylä Ulvila</t>
  </si>
  <si>
    <t>Höytiäisentie 18 Kytö Joensuu</t>
  </si>
  <si>
    <t>Höytiäisentie 18</t>
  </si>
  <si>
    <t>Kytö Joensuu</t>
  </si>
  <si>
    <t>Mirva Turkulainen</t>
  </si>
  <si>
    <t>Kytö</t>
  </si>
  <si>
    <t>66950153</t>
  </si>
  <si>
    <t>https://d3ls91xgksobn.cloudfront.net/400x300/etuovimedia/images/property/import/120/2609120/0e76b9541118d347871c0e0e51d244c4/b51757ef9709ecf6c94a67e6192533ed/ORIGINAL.jpeg</t>
  </si>
  <si>
    <t>https://d3ls91xgksobn.cloudfront.net/1200x900/etuovimedia/images/property/import/120/2609120/0e76b9541118d347871c0e0e51d244c4/b51757ef9709ecf6c94a67e6192533ed/ORIGINAL.jpeg</t>
  </si>
  <si>
    <t>https://d3ls91xgksobn.cloudfront.net/1200x900/etuovimedia/images/property/import/120/2609120/0e76b9541118d347871c0e0e51d244c4/48144ba5ef8a0ceac41bfab26620f79d/ORIGINAL.jpeg</t>
  </si>
  <si>
    <t>2609120</t>
  </si>
  <si>
    <t>https://www.etuovi.com/kohde/66950153</t>
  </si>
  <si>
    <t>5h, k, kph, s</t>
  </si>
  <si>
    <t>2026-06-10T14:03:51.592Z</t>
  </si>
  <si>
    <t>Detached House (Omakotitalo) — 5h, k, kph, s — 135 m² — Kytö Joensuu</t>
  </si>
  <si>
    <t>Höltäntie 5 Urjala Urjala</t>
  </si>
  <si>
    <t>Höltäntie 5</t>
  </si>
  <si>
    <t>Urjala Urjala</t>
  </si>
  <si>
    <t>21371203</t>
  </si>
  <si>
    <t>https://d3ls91xgksobn.cloudfront.net/400x300/etuovimedia/images/property/import/119/2609119/0e76b9541118d347871c0e0e51d244c4/0a4b53e1a3f49e2e9948925f49d672c1/ORIGINAL.jpeg</t>
  </si>
  <si>
    <t>https://d3ls91xgksobn.cloudfront.net/1200x900/etuovimedia/images/property/import/119/2609119/0e76b9541118d347871c0e0e51d244c4/0a4b53e1a3f49e2e9948925f49d672c1/ORIGINAL.jpeg</t>
  </si>
  <si>
    <t>https://d3ls91xgksobn.cloudfront.net/1200x900/etuovimedia/images/property/import/119/2609119/0e76b9541118d347871c0e0e51d244c4/cdee9834dff0ba883072b27997919b4b/ORIGINAL.jpeg</t>
  </si>
  <si>
    <t>https://d3ls91xgksobn.cloudfront.net/1200x900/etuovimedia/images/property/import/119/2609119/0e76b9541118d347871c0e0e51d244c4/944067bd3f8cdc65bfdce2df6e792735/ORIGINAL.jpeg</t>
  </si>
  <si>
    <t>2609119</t>
  </si>
  <si>
    <t>https://www.etuovi.com/kohde/21371203</t>
  </si>
  <si>
    <t>3h, k, ph, s</t>
  </si>
  <si>
    <t>2026-06-10T14:03:51.668Z</t>
  </si>
  <si>
    <t>Semi-detached (Paritalo) — 3h, k, ph, s — 85 m² — Urjala Urjala</t>
  </si>
  <si>
    <t>Kevätpuuntie 3 Metsokangas Oulu</t>
  </si>
  <si>
    <t>Kevätpuuntie 3</t>
  </si>
  <si>
    <t>Metsokangas Oulu</t>
  </si>
  <si>
    <t>1378</t>
  </si>
  <si>
    <t>BOOK LKV</t>
  </si>
  <si>
    <t>http://www.booklkv.fi/</t>
  </si>
  <si>
    <t>Metsokangas</t>
  </si>
  <si>
    <t>20784331</t>
  </si>
  <si>
    <t>https://d3ls91xgksobn.cloudfront.net/400x300/etuovimedia/images/property/import/118/2609118/0e76b9541118d347871c0e0e51d244c4/bee77e0c57201ef4a9e57bb9f6f6493d/ORIGINAL.jpeg</t>
  </si>
  <si>
    <t>https://d3ls91xgksobn.cloudfront.net/1200x900/etuovimedia/images/property/import/118/2609118/0e76b9541118d347871c0e0e51d244c4/bee77e0c57201ef4a9e57bb9f6f6493d/ORIGINAL.jpeg</t>
  </si>
  <si>
    <t>2609118</t>
  </si>
  <si>
    <t>https://www.etuovi.com/kohde/20784331</t>
  </si>
  <si>
    <t>2mh + oh + k + kph / khh + sa + var + ak</t>
  </si>
  <si>
    <t>2026-06-10T14:03:51.679Z</t>
  </si>
  <si>
    <t>SEPARATE_HOUSE — 2mh + oh + k + kph / khh + sa + var + ak — 72 m² — Metsokangas Oulu</t>
  </si>
  <si>
    <t>Oravanmarjantie 9 Rantakylä Joensuu</t>
  </si>
  <si>
    <t>Oravanmarjantie 9</t>
  </si>
  <si>
    <t>52420111</t>
  </si>
  <si>
    <t>https://d3ls91xgksobn.cloudfront.net/400x300/etuovimedia/images/property/import/114/2609114/0e76b9541118d347871c0e0e51d244c4/7f69147cd909befdeeb39b2599c87597/ORIGINAL.jpeg</t>
  </si>
  <si>
    <t>https://d3ls91xgksobn.cloudfront.net/1200x900/etuovimedia/images/property/import/114/2609114/0e76b9541118d347871c0e0e51d244c4/7f69147cd909befdeeb39b2599c87597/ORIGINAL.jpeg</t>
  </si>
  <si>
    <t>https://d3ls91xgksobn.cloudfront.net/1200x900/etuovimedia/images/property/import/114/2609114/0e76b9541118d347871c0e0e51d244c4/1242b58cd8098c3626593f0ffb2e28b1/ORIGINAL.jpeg</t>
  </si>
  <si>
    <t>2609114</t>
  </si>
  <si>
    <t>https://www.etuovi.com/kohde/52420111</t>
  </si>
  <si>
    <t>2026-06-10T14:03:59.981Z</t>
  </si>
  <si>
    <t>Detached House (Omakotitalo) — 4h, k, s — 128 m² — Rantakylä Joensuu</t>
  </si>
  <si>
    <t>Häähkäjoentie 45 Muhola Kinnula</t>
  </si>
  <si>
    <t>Häähkäjoentie 45</t>
  </si>
  <si>
    <t>Muhola Kinnula</t>
  </si>
  <si>
    <t>3705</t>
  </si>
  <si>
    <t>OC Pohjanmaa Oy LkV</t>
  </si>
  <si>
    <t>https://oclkv.fi/</t>
  </si>
  <si>
    <t>Muhola</t>
  </si>
  <si>
    <t>80513899</t>
  </si>
  <si>
    <t>https://d3ls91xgksobn.cloudfront.net/400x300/etuovimedia/images/property/import/112/2609112/0e76b9541118d347871c0e0e51d244c4/97168f6b55551ac37af85b6bd06150cd/ORIGINAL.jpeg</t>
  </si>
  <si>
    <t>https://d3ls91xgksobn.cloudfront.net/1200x900/etuovimedia/images/property/import/112/2609112/0e76b9541118d347871c0e0e51d244c4/97168f6b55551ac37af85b6bd06150cd/ORIGINAL.jpeg</t>
  </si>
  <si>
    <t>2609112</t>
  </si>
  <si>
    <t>https://www.etuovi.com/kohde/80513899</t>
  </si>
  <si>
    <t>60 000 €</t>
  </si>
  <si>
    <t>4mh + k + tupa + aula + varastoh + ph + s</t>
  </si>
  <si>
    <t>2026-06-10T14:03:59.995Z</t>
  </si>
  <si>
    <t>Detached House (Omakotitalo) — 4mh + k + tupa + aula + varastoh + ph + s — 144 m² — Muhola Kinnula</t>
  </si>
  <si>
    <t>Luhdantie 28 Tervalampi Vihti</t>
  </si>
  <si>
    <t>Luhdantie 28</t>
  </si>
  <si>
    <t>Tervalampi Vihti</t>
  </si>
  <si>
    <t>3458</t>
  </si>
  <si>
    <t>Huoneistokeskus Vihti-Nummela</t>
  </si>
  <si>
    <t>Tervalampi</t>
  </si>
  <si>
    <t>80514264</t>
  </si>
  <si>
    <t>https://d3ls91xgksobn.cloudfront.net/400x300/etuovimedia/images/property/import/111/2609111/0e76b9541118d347871c0e0e51d244c4/b1741a07f80ffc8fd28ad066962d13da/ORIGINAL.jpeg</t>
  </si>
  <si>
    <t>https://d3ls91xgksobn.cloudfront.net/1200x900/etuovimedia/images/property/import/111/2609111/0e76b9541118d347871c0e0e51d244c4/b1741a07f80ffc8fd28ad066962d13da/ORIGINAL.jpeg</t>
  </si>
  <si>
    <t>2609111</t>
  </si>
  <si>
    <t>https://www.etuovi.com/kohde/80514264</t>
  </si>
  <si>
    <t>369 000 €</t>
  </si>
  <si>
    <t>2h, k, s, khh, erillinen wc ja eteinen, olohuone mahdollista muuntaa useammiksi huoneiksi, käyttöullakko jonne mahdollisuus rakentaa lisähuoneita.</t>
  </si>
  <si>
    <t>2026-06-10T14:04:00.350Z</t>
  </si>
  <si>
    <t>Detached House (Omakotitalo) — 2h, k, s, khh, erillinen wc ja eteinen, olohuone mahdollista muuntaa useammiksi huoneiksi, käyttöullakko jonne mahdollisuus rakentaa lisähuoneita. — 106.5 m² — Tervalampi Vihti</t>
  </si>
  <si>
    <t>Pihatonkatu 1 A Pyhtilä Raahe</t>
  </si>
  <si>
    <t>Pihatonkatu 1 A</t>
  </si>
  <si>
    <t>Pyhtilä Raahe</t>
  </si>
  <si>
    <t>777</t>
  </si>
  <si>
    <t>Kodinaika Oy LKV</t>
  </si>
  <si>
    <t>http://www.kodinaika.fi/</t>
  </si>
  <si>
    <t>Pyhtilä</t>
  </si>
  <si>
    <t>80515738</t>
  </si>
  <si>
    <t>https://d3ls91xgksobn.cloudfront.net/400x300/etuovimedia/images/property/import/110/2609110/0e76b9541118d347871c0e0e51d244c4/760266a566e1da2ecaa0741ac922b3c9/ORIGINAL.jpeg</t>
  </si>
  <si>
    <t>https://d3ls91xgksobn.cloudfront.net/1200x900/etuovimedia/images/property/import/110/2609110/0e76b9541118d347871c0e0e51d244c4/760266a566e1da2ecaa0741ac922b3c9/ORIGINAL.jpeg</t>
  </si>
  <si>
    <t>2609110</t>
  </si>
  <si>
    <t>https://www.etuovi.com/kohde/80515738</t>
  </si>
  <si>
    <t>3h, k, kph / wc, s, var, ak</t>
  </si>
  <si>
    <t>2026-06-10T14:04:00.551Z</t>
  </si>
  <si>
    <t>Semi-detached (Paritalo) — 3h, k, kph / wc, s, var, ak — 70.5 m² — Pyhtilä Raahe</t>
  </si>
  <si>
    <t>Nokkalantie 43 A Laanila Oulu</t>
  </si>
  <si>
    <t>Nokkalantie 43 A</t>
  </si>
  <si>
    <t>Laanila Oulu</t>
  </si>
  <si>
    <t>Laanila</t>
  </si>
  <si>
    <t>80513046</t>
  </si>
  <si>
    <t>https://d3ls91xgksobn.cloudfront.net/400x300/etuovimedia/images/property/import/109/2609109/0e76b9541118d347871c0e0e51d244c4/acf43fb43f0d8bb5557190c9300cc840/ORIGINAL.jpeg</t>
  </si>
  <si>
    <t>https://d3ls91xgksobn.cloudfront.net/1200x900/etuovimedia/images/property/import/109/2609109/0e76b9541118d347871c0e0e51d244c4/acf43fb43f0d8bb5557190c9300cc840/ORIGINAL.jpeg</t>
  </si>
  <si>
    <t>https://d3ls91xgksobn.cloudfront.net/1200x900/etuovimedia/images/property/import/109/2609109/0e76b9541118d347871c0e0e51d244c4/b4427c318bc9d3ca69769e25fe934dce/ORIGINAL.jpeg</t>
  </si>
  <si>
    <t>2609109</t>
  </si>
  <si>
    <t>https://www.etuovi.com/kohde/80513046</t>
  </si>
  <si>
    <t>2026-06-10T14:04:00.567Z</t>
  </si>
  <si>
    <t>Apartment (Kerrostalo) — 3h, k, kph — 73 m² — Laanila Oulu</t>
  </si>
  <si>
    <t>Vesijärvenkatu 20 B Keski-Lahti Lahti</t>
  </si>
  <si>
    <t>Vesijärvenkatu 20 B</t>
  </si>
  <si>
    <t>Keski-Lahti Lahti</t>
  </si>
  <si>
    <t>Pilvi Yli-Opas</t>
  </si>
  <si>
    <t>1942</t>
  </si>
  <si>
    <t>Keski-Lahti</t>
  </si>
  <si>
    <t>80514770</t>
  </si>
  <si>
    <t>https://d3ls91xgksobn.cloudfront.net/400x300/etuovimedia/images/property/import/108/2609108/0e76b9541118d347871c0e0e51d244c4/d9c43b4dcd9a702ee8c199886e328aee/ORIGINAL.jpeg</t>
  </si>
  <si>
    <t>https://d3ls91xgksobn.cloudfront.net/1200x900/etuovimedia/images/property/import/108/2609108/0e76b9541118d347871c0e0e51d244c4/d9c43b4dcd9a702ee8c199886e328aee/ORIGINAL.jpeg</t>
  </si>
  <si>
    <t>https://d3ls91xgksobn.cloudfront.net/1200x900/etuovimedia/images/property/import/108/2609108/0e76b9541118d347871c0e0e51d244c4/90042e0f4c70fa341884d1baff8abeeb/ORIGINAL.jpeg</t>
  </si>
  <si>
    <t>2609108</t>
  </si>
  <si>
    <t>https://www.etuovi.com/kohde/80514770</t>
  </si>
  <si>
    <t>2h, k, kph / wc, s</t>
  </si>
  <si>
    <t>2026-06-10T14:04:00.662Z</t>
  </si>
  <si>
    <t>Apartment (Kerrostalo) — 2h, k, kph / wc, s — 58 m² — Keski-Lahti Lahti</t>
  </si>
  <si>
    <t>Paperitehtaankatu 30 Kangas Jyväskylä</t>
  </si>
  <si>
    <t>Paperitehtaankatu 30</t>
  </si>
  <si>
    <t>Kangas Jyväskylä</t>
  </si>
  <si>
    <t>Kangas</t>
  </si>
  <si>
    <t>w93376</t>
  </si>
  <si>
    <t>https://d3ls91xgksobn.cloudfront.net/400x300/etuovimedia/images/property/import/504/2033504/0e76b9541118d347871c0e0e51d244c4/bb6e2eda542c3941e7e79ea50dfe293e/ORIGINAL.jpeg</t>
  </si>
  <si>
    <t>https://d3ls91xgksobn.cloudfront.net/1200x900/etuovimedia/images/property/import/504/2033504/0e76b9541118d347871c0e0e51d244c4/bb6e2eda542c3941e7e79ea50dfe293e/ORIGINAL.jpeg</t>
  </si>
  <si>
    <t>2033504</t>
  </si>
  <si>
    <t>https://www.etuovi.com/kohde/w93376</t>
  </si>
  <si>
    <t>39 654 €</t>
  </si>
  <si>
    <t>2025-01-17</t>
  </si>
  <si>
    <t>2026-06-10T14:04:00.675Z</t>
  </si>
  <si>
    <t>Apartment (Kerrostalo) — 3h + kt + s — 66.5 m² — Kangas Jyväskylä</t>
  </si>
  <si>
    <t>Rantamännyntie 27 Jokihaara Uurainen</t>
  </si>
  <si>
    <t>Rantamännyntie 27</t>
  </si>
  <si>
    <t>Jokihaara Uurainen</t>
  </si>
  <si>
    <t>Jokihaara</t>
  </si>
  <si>
    <t>46804456</t>
  </si>
  <si>
    <t>https://d3ls91xgksobn.cloudfront.net/400x300/etuovimedia/images/property/import/426/2320426/0e76b9541118d347871c0e0e51d244c4/047abaf592e1141b9c9b5c2a1700d1e9/ORIGINAL.jpeg</t>
  </si>
  <si>
    <t>https://d3ls91xgksobn.cloudfront.net/1200x900/etuovimedia/images/property/import/426/2320426/0e76b9541118d347871c0e0e51d244c4/047abaf592e1141b9c9b5c2a1700d1e9/ORIGINAL.jpeg</t>
  </si>
  <si>
    <t>2320426</t>
  </si>
  <si>
    <t>https://www.etuovi.com/kohde/46804456</t>
  </si>
  <si>
    <t>324 000 €</t>
  </si>
  <si>
    <t>2025-09-09</t>
  </si>
  <si>
    <t>6h, k, kph, s, p, terassi, at, var + rantasauna</t>
  </si>
  <si>
    <t>2026-06-10T14:04:00.695Z</t>
  </si>
  <si>
    <t>Detached House (Omakotitalo) — 6h, k, kph, s, p, terassi, at, var + rantasauna — 149 m² — Jokihaara Uurainen</t>
  </si>
  <si>
    <t>Könnintie 35 Röyskölä Ilmajoki</t>
  </si>
  <si>
    <t>Könnintie 35</t>
  </si>
  <si>
    <t>Röyskölä Ilmajoki</t>
  </si>
  <si>
    <t>2912</t>
  </si>
  <si>
    <t>Omakodit / Oma LKV Oy, Seinäjoki</t>
  </si>
  <si>
    <t>http://www.omakodit.fi/</t>
  </si>
  <si>
    <t>Röyskölä</t>
  </si>
  <si>
    <t>20865527</t>
  </si>
  <si>
    <t>https://d3ls91xgksobn.cloudfront.net/400x300/etuovimedia/images/property/import/935/2305935/0e76b9541118d347871c0e0e51d244c4/b232f17150e73d9707f5c81c12f072d5/ORIGINAL.jpeg</t>
  </si>
  <si>
    <t>https://d3ls91xgksobn.cloudfront.net/1200x900/etuovimedia/images/property/import/935/2305935/0e76b9541118d347871c0e0e51d244c4/b232f17150e73d9707f5c81c12f072d5/ORIGINAL.jpeg</t>
  </si>
  <si>
    <t>2305935</t>
  </si>
  <si>
    <t>https://www.etuovi.com/kohde/20865527</t>
  </si>
  <si>
    <t>2025-08-28</t>
  </si>
  <si>
    <t>3mh + k + oh + s</t>
  </si>
  <si>
    <t>2026-06-10T14:04:00.773Z</t>
  </si>
  <si>
    <t>Detached House (Omakotitalo) — 3mh + k + oh + s — 121 m² — Röyskölä Ilmajoki</t>
  </si>
  <si>
    <t>Raamikatu 15 Metsäkulma Kotka</t>
  </si>
  <si>
    <t>Raamikatu 15</t>
  </si>
  <si>
    <t>Metsäkulma Kotka</t>
  </si>
  <si>
    <t>43</t>
  </si>
  <si>
    <t>Habita Kotka | Kymen Habita Oy</t>
  </si>
  <si>
    <t>Metsäkulma</t>
  </si>
  <si>
    <t>2275600</t>
  </si>
  <si>
    <t>https://d3ls91xgksobn.cloudfront.net/400x300/etuovimedia/images/property/import/101/2609101/0e76b9541118d347871c0e0e51d244c4/e3814d7046d3cb832ab8e6a435309d7c/ORIGINAL.jpeg</t>
  </si>
  <si>
    <t>https://d3ls91xgksobn.cloudfront.net/1200x900/etuovimedia/images/property/import/101/2609101/0e76b9541118d347871c0e0e51d244c4/e3814d7046d3cb832ab8e6a435309d7c/ORIGINAL.jpeg</t>
  </si>
  <si>
    <t>2609101</t>
  </si>
  <si>
    <t>https://www.etuovi.com/kohde/2275600</t>
  </si>
  <si>
    <t>Tyylikkääksi jalostettu isommankin perheen koti!</t>
  </si>
  <si>
    <t>2026-06-10T14:04:00.863Z</t>
  </si>
  <si>
    <t>Detached House (Omakotitalo) — Tyylikkääksi jalostettu isommankin perheen koti! — 124 m² — Metsäkulma Kotka</t>
  </si>
  <si>
    <t>Lustotie Nummela Vihti</t>
  </si>
  <si>
    <t>Lustotie</t>
  </si>
  <si>
    <t>Nummela Vihti</t>
  </si>
  <si>
    <t>1175</t>
  </si>
  <si>
    <t>Kiinteistömaailma Vihti Nummela | Asuntovihti Oy</t>
  </si>
  <si>
    <t>Nummela</t>
  </si>
  <si>
    <t>56420003</t>
  </si>
  <si>
    <t>https://d3ls91xgksobn.cloudfront.net/400x300/etuovimedia/images/property/import/98/2609098/0e76b9541118d347871c0e0e51d244c4/319fdc492f6444d174edcf59bb84bc0f/ORIGINAL.jpeg</t>
  </si>
  <si>
    <t>https://d3ls91xgksobn.cloudfront.net/1200x900/etuovimedia/images/property/import/98/2609098/0e76b9541118d347871c0e0e51d244c4/319fdc492f6444d174edcf59bb84bc0f/ORIGINAL.jpeg</t>
  </si>
  <si>
    <t>2609098</t>
  </si>
  <si>
    <t>https://www.etuovi.com/kohde/56420003</t>
  </si>
  <si>
    <t>4h, k, 2 x kph, s, takkah, vh, erillinen wc, autotalli, autokatos</t>
  </si>
  <si>
    <t>2026-06-10T14:04:00.968Z</t>
  </si>
  <si>
    <t>Detached House (Omakotitalo) — 4h, k, 2 x kph, s, takkah, vh, erillinen wc, autotalli, autokatos — 145 m² — Nummela Vihti</t>
  </si>
  <si>
    <t>Kangastie 7 Tuira Oulu</t>
  </si>
  <si>
    <t>Kangastie 7</t>
  </si>
  <si>
    <t>2275325</t>
  </si>
  <si>
    <t>https://d3ls91xgksobn.cloudfront.net/400x300/etuovimedia/images/property/import/94/2609094/0e76b9541118d347871c0e0e51d244c4/d1a86b52a41a84bcb5bdaaf3416e8241/ORIGINAL.jpeg</t>
  </si>
  <si>
    <t>https://d3ls91xgksobn.cloudfront.net/1200x900/etuovimedia/images/property/import/94/2609094/0e76b9541118d347871c0e0e51d244c4/d1a86b52a41a84bcb5bdaaf3416e8241/ORIGINAL.jpeg</t>
  </si>
  <si>
    <t>2609094</t>
  </si>
  <si>
    <t>https://www.etuovi.com/kohde/2275325</t>
  </si>
  <si>
    <t>Kaksio saunalla ja lasitulla parvekkeella</t>
  </si>
  <si>
    <t>2026-06-10T14:04:01.002Z</t>
  </si>
  <si>
    <t>Apartment (Kerrostalo) — Kaksio saunalla ja lasitulla parvekkeella — 45 m² — Tuira Oulu</t>
  </si>
  <si>
    <t>1268</t>
  </si>
  <si>
    <t>Kymen Asunto Agentti Oy LKV</t>
  </si>
  <si>
    <t>www.asuntoagentti.info</t>
  </si>
  <si>
    <t>Koivukyläntie 37-39 Simonkylä Vantaa</t>
  </si>
  <si>
    <t>Koivukyläntie 37-39</t>
  </si>
  <si>
    <t>Simonkylä Vantaa</t>
  </si>
  <si>
    <t>3651</t>
  </si>
  <si>
    <t>Kiinteistömaailma Vantaa Leinelä | Uusimaa Properties LKV Oy</t>
  </si>
  <si>
    <t>Ilpo Harju</t>
  </si>
  <si>
    <t>Simonkylä</t>
  </si>
  <si>
    <t>1397608</t>
  </si>
  <si>
    <t>https://d3ls91xgksobn.cloudfront.net/400x300/etuovimedia/images/property/import/89/2609089/0e76b9541118d347871c0e0e51d244c4/90d901e34f005bbb090a39ef019675c9/ORIGINAL.jpeg</t>
  </si>
  <si>
    <t>https://d3ls91xgksobn.cloudfront.net/1200x900/etuovimedia/images/property/import/89/2609089/0e76b9541118d347871c0e0e51d244c4/90d901e34f005bbb090a39ef019675c9/ORIGINAL.jpeg</t>
  </si>
  <si>
    <t>https://d3ls91xgksobn.cloudfront.net/1200x900/etuovimedia/images/property/import/89/2609089/0e76b9541118d347871c0e0e51d244c4/fb09e4e94a1b987b939cea61d66e8bd2/ORIGINAL.jpeg</t>
  </si>
  <si>
    <t>2609089</t>
  </si>
  <si>
    <t>https://www.etuovi.com/kohde/1397608</t>
  </si>
  <si>
    <t>3h + k + kph + vh + las.parveke</t>
  </si>
  <si>
    <t>2026-06-10T14:04:01.086Z</t>
  </si>
  <si>
    <t>Apartment (Kerrostalo) — 3h + k + kph + vh + las.parveke — 75 m² — Simonkylä Vantaa</t>
  </si>
  <si>
    <t>Västergårdintie 42 Jorvas Kirkkonummi</t>
  </si>
  <si>
    <t>Västergårdintie 42</t>
  </si>
  <si>
    <t>Jorvas Kirkkonummi</t>
  </si>
  <si>
    <t>Jorvas</t>
  </si>
  <si>
    <t>80491887</t>
  </si>
  <si>
    <t>https://d3ls91xgksobn.cloudfront.net/400x300/etuovimedia/images/property/import/283/2499283/0e76b9541118d347871c0e0e51d244c4/c369e3767297e6acc84c56a68a543ee1/ORIGINAL.jpeg</t>
  </si>
  <si>
    <t>https://d3ls91xgksobn.cloudfront.net/1200x900/etuovimedia/images/property/import/283/2499283/0e76b9541118d347871c0e0e51d244c4/c369e3767297e6acc84c56a68a543ee1/ORIGINAL.jpeg</t>
  </si>
  <si>
    <t>2499283</t>
  </si>
  <si>
    <t>https://www.etuovi.com/kohde/80491887</t>
  </si>
  <si>
    <t>875 000 €</t>
  </si>
  <si>
    <t>2026-03-08</t>
  </si>
  <si>
    <t>5h + k + rt + 2xkph + s + khh + aula + et + at / katos + pihasauna</t>
  </si>
  <si>
    <t>2026-06-10T14:04:01.105Z</t>
  </si>
  <si>
    <t>Detached House (Omakotitalo) — 5h + k + rt + 2xkph + s + khh + aula + et + at / katos + pihasauna — 229.3 m² — Jorvas Kirkkonummi</t>
  </si>
  <si>
    <t>Maratonkuja 1 K Rajakylä Vantaa</t>
  </si>
  <si>
    <t>Maratonkuja 1 K</t>
  </si>
  <si>
    <t>Rajakylä Vantaa</t>
  </si>
  <si>
    <t>Rajakylä</t>
  </si>
  <si>
    <t>80514726</t>
  </si>
  <si>
    <t>https://d3ls91xgksobn.cloudfront.net/400x300/etuovimedia/images/property/import/77/2609077/0e76b9541118d347871c0e0e51d244c4/37a7f58a80b436be2ce2fdf98797d3b4/ORIGINAL.jpeg</t>
  </si>
  <si>
    <t>https://d3ls91xgksobn.cloudfront.net/1200x900/etuovimedia/images/property/import/77/2609077/0e76b9541118d347871c0e0e51d244c4/37a7f58a80b436be2ce2fdf98797d3b4/ORIGINAL.jpeg</t>
  </si>
  <si>
    <t>2609077</t>
  </si>
  <si>
    <t>https://www.etuovi.com/kohde/80514726</t>
  </si>
  <si>
    <t>4h + k + s + piha</t>
  </si>
  <si>
    <t>2026-06-10T14:04:01.121Z</t>
  </si>
  <si>
    <t>Row House (Rivitalo) — 4h + k + s + piha — 98.5 m² — Rajakylä Vantaa</t>
  </si>
  <si>
    <t>Kuoppamäentie 34-36 D Nekala Tampere</t>
  </si>
  <si>
    <t>Kuoppamäentie 34-36 D</t>
  </si>
  <si>
    <t>Nekala Tampere</t>
  </si>
  <si>
    <t>Ari Antinmaa</t>
  </si>
  <si>
    <t>Nekala</t>
  </si>
  <si>
    <t>80512148</t>
  </si>
  <si>
    <t>https://d3ls91xgksobn.cloudfront.net/400x300/etuovimedia/images/property/import/76/2609076/0e76b9541118d347871c0e0e51d244c4/cd0fe212144c224c76d619d526c454ff/ORIGINAL.jpeg</t>
  </si>
  <si>
    <t>https://d3ls91xgksobn.cloudfront.net/1200x900/etuovimedia/images/property/import/76/2609076/0e76b9541118d347871c0e0e51d244c4/cd0fe212144c224c76d619d526c454ff/ORIGINAL.jpeg</t>
  </si>
  <si>
    <t>https://d3ls91xgksobn.cloudfront.net/1200x900/etuovimedia/images/property/import/76/2609076/0e76b9541118d347871c0e0e51d244c4/a920565fd2688f003901a996c17d78a0/ORIGINAL.jpeg</t>
  </si>
  <si>
    <t>https://d3ls91xgksobn.cloudfront.net/1200x900/etuovimedia/images/property/import/76/2609076/0e76b9541118d347871c0e0e51d244c4/3673e846d3105a6d5ff66d13c2500d8c/ORIGINAL.jpeg</t>
  </si>
  <si>
    <t>2609076</t>
  </si>
  <si>
    <t>https://www.etuovi.com/kohde/80512148</t>
  </si>
  <si>
    <t>64 000 €</t>
  </si>
  <si>
    <t>2026-06-10T14:04:01.190Z</t>
  </si>
  <si>
    <t>Apartment (Kerrostalo) — 1h + kk — 27 m² — Nekala Tampere</t>
  </si>
  <si>
    <t>Sörnäistenlaituri 3 E Kalasatama Helsinki</t>
  </si>
  <si>
    <t>Sörnäistenlaituri 3 E</t>
  </si>
  <si>
    <t>Kalasatama Helsinki</t>
  </si>
  <si>
    <t>Kalasatama</t>
  </si>
  <si>
    <t>80513726</t>
  </si>
  <si>
    <t>https://d3ls91xgksobn.cloudfront.net/400x300/etuovimedia/images/property/import/75/2609075/0e76b9541118d347871c0e0e51d244c4/6c65c4326ab2b6a50aeaeafa89d85ac9/ORIGINAL.jpeg</t>
  </si>
  <si>
    <t>https://d3ls91xgksobn.cloudfront.net/1200x900/etuovimedia/images/property/import/75/2609075/0e76b9541118d347871c0e0e51d244c4/6c65c4326ab2b6a50aeaeafa89d85ac9/ORIGINAL.jpeg</t>
  </si>
  <si>
    <t>2609075</t>
  </si>
  <si>
    <t>https://www.etuovi.com/kohde/80513726</t>
  </si>
  <si>
    <t>438 000 €</t>
  </si>
  <si>
    <t>3h + avok + 2xkph + sauna + las.parveke</t>
  </si>
  <si>
    <t>2026-06-10T14:04:01.202Z</t>
  </si>
  <si>
    <t>Apartment (Kerrostalo) — 3h + avok + 2xkph + sauna + las.parveke — 71 m² — Kalasatama Helsinki</t>
  </si>
  <si>
    <t>Salamakuja 3 A Kesämäki Kaarina</t>
  </si>
  <si>
    <t>Salamakuja 3 A</t>
  </si>
  <si>
    <t>Kesämäki Kaarina</t>
  </si>
  <si>
    <t>2607</t>
  </si>
  <si>
    <t>Nyt LKV Oy</t>
  </si>
  <si>
    <t>https://www.nytlkv.fi/</t>
  </si>
  <si>
    <t>Kesämäki</t>
  </si>
  <si>
    <t>80514370</t>
  </si>
  <si>
    <t>https://d3ls91xgksobn.cloudfront.net/400x300/etuovimedia/images/property/import/74/2609074/0e76b9541118d347871c0e0e51d244c4/f6f1a299c169e39068553b567b7cfa1a/ORIGINAL.jpeg</t>
  </si>
  <si>
    <t>https://d3ls91xgksobn.cloudfront.net/1200x900/etuovimedia/images/property/import/74/2609074/0e76b9541118d347871c0e0e51d244c4/f6f1a299c169e39068553b567b7cfa1a/ORIGINAL.jpeg</t>
  </si>
  <si>
    <t>2609074</t>
  </si>
  <si>
    <t>https://www.etuovi.com/kohde/80514370</t>
  </si>
  <si>
    <t>383 000 €</t>
  </si>
  <si>
    <t>3mh, oh, k, kph, s, khh, vh, wc</t>
  </si>
  <si>
    <t>2026-06-10T14:04:01.214Z</t>
  </si>
  <si>
    <t>Detached House (Omakotitalo) — 3mh, oh, k, kph, s, khh, vh, wc — 88 m² — Kesämäki Kaarina</t>
  </si>
  <si>
    <t>Päivölänkatu 1 Pohja Seinäjoki</t>
  </si>
  <si>
    <t>Päivölänkatu 1</t>
  </si>
  <si>
    <t>Pohja Seinäjoki</t>
  </si>
  <si>
    <t>2905</t>
  </si>
  <si>
    <t>Versus Asunnot Oy</t>
  </si>
  <si>
    <t>Pohja</t>
  </si>
  <si>
    <t>20119313</t>
  </si>
  <si>
    <t>https://d3ls91xgksobn.cloudfront.net/400x300/etuovimedia/images/property/import/72/2609072/0e76b9541118d347871c0e0e51d244c4/058d594d19080824cad6e82e3a274495/ORIGINAL.jpeg</t>
  </si>
  <si>
    <t>https://d3ls91xgksobn.cloudfront.net/1200x900/etuovimedia/images/property/import/72/2609072/0e76b9541118d347871c0e0e51d244c4/058d594d19080824cad6e82e3a274495/ORIGINAL.jpeg</t>
  </si>
  <si>
    <t>2609072</t>
  </si>
  <si>
    <t>https://www.etuovi.com/kohde/20119313</t>
  </si>
  <si>
    <t>2026-06-10T14:04:01.364Z</t>
  </si>
  <si>
    <t>Apartment (Kerrostalo) — 2h + k — 59 m² — Pohja Seinäjoki</t>
  </si>
  <si>
    <t>Petter Wetterin tie 1 Herttoniemenranta Helsinki</t>
  </si>
  <si>
    <t>Petter Wetterin tie 1</t>
  </si>
  <si>
    <t>Herttoniemenranta Helsinki</t>
  </si>
  <si>
    <t>3501</t>
  </si>
  <si>
    <t>Kotimeklarit | BkmHelsinki Oy</t>
  </si>
  <si>
    <t>Alamettälä-Pulkkinen Merja</t>
  </si>
  <si>
    <t>Herttoniemenranta</t>
  </si>
  <si>
    <t>21724377</t>
  </si>
  <si>
    <t>https://d3ls91xgksobn.cloudfront.net/400x300/etuovimedia/images/property/import/68/2609068/0e76b9541118d347871c0e0e51d244c4/6b99afc6b91aee79ee8d4efc73ae9203/ORIGINAL.jpeg</t>
  </si>
  <si>
    <t>https://d3ls91xgksobn.cloudfront.net/1200x900/etuovimedia/images/property/import/68/2609068/0e76b9541118d347871c0e0e51d244c4/6b99afc6b91aee79ee8d4efc73ae9203/ORIGINAL.jpeg</t>
  </si>
  <si>
    <t>https://d3ls91xgksobn.cloudfront.net/1200x900/etuovimedia/images/property/import/68/2609068/0e76b9541118d347871c0e0e51d244c4/dc66c7b7f2b972a8b6679525fe6d7f44/ORIGINAL.png</t>
  </si>
  <si>
    <t>2609068</t>
  </si>
  <si>
    <t>https://www.etuovi.com/kohde/21724377</t>
  </si>
  <si>
    <t>2h, k, s, terassi, piha</t>
  </si>
  <si>
    <t>2026-06-10T14:04:01.394Z</t>
  </si>
  <si>
    <t>Apartment (Kerrostalo) — 2h, k, s, terassi, piha — 56.5 m² — Herttoniemenranta Helsinki</t>
  </si>
  <si>
    <t>Viitadyynintie 4 Hiekkasärkät Kalajoki</t>
  </si>
  <si>
    <t>Viitadyynintie 4</t>
  </si>
  <si>
    <t>Hiekkasärkät Kalajoki</t>
  </si>
  <si>
    <t>4576</t>
  </si>
  <si>
    <t>Kiinteistömaailma Kalajoki | Rannikon Kodit Oy</t>
  </si>
  <si>
    <t>Riikka Lyly</t>
  </si>
  <si>
    <t>Hiekkasärkät</t>
  </si>
  <si>
    <t>1408069</t>
  </si>
  <si>
    <t>https://d3ls91xgksobn.cloudfront.net/400x300/etuovimedia/images/property/import/163/2458163/0e76b9541118d347871c0e0e51d244c4/91f9078c31ea71543701950e2ebc8612/ORIGINAL.jpeg</t>
  </si>
  <si>
    <t>https://d3ls91xgksobn.cloudfront.net/1200x900/etuovimedia/images/property/import/163/2458163/0e76b9541118d347871c0e0e51d244c4/91f9078c31ea71543701950e2ebc8612/ORIGINAL.jpeg</t>
  </si>
  <si>
    <t>https://d3ls91xgksobn.cloudfront.net/1200x900/etuovimedia/images/property/import/163/2458163/0e76b9541118d347871c0e0e51d244c4/87388c055d1d57879c6589d213f6993e/ORIGINAL.jpeg</t>
  </si>
  <si>
    <t>2458163</t>
  </si>
  <si>
    <t>https://www.etuovi.com/kohde/1408069</t>
  </si>
  <si>
    <t>2026-01-28</t>
  </si>
  <si>
    <t>3mh, k, oh, khh, ph / wc, s, vh, wc</t>
  </si>
  <si>
    <t>2026-06-10T14:04:01.418Z</t>
  </si>
  <si>
    <t>Detached House (Omakotitalo) — 3mh, k, oh, khh, ph / wc, s, vh, wc — 100 m² — Hiekkasärkät Kalajoki</t>
  </si>
  <si>
    <t>Hahlo 3 Tourula Jyväskylä</t>
  </si>
  <si>
    <t>Hahlo 3</t>
  </si>
  <si>
    <t>Tourula Jyväskylä</t>
  </si>
  <si>
    <t>Tourula</t>
  </si>
  <si>
    <t>fn2933</t>
  </si>
  <si>
    <t>https://d3ls91xgksobn.cloudfront.net/400x300/etuovimedia/images/property/import/221/2592221/0e76b9541118d347871c0e0e51d244c4/7f7dfb14f7673fc7e33fc81b4ffce8e5/ORIGINAL.jpeg</t>
  </si>
  <si>
    <t>https://d3ls91xgksobn.cloudfront.net/1200x900/etuovimedia/images/property/import/221/2592221/0e76b9541118d347871c0e0e51d244c4/7f7dfb14f7673fc7e33fc81b4ffce8e5/ORIGINAL.jpeg</t>
  </si>
  <si>
    <t>2592221</t>
  </si>
  <si>
    <t>https://www.etuovi.com/kohde/fn2933</t>
  </si>
  <si>
    <t>40 253 €</t>
  </si>
  <si>
    <t>2026-05-28</t>
  </si>
  <si>
    <t>3h + kt</t>
  </si>
  <si>
    <t>2026-06-10T14:04:01.453Z</t>
  </si>
  <si>
    <t>Apartment (Kerrostalo) — 3h + kt — 60.5 m² — Tourula Jyväskylä</t>
  </si>
  <si>
    <t>Kotisatamantie 10 C 2 Vanha Satama Vaasa</t>
  </si>
  <si>
    <t>Kotisatamantie 10 C 2</t>
  </si>
  <si>
    <t>Vanha Satama Vaasa</t>
  </si>
  <si>
    <t>Vanha Satama</t>
  </si>
  <si>
    <t>34252848</t>
  </si>
  <si>
    <t>https://d3ls91xgksobn.cloudfront.net/400x300/etuovimedia/images/property/import/49/2609049/0e76b9541118d347871c0e0e51d244c4/5264ae24298230993ad74c87370d0b87/ORIGINAL.jpeg</t>
  </si>
  <si>
    <t>https://d3ls91xgksobn.cloudfront.net/1200x900/etuovimedia/images/property/import/49/2609049/0e76b9541118d347871c0e0e51d244c4/5264ae24298230993ad74c87370d0b87/ORIGINAL.jpeg</t>
  </si>
  <si>
    <t>2609049</t>
  </si>
  <si>
    <t>https://www.etuovi.com/kohde/34252848</t>
  </si>
  <si>
    <t>3H + K + KHH + S</t>
  </si>
  <si>
    <t>2026-06-10T14:04:01.593Z</t>
  </si>
  <si>
    <t>Row House (Rivitalo) — 3H + K + KHH + S — 82 m² — Vanha Satama Vaasa</t>
  </si>
  <si>
    <t>Arvi Kariston katu 1 A Keskusta Hämeenlinna</t>
  </si>
  <si>
    <t>Arvi Kariston katu 1 A</t>
  </si>
  <si>
    <t>Keskusta Hämeenlinna</t>
  </si>
  <si>
    <t>80514182</t>
  </si>
  <si>
    <t>https://d3ls91xgksobn.cloudfront.net/400x300/etuovimedia/images/property/import/46/2609046/0e76b9541118d347871c0e0e51d244c4/0761909cfb5a33a8fe3b42139e9e935c/ORIGINAL.jpeg</t>
  </si>
  <si>
    <t>https://d3ls91xgksobn.cloudfront.net/1200x900/etuovimedia/images/property/import/46/2609046/0e76b9541118d347871c0e0e51d244c4/0761909cfb5a33a8fe3b42139e9e935c/ORIGINAL.jpeg</t>
  </si>
  <si>
    <t>2609046</t>
  </si>
  <si>
    <t>https://www.etuovi.com/kohde/80514182</t>
  </si>
  <si>
    <t>2026-06-10T14:04:01.625Z</t>
  </si>
  <si>
    <t>Apartment (Kerrostalo) — 4h + k + s — 131 m² — Keskusta Hämeenlinna</t>
  </si>
  <si>
    <t>Timanttikiteenkuja 10 A Kivistö Vantaa</t>
  </si>
  <si>
    <t>Timanttikiteenkuja 10 A</t>
  </si>
  <si>
    <t>116</t>
  </si>
  <si>
    <t>Huoneistokeskus Vantaa Keski-Uusimaa</t>
  </si>
  <si>
    <t>80513323</t>
  </si>
  <si>
    <t>https://d3ls91xgksobn.cloudfront.net/400x300/etuovimedia/images/property/import/45/2609045/0e76b9541118d347871c0e0e51d244c4/32599ec09a4e6f13b86fdf0bd9ad4dc7/ORIGINAL.jpeg</t>
  </si>
  <si>
    <t>https://d3ls91xgksobn.cloudfront.net/1200x900/etuovimedia/images/property/import/45/2609045/0e76b9541118d347871c0e0e51d244c4/32599ec09a4e6f13b86fdf0bd9ad4dc7/ORIGINAL.jpeg</t>
  </si>
  <si>
    <t>2609045</t>
  </si>
  <si>
    <t>https://www.etuovi.com/kohde/80513323</t>
  </si>
  <si>
    <t>1-2 h + k t</t>
  </si>
  <si>
    <t>2026-06-10T14:04:01.660Z</t>
  </si>
  <si>
    <t>Apartment (Kerrostalo) — 1-2 h + k t — 46.5 m² — Kivistö Vantaa</t>
  </si>
  <si>
    <t>Pohjanpellonkatu 5b Koristo Kaarina</t>
  </si>
  <si>
    <t>Pohjanpellonkatu 5b</t>
  </si>
  <si>
    <t>Koristo Kaarina</t>
  </si>
  <si>
    <t>1535</t>
  </si>
  <si>
    <t>Sp-Koti | Välitysliike Turku Oy LKV</t>
  </si>
  <si>
    <t>Koristo</t>
  </si>
  <si>
    <t>80511320</t>
  </si>
  <si>
    <t>https://d3ls91xgksobn.cloudfront.net/400x300/etuovimedia/images/property/import/44/2609044/0e76b9541118d347871c0e0e51d244c4/eed8305bff713d96524477d896fc7a4d/ORIGINAL.jpeg</t>
  </si>
  <si>
    <t>https://d3ls91xgksobn.cloudfront.net/1200x900/etuovimedia/images/property/import/44/2609044/0e76b9541118d347871c0e0e51d244c4/eed8305bff713d96524477d896fc7a4d/ORIGINAL.jpeg</t>
  </si>
  <si>
    <t>2609044</t>
  </si>
  <si>
    <t>https://www.etuovi.com/kohde/80511320</t>
  </si>
  <si>
    <t>4-5 h, k, s, var., at.</t>
  </si>
  <si>
    <t>2026-06-10T14:04:01.680Z</t>
  </si>
  <si>
    <t>Semi-detached (Paritalo) — 4-5 h, k, s, var., at. — 120 m² — Koristo Kaarina</t>
  </si>
  <si>
    <t>80513319</t>
  </si>
  <si>
    <t>https://d3ls91xgksobn.cloudfront.net/400x300/etuovimedia/images/property/import/43/2609043/0e76b9541118d347871c0e0e51d244c4/cbddeeb3611961868fe5a7ef4666a4f2/ORIGINAL.jpeg</t>
  </si>
  <si>
    <t>https://d3ls91xgksobn.cloudfront.net/1200x900/etuovimedia/images/property/import/43/2609043/0e76b9541118d347871c0e0e51d244c4/cbddeeb3611961868fe5a7ef4666a4f2/ORIGINAL.jpeg</t>
  </si>
  <si>
    <t>2609043</t>
  </si>
  <si>
    <t>https://www.etuovi.com/kohde/80513319</t>
  </si>
  <si>
    <t>1-4 h + k + s</t>
  </si>
  <si>
    <t>2026-06-10T14:04:01.782Z</t>
  </si>
  <si>
    <t>Apartment (Kerrostalo) — 1-4 h + k + s — 81.5 m² — Kivistö Vantaa</t>
  </si>
  <si>
    <t>Vaaramentie 7 A Hyllykallio Seinäjoki</t>
  </si>
  <si>
    <t>Vaaramentie 7 A</t>
  </si>
  <si>
    <t>Jukka-Pekka Pelto-Arvo</t>
  </si>
  <si>
    <t>615686</t>
  </si>
  <si>
    <t>https://d3ls91xgksobn.cloudfront.net/400x300/etuovimedia/images/property/import/63/2523063/0e76b9541118d347871c0e0e51d244c4/530a06a09f568083ca3372e13fa060d8/ORIGINAL.jpeg</t>
  </si>
  <si>
    <t>https://d3ls91xgksobn.cloudfront.net/1200x900/etuovimedia/images/property/import/63/2523063/0e76b9541118d347871c0e0e51d244c4/530a06a09f568083ca3372e13fa060d8/ORIGINAL.jpeg</t>
  </si>
  <si>
    <t>https://d3ls91xgksobn.cloudfront.net/1200x900/etuovimedia/images/property/import/63/2523063/0e76b9541118d347871c0e0e51d244c4/b7e27ec75dfb5f293972cde716f83e4c/ORIGINAL.jpeg</t>
  </si>
  <si>
    <t>2523063</t>
  </si>
  <si>
    <t>https://www.etuovi.com/kohde/615686</t>
  </si>
  <si>
    <t>169 500 €</t>
  </si>
  <si>
    <t>2026-03-31</t>
  </si>
  <si>
    <t>3h + k + ph + s + wc + terassi + ak + ap</t>
  </si>
  <si>
    <t>2026-06-10T14:04:01.808Z</t>
  </si>
  <si>
    <t>Row House (Rivitalo) — 3h + k + ph + s + wc + terassi + ak + ap — 80.5 m² — Hyllykallio Seinäjoki</t>
  </si>
  <si>
    <t>Kalastajatorpantie 26 Halkokari Kokkola</t>
  </si>
  <si>
    <t>Kalastajatorpantie 26</t>
  </si>
  <si>
    <t>Halkokari Kokkola</t>
  </si>
  <si>
    <t>Halkokari</t>
  </si>
  <si>
    <t>55696643</t>
  </si>
  <si>
    <t>https://d3ls91xgksobn.cloudfront.net/400x300/etuovimedia/images/property/import/36/2609036/0e76b9541118d347871c0e0e51d244c4/e0bfc22f04402859b32c38ac37c51fd8/ORIGINAL.jpeg</t>
  </si>
  <si>
    <t>https://d3ls91xgksobn.cloudfront.net/1200x900/etuovimedia/images/property/import/36/2609036/0e76b9541118d347871c0e0e51d244c4/e0bfc22f04402859b32c38ac37c51fd8/ORIGINAL.jpeg</t>
  </si>
  <si>
    <t>2609036</t>
  </si>
  <si>
    <t>https://www.etuovi.com/kohde/55696643</t>
  </si>
  <si>
    <t>285 000 €</t>
  </si>
  <si>
    <t>6 h, k, ruok t, kph, khh, 2 wc, s, autotalli ja pihasauna</t>
  </si>
  <si>
    <t>2026-06-10T14:04:01.851Z</t>
  </si>
  <si>
    <t>Detached House (Omakotitalo) — 6 h, k, ruok t, kph, khh, 2 wc, s, autotalli ja pihasauna — 195 m² — Halkokari Kokkola</t>
  </si>
  <si>
    <t>Makslahdenkatu 16 Hillo Hamina</t>
  </si>
  <si>
    <t>Makslahdenkatu 16</t>
  </si>
  <si>
    <t>Hillo Hamina</t>
  </si>
  <si>
    <t>3666</t>
  </si>
  <si>
    <t>OP Koti Häme-Kaakko Oy LKV, Hamina</t>
  </si>
  <si>
    <t>Risto Suokas</t>
  </si>
  <si>
    <t>Hillo</t>
  </si>
  <si>
    <t>621707</t>
  </si>
  <si>
    <t>https://d3ls91xgksobn.cloudfront.net/400x300/etuovimedia/images/property/import/34/2609034/0e76b9541118d347871c0e0e51d244c4/e0d126cc55884c961f3ddc0d4cb0e031/ORIGINAL.jpeg</t>
  </si>
  <si>
    <t>https://d3ls91xgksobn.cloudfront.net/1200x900/etuovimedia/images/property/import/34/2609034/0e76b9541118d347871c0e0e51d244c4/e0d126cc55884c961f3ddc0d4cb0e031/ORIGINAL.jpeg</t>
  </si>
  <si>
    <t>https://d3ls91xgksobn.cloudfront.net/1200x900/etuovimedia/images/property/import/34/2609034/0e76b9541118d347871c0e0e51d244c4/6d76f821d83d5a83fa4afb89e5fc5cb2/ORIGINAL.jpeg</t>
  </si>
  <si>
    <t>https://d3ls91xgksobn.cloudfront.net/1200x900/etuovimedia/images/property/import/34/2609034/0e76b9541118d347871c0e0e51d244c4/79ec2d6326e220be4face43a1def76c5/ORIGINAL.jpeg</t>
  </si>
  <si>
    <t>2609034</t>
  </si>
  <si>
    <t>https://www.etuovi.com/kohde/621707</t>
  </si>
  <si>
    <t>34 000 €</t>
  </si>
  <si>
    <t>Oh, k, 3mh, 2 wc, ph, s, takkah</t>
  </si>
  <si>
    <t>2026-06-10T14:04:03.979Z</t>
  </si>
  <si>
    <t>Detached House (Omakotitalo) — Oh, k, 3mh, 2 wc, ph, s, takkah — 90 m² — Hillo Hamina</t>
  </si>
  <si>
    <t>Irjankuja 6 Luttila Varkaus</t>
  </si>
  <si>
    <t>Irjankuja 6</t>
  </si>
  <si>
    <t>Luttila Varkaus</t>
  </si>
  <si>
    <t>586</t>
  </si>
  <si>
    <t>OP Koti Itä-Suomi Oy LKV, Varkaus</t>
  </si>
  <si>
    <t>Pekka Riutta-aho</t>
  </si>
  <si>
    <t>Luttila</t>
  </si>
  <si>
    <t>621323</t>
  </si>
  <si>
    <t>https://d3ls91xgksobn.cloudfront.net/400x300/etuovimedia/images/property/import/33/2609033/0e76b9541118d347871c0e0e51d244c4/a8a77e7c6ea9ea13990c1a1155d73ea3/ORIGINAL.jpeg</t>
  </si>
  <si>
    <t>https://d3ls91xgksobn.cloudfront.net/1200x900/etuovimedia/images/property/import/33/2609033/0e76b9541118d347871c0e0e51d244c4/a8a77e7c6ea9ea13990c1a1155d73ea3/ORIGINAL.jpeg</t>
  </si>
  <si>
    <t>https://d3ls91xgksobn.cloudfront.net/1200x900/etuovimedia/images/property/import/33/2609033/0e76b9541118d347871c0e0e51d244c4/7b5ff3fe66379e6ba3bc5efd02572a9d/ORIGINAL.jpeg</t>
  </si>
  <si>
    <t>2609033</t>
  </si>
  <si>
    <t>https://www.etuovi.com/kohde/621323</t>
  </si>
  <si>
    <t>92 000 €</t>
  </si>
  <si>
    <t>4h, k, , kph, wc, ph, tekninentila</t>
  </si>
  <si>
    <t>2026-06-10T14:04:03.998Z</t>
  </si>
  <si>
    <t>Detached House (Omakotitalo) — 4h, k, , kph, wc, ph, tekninentila — 101.5 m² — Luttila Varkaus</t>
  </si>
  <si>
    <t>Pajalahdentie 21 A Lauttasaari Helsinki</t>
  </si>
  <si>
    <t>Pajalahdentie 21 A</t>
  </si>
  <si>
    <t>Lauttasaari Helsinki</t>
  </si>
  <si>
    <t>Saila Kiiski</t>
  </si>
  <si>
    <t>Lauttasaari</t>
  </si>
  <si>
    <t>621034</t>
  </si>
  <si>
    <t>https://d3ls91xgksobn.cloudfront.net/400x300/etuovimedia/images/property/import/32/2609032/0e76b9541118d347871c0e0e51d244c4/34d70591ad5de647cd98ef90e5a3a616/ORIGINAL.jpeg</t>
  </si>
  <si>
    <t>https://d3ls91xgksobn.cloudfront.net/1200x900/etuovimedia/images/property/import/32/2609032/0e76b9541118d347871c0e0e51d244c4/34d70591ad5de647cd98ef90e5a3a616/ORIGINAL.jpeg</t>
  </si>
  <si>
    <t>https://d3ls91xgksobn.cloudfront.net/1200x900/etuovimedia/images/property/import/32/2609032/0e76b9541118d347871c0e0e51d244c4/5a4a3b708989a6fa31c9b2035109b90b/ORIGINAL.jpeg</t>
  </si>
  <si>
    <t>2609032</t>
  </si>
  <si>
    <t>https://www.etuovi.com/kohde/621034</t>
  </si>
  <si>
    <t>275 000 €</t>
  </si>
  <si>
    <t>2 h + kk + kph + parveke</t>
  </si>
  <si>
    <t>2026-06-10T14:04:04.050Z</t>
  </si>
  <si>
    <t>Apartment (Kerrostalo) — 2 h + kk + kph + parveke — 41 m² — Lauttasaari Helsinki</t>
  </si>
  <si>
    <t>Pappilantie 6 C Törnävä Seinäjoki</t>
  </si>
  <si>
    <t>Pappilantie 6 C</t>
  </si>
  <si>
    <t>Törnävä Seinäjoki</t>
  </si>
  <si>
    <t>Tarja Saarinen</t>
  </si>
  <si>
    <t>Törnävä</t>
  </si>
  <si>
    <t>621308</t>
  </si>
  <si>
    <t>https://d3ls91xgksobn.cloudfront.net/400x300/etuovimedia/images/property/import/31/2609031/0e76b9541118d347871c0e0e51d244c4/864eb35a890a41f1df4dbd6db8b4bf22/ORIGINAL.jpeg</t>
  </si>
  <si>
    <t>https://d3ls91xgksobn.cloudfront.net/1200x900/etuovimedia/images/property/import/31/2609031/0e76b9541118d347871c0e0e51d244c4/864eb35a890a41f1df4dbd6db8b4bf22/ORIGINAL.jpeg</t>
  </si>
  <si>
    <t>https://d3ls91xgksobn.cloudfront.net/1200x900/etuovimedia/images/property/import/31/2609031/0e76b9541118d347871c0e0e51d244c4/aa7017bbbb040e7eca1dca7e313b87ef/ORIGINAL.jpeg</t>
  </si>
  <si>
    <t>2609031</t>
  </si>
  <si>
    <t>https://www.etuovi.com/kohde/621308</t>
  </si>
  <si>
    <t>240 000 €</t>
  </si>
  <si>
    <t>4h + k + s + autokatospaikka</t>
  </si>
  <si>
    <t>2026-06-10T14:04:04.071Z</t>
  </si>
  <si>
    <t>Row House (Rivitalo) — 4h + k + s + autokatospaikka — 88 m² — Törnävä Seinäjoki</t>
  </si>
  <si>
    <t>Veikkaalantie 919 Veikkaala Mustasaari</t>
  </si>
  <si>
    <t>Veikkaalantie 919</t>
  </si>
  <si>
    <t>Veikkaala Mustasaari</t>
  </si>
  <si>
    <t>3682</t>
  </si>
  <si>
    <t>OP Koti Pohjoinen Oy LKV, Vaasa</t>
  </si>
  <si>
    <t>Jan Snickars</t>
  </si>
  <si>
    <t>Veikkaala</t>
  </si>
  <si>
    <t>620849</t>
  </si>
  <si>
    <t>https://d3ls91xgksobn.cloudfront.net/400x300/etuovimedia/images/property/import/29/2609029/0e76b9541118d347871c0e0e51d244c4/ad80458905a6ea1dcb13d763f61f2e3e/ORIGINAL.jpeg</t>
  </si>
  <si>
    <t>https://d3ls91xgksobn.cloudfront.net/1200x900/etuovimedia/images/property/import/29/2609029/0e76b9541118d347871c0e0e51d244c4/ad80458905a6ea1dcb13d763f61f2e3e/ORIGINAL.jpeg</t>
  </si>
  <si>
    <t>https://d3ls91xgksobn.cloudfront.net/1200x900/etuovimedia/images/property/import/29/2609029/0e76b9541118d347871c0e0e51d244c4/5f2226e5cd23febb426f99b3383c6f20/ORIGINAL.jpeg</t>
  </si>
  <si>
    <t>2609029</t>
  </si>
  <si>
    <t>https://www.etuovi.com/kohde/620849</t>
  </si>
  <si>
    <t>4h, k, wc, kph, s + autotalli</t>
  </si>
  <si>
    <t>2026-06-10T14:04:04.085Z</t>
  </si>
  <si>
    <t>Detached House (Omakotitalo) — 4h, k, wc, kph, s + autotalli — 125 m² — Veikkaala Mustasaari</t>
  </si>
  <si>
    <t>Itäinen Pitkäkatu 20 Vanha kaupunki Porvoo</t>
  </si>
  <si>
    <t>Itäinen Pitkäkatu 20</t>
  </si>
  <si>
    <t>Vanha kaupunki Porvoo</t>
  </si>
  <si>
    <t>1790</t>
  </si>
  <si>
    <t>Vanha kaupunki</t>
  </si>
  <si>
    <t>620755</t>
  </si>
  <si>
    <t>https://d3ls91xgksobn.cloudfront.net/400x300/etuovimedia/images/property/import/27/2609027/0e76b9541118d347871c0e0e51d244c4/907be43a52b11eb75494c98d5a3ecab6/ORIGINAL.jpeg</t>
  </si>
  <si>
    <t>https://d3ls91xgksobn.cloudfront.net/1200x900/etuovimedia/images/property/import/27/2609027/0e76b9541118d347871c0e0e51d244c4/907be43a52b11eb75494c98d5a3ecab6/ORIGINAL.jpeg</t>
  </si>
  <si>
    <t>https://d3ls91xgksobn.cloudfront.net/1200x900/etuovimedia/images/property/import/27/2609027/0e76b9541118d347871c0e0e51d244c4/1eaa0a225a30bb35429b0af460102a29/ORIGINAL.jpeg</t>
  </si>
  <si>
    <t>https://d3ls91xgksobn.cloudfront.net/1200x900/etuovimedia/images/property/import/27/2609027/0e76b9541118d347871c0e0e51d244c4/ec7df6dfe433d85bf58def8d5cf254b7/ORIGINAL.jpeg</t>
  </si>
  <si>
    <t>2609027</t>
  </si>
  <si>
    <t>https://www.etuovi.com/kohde/620755</t>
  </si>
  <si>
    <t>480 000 €</t>
  </si>
  <si>
    <t>3 saneerattavaa asuinrakennusta</t>
  </si>
  <si>
    <t>2026-06-10T14:04:04.151Z</t>
  </si>
  <si>
    <t>Detached House (Omakotitalo) — 3 saneerattavaa asuinrakennusta — 105 m² — Vanha kaupunki Porvoo</t>
  </si>
  <si>
    <t>Kajaaninkatu 9 B Keskusta Oulu</t>
  </si>
  <si>
    <t>Kajaaninkatu 9 B</t>
  </si>
  <si>
    <t>620086</t>
  </si>
  <si>
    <t>https://d3ls91xgksobn.cloudfront.net/400x300/etuovimedia/images/property/import/26/2609026/0e76b9541118d347871c0e0e51d244c4/1e6d9289a5c9e73a742f62000546e6cb/ORIGINAL.jpeg</t>
  </si>
  <si>
    <t>https://d3ls91xgksobn.cloudfront.net/1200x900/etuovimedia/images/property/import/26/2609026/0e76b9541118d347871c0e0e51d244c4/1e6d9289a5c9e73a742f62000546e6cb/ORIGINAL.jpeg</t>
  </si>
  <si>
    <t>https://d3ls91xgksobn.cloudfront.net/1200x900/etuovimedia/images/property/import/26/2609026/0e76b9541118d347871c0e0e51d244c4/0ce13b4612bc3b9661b82db93fab0267/ORIGINAL.jpeg</t>
  </si>
  <si>
    <t>https://d3ls91xgksobn.cloudfront.net/1200x900/etuovimedia/images/property/import/26/2609026/0e76b9541118d347871c0e0e51d244c4/373f09f953528f778c21c7f481e367b7/ORIGINAL.jpeg</t>
  </si>
  <si>
    <t>2609026</t>
  </si>
  <si>
    <t>https://www.etuovi.com/kohde/620086</t>
  </si>
  <si>
    <t>2026-06-10T14:04:04.167Z</t>
  </si>
  <si>
    <t>Apartment (Kerrostalo) — 3h, k — 73 m² — Keskusta Oulu</t>
  </si>
  <si>
    <t>Kirsikkatie 34 Sundsberg Kirkkonummi</t>
  </si>
  <si>
    <t>Kirsikkatie 34</t>
  </si>
  <si>
    <t>Sundsberg Kirkkonummi</t>
  </si>
  <si>
    <t>3700</t>
  </si>
  <si>
    <t>Strand Properties | Mari Varonen LKV</t>
  </si>
  <si>
    <t>Varonen Mari</t>
  </si>
  <si>
    <t>Sundsberg</t>
  </si>
  <si>
    <t>21345250</t>
  </si>
  <si>
    <t>https://d3ls91xgksobn.cloudfront.net/400x300/etuovimedia/images/property/import/23/2609023/0e76b9541118d347871c0e0e51d244c4/42e75aad901fe3246e44ebabcd109512/ORIGINAL.jpeg</t>
  </si>
  <si>
    <t>https://d3ls91xgksobn.cloudfront.net/1200x900/etuovimedia/images/property/import/23/2609023/0e76b9541118d347871c0e0e51d244c4/42e75aad901fe3246e44ebabcd109512/ORIGINAL.jpeg</t>
  </si>
  <si>
    <t>https://d3ls91xgksobn.cloudfront.net/1200x900/etuovimedia/images/property/import/23/2609023/0e76b9541118d347871c0e0e51d244c4/e60731aecda88acd26905fbd9a841ed9/ORIGINAL.jpeg</t>
  </si>
  <si>
    <t>2609023</t>
  </si>
  <si>
    <t>https://www.etuovi.com/kohde/21345250</t>
  </si>
  <si>
    <t>539 000 €</t>
  </si>
  <si>
    <t>6h, k, s, 2 lasiterassia, autokatos (yht.järj mukaan 6h + k + s)</t>
  </si>
  <si>
    <t>2026-06-10T14:04:04.182Z</t>
  </si>
  <si>
    <t>SEPARATE_HOUSE — 6h, k, s, 2 lasiterassia, autokatos (yht.järj mukaan 6h + k + s) — 147 m² — Sundsberg Kirkkonummi</t>
  </si>
  <si>
    <t>Marinkuja 4 B Husula Hamina</t>
  </si>
  <si>
    <t>Marinkuja 4 B</t>
  </si>
  <si>
    <t>Husula Hamina</t>
  </si>
  <si>
    <t>Husula</t>
  </si>
  <si>
    <t>619448</t>
  </si>
  <si>
    <t>https://d3ls91xgksobn.cloudfront.net/400x300/etuovimedia/images/property/import/16/2609016/0e76b9541118d347871c0e0e51d244c4/d0231d896129050107a94960e2caec5d/ORIGINAL.jpeg</t>
  </si>
  <si>
    <t>https://d3ls91xgksobn.cloudfront.net/1200x900/etuovimedia/images/property/import/16/2609016/0e76b9541118d347871c0e0e51d244c4/d0231d896129050107a94960e2caec5d/ORIGINAL.jpeg</t>
  </si>
  <si>
    <t>https://d3ls91xgksobn.cloudfront.net/1200x900/etuovimedia/images/property/import/16/2609016/0e76b9541118d347871c0e0e51d244c4/1671c81dbe295eb896be37595ca4300f/ORIGINAL.jpeg</t>
  </si>
  <si>
    <t>https://d3ls91xgksobn.cloudfront.net/1200x900/etuovimedia/images/property/import/16/2609016/0e76b9541118d347871c0e0e51d244c4/b9a0ae2e17acc92beeb305a869c4568d/ORIGINAL.jpeg</t>
  </si>
  <si>
    <t>2609016</t>
  </si>
  <si>
    <t>https://www.etuovi.com/kohde/619448</t>
  </si>
  <si>
    <t>43 000 €</t>
  </si>
  <si>
    <t>3h, k, kph, s, parv</t>
  </si>
  <si>
    <t>2026-06-10T14:04:04.251Z</t>
  </si>
  <si>
    <t>Apartment (Kerrostalo) — 3h, k, kph, s, parv — 75.5 m² — Husula Hamina</t>
  </si>
  <si>
    <t>Jarrumiehenkatu 1 Koivistonmäki Riihimäki</t>
  </si>
  <si>
    <t>Jarrumiehenkatu 1</t>
  </si>
  <si>
    <t>Koivistonmäki Riihimäki</t>
  </si>
  <si>
    <t>4597</t>
  </si>
  <si>
    <t>Kodin Avaimet Oy LKV</t>
  </si>
  <si>
    <t>https://www.kodinavaimet.fi/</t>
  </si>
  <si>
    <t>Koivistonmäki</t>
  </si>
  <si>
    <t>35730370</t>
  </si>
  <si>
    <t>https://d3ls91xgksobn.cloudfront.net/400x300/etuovimedia/images/property/import/13/2609013/0e76b9541118d347871c0e0e51d244c4/759958bfb5c742d769e941117ead497b/ORIGINAL.jpeg</t>
  </si>
  <si>
    <t>https://d3ls91xgksobn.cloudfront.net/1200x900/etuovimedia/images/property/import/13/2609013/0e76b9541118d347871c0e0e51d244c4/759958bfb5c742d769e941117ead497b/ORIGINAL.jpeg</t>
  </si>
  <si>
    <t>2609013</t>
  </si>
  <si>
    <t>https://www.etuovi.com/kohde/35730370</t>
  </si>
  <si>
    <t>115 000 €</t>
  </si>
  <si>
    <t>3h, k, kph, s, erill.wc, las.p</t>
  </si>
  <si>
    <t>2026-06-10T14:04:04.353Z</t>
  </si>
  <si>
    <t>Apartment (Kerrostalo) — 3h, k, kph, s, erill.wc, las.p — 77 m² — Koivistonmäki Riihimäki</t>
  </si>
  <si>
    <t>Paarnoorintie 8 Paarnoori Pori</t>
  </si>
  <si>
    <t>Paarnoorintie 8</t>
  </si>
  <si>
    <t>Paarnoori Pori</t>
  </si>
  <si>
    <t>Miia Kivero</t>
  </si>
  <si>
    <t>Paarnoori</t>
  </si>
  <si>
    <t>608482</t>
  </si>
  <si>
    <t>https://d3ls91xgksobn.cloudfront.net/400x300/etuovimedia/images/property/import/977/2386977/0e76b9541118d347871c0e0e51d244c4/118eb15680332f5c4a49eb591c784252/ORIGINAL.jpeg</t>
  </si>
  <si>
    <t>https://d3ls91xgksobn.cloudfront.net/1200x900/etuovimedia/images/property/import/977/2386977/0e76b9541118d347871c0e0e51d244c4/118eb15680332f5c4a49eb591c784252/ORIGINAL.jpeg</t>
  </si>
  <si>
    <t>https://d3ls91xgksobn.cloudfront.net/1200x900/etuovimedia/images/property/import/977/2386977/0e76b9541118d347871c0e0e51d244c4/81b72600ef547b01bc1b0524540c8493/ORIGINAL.jpeg</t>
  </si>
  <si>
    <t>https://d3ls91xgksobn.cloudfront.net/1200x900/etuovimedia/images/property/import/977/2386977/0e76b9541118d347871c0e0e51d244c4/991618e8975eea197d13e72ec86cbd8e/ORIGINAL.jpeg</t>
  </si>
  <si>
    <t>2386977</t>
  </si>
  <si>
    <t>https://www.etuovi.com/kohde/608482</t>
  </si>
  <si>
    <t>2025-11-07</t>
  </si>
  <si>
    <t>2026-06-10T14:04:04.369Z</t>
  </si>
  <si>
    <t>Detached House (Omakotitalo) — 5h + k + s — 122 m² — Paarnoori Pori</t>
  </si>
  <si>
    <t>Keihäsrinne 28 E 9 Kilo Espoo</t>
  </si>
  <si>
    <t>Keihäsrinne 28 E 9</t>
  </si>
  <si>
    <t>3437</t>
  </si>
  <si>
    <t>Toivo Homes Oy</t>
  </si>
  <si>
    <t>https://toivohomes.fi/</t>
  </si>
  <si>
    <t>40537807</t>
  </si>
  <si>
    <t>https://d3ls91xgksobn.cloudfront.net/400x300/etuovimedia/images/property/import/88/2338088/0e76b9541118d347871c0e0e51d244c4/f5803bd25b3ef5a714aa8bf99c6f1b3a/ORIGINAL.jpeg</t>
  </si>
  <si>
    <t>https://d3ls91xgksobn.cloudfront.net/1200x900/etuovimedia/images/property/import/88/2338088/0e76b9541118d347871c0e0e51d244c4/f5803bd25b3ef5a714aa8bf99c6f1b3a/ORIGINAL.jpeg</t>
  </si>
  <si>
    <t>2338088</t>
  </si>
  <si>
    <t>https://www.etuovi.com/kohde/40537807</t>
  </si>
  <si>
    <t>489 000 €</t>
  </si>
  <si>
    <t>2025-09-24</t>
  </si>
  <si>
    <t>2026-06-10T14:04:04.389Z</t>
  </si>
  <si>
    <t>Semi-detached (Paritalo) — 5h, k, s — 101 m² — Kilo Espoo</t>
  </si>
  <si>
    <t>Talttakuja 2b B Vapaala Vantaa</t>
  </si>
  <si>
    <t>Talttakuja 2b B</t>
  </si>
  <si>
    <t>Vapaala Vantaa</t>
  </si>
  <si>
    <t>Vapaala</t>
  </si>
  <si>
    <t>68919684</t>
  </si>
  <si>
    <t>https://d3ls91xgksobn.cloudfront.net/400x300/etuovimedia/images/property/import/539/2041539/0e76b9541118d347871c0e0e51d244c4/bef83393907b7395a3120ccd5025e642/ORIGINAL.jpeg</t>
  </si>
  <si>
    <t>https://d3ls91xgksobn.cloudfront.net/1200x900/etuovimedia/images/property/import/539/2041539/0e76b9541118d347871c0e0e51d244c4/bef83393907b7395a3120ccd5025e642/ORIGINAL.jpeg</t>
  </si>
  <si>
    <t>2041539</t>
  </si>
  <si>
    <t>https://www.etuovi.com/kohde/68919684</t>
  </si>
  <si>
    <t>2025-02-03</t>
  </si>
  <si>
    <t>5h, k, s, var</t>
  </si>
  <si>
    <t>2026-06-10T14:04:04.438Z</t>
  </si>
  <si>
    <t>SEPARATE_HOUSE — 5h, k, s, var — 116 m² — Vapaala Vantaa</t>
  </si>
  <si>
    <t>Keihäsrinne 28 C 5 Kilo Espoo</t>
  </si>
  <si>
    <t>Keihäsrinne 28 C 5</t>
  </si>
  <si>
    <t>68568309</t>
  </si>
  <si>
    <t>https://d3ls91xgksobn.cloudfront.net/400x300/etuovimedia/images/property/import/48/2369048/0e76b9541118d347871c0e0e51d244c4/04511f0f4c485547d13a91c31b2ba617/ORIGINAL.jpeg</t>
  </si>
  <si>
    <t>https://d3ls91xgksobn.cloudfront.net/1200x900/etuovimedia/images/property/import/48/2369048/0e76b9541118d347871c0e0e51d244c4/04511f0f4c485547d13a91c31b2ba617/ORIGINAL.jpeg</t>
  </si>
  <si>
    <t>2369048</t>
  </si>
  <si>
    <t>https://www.etuovi.com/kohde/68568309</t>
  </si>
  <si>
    <t>404 000 €</t>
  </si>
  <si>
    <t>2026-06-10T14:04:04.485Z</t>
  </si>
  <si>
    <t>Semi-detached (Paritalo) — 4h, k, s — 87 m² — Kilo Espoo</t>
  </si>
  <si>
    <t>Keihäsrinne 28 A 2 Kilo Espoo</t>
  </si>
  <si>
    <t>Keihäsrinne 28 A 2</t>
  </si>
  <si>
    <t>50635687</t>
  </si>
  <si>
    <t>https://d3ls91xgksobn.cloudfront.net/400x300/etuovimedia/images/property/import/121/2338121/0e76b9541118d347871c0e0e51d244c4/04511f0f4c485547d13a91c31b2ba617/ORIGINAL.jpeg</t>
  </si>
  <si>
    <t>https://d3ls91xgksobn.cloudfront.net/1200x900/etuovimedia/images/property/import/121/2338121/0e76b9541118d347871c0e0e51d244c4/04511f0f4c485547d13a91c31b2ba617/ORIGINAL.jpeg</t>
  </si>
  <si>
    <t>2338121</t>
  </si>
  <si>
    <t>https://www.etuovi.com/kohde/50635687</t>
  </si>
  <si>
    <t>2026-06-10T14:04:04.525Z</t>
  </si>
  <si>
    <t>Keihäsrinne 28 B 3 Kilo Espoo</t>
  </si>
  <si>
    <t>Keihäsrinne 28 B 3</t>
  </si>
  <si>
    <t>31659263</t>
  </si>
  <si>
    <t>https://d3ls91xgksobn.cloudfront.net/400x300/etuovimedia/images/property/import/141/2338141/0e76b9541118d347871c0e0e51d244c4/bd38afec150b310a10a55f30b6f7d864/ORIGINAL.jpeg</t>
  </si>
  <si>
    <t>https://d3ls91xgksobn.cloudfront.net/1200x900/etuovimedia/images/property/import/141/2338141/0e76b9541118d347871c0e0e51d244c4/bd38afec150b310a10a55f30b6f7d864/ORIGINAL.jpeg</t>
  </si>
  <si>
    <t>2338141</t>
  </si>
  <si>
    <t>https://www.etuovi.com/kohde/31659263</t>
  </si>
  <si>
    <t>394 000 €</t>
  </si>
  <si>
    <t>2026-06-10T14:04:04.585Z</t>
  </si>
  <si>
    <t>Keihäsrinne 28 C 6 Kilo Espoo</t>
  </si>
  <si>
    <t>Keihäsrinne 28 C 6</t>
  </si>
  <si>
    <t>61394545</t>
  </si>
  <si>
    <t>https://d3ls91xgksobn.cloudfront.net/400x300/etuovimedia/images/property/import/330/2545330/0e76b9541118d347871c0e0e51d244c4/04511f0f4c485547d13a91c31b2ba617/ORIGINAL.jpeg</t>
  </si>
  <si>
    <t>https://d3ls91xgksobn.cloudfront.net/1200x900/etuovimedia/images/property/import/330/2545330/0e76b9541118d347871c0e0e51d244c4/04511f0f4c485547d13a91c31b2ba617/ORIGINAL.jpeg</t>
  </si>
  <si>
    <t>2545330</t>
  </si>
  <si>
    <t>https://www.etuovi.com/kohde/61394545</t>
  </si>
  <si>
    <t>409 000 €</t>
  </si>
  <si>
    <t>2026-06-10T14:04:04.602Z</t>
  </si>
  <si>
    <t>Veräjä 8  F 165 Oulunkylä Helsinki</t>
  </si>
  <si>
    <t>Veräjä 8  F 165</t>
  </si>
  <si>
    <t>57603259</t>
  </si>
  <si>
    <t>https://d3ls91xgksobn.cloudfront.net/400x300/etuovimedia/images/property/import/73/2547073/0e76b9541118d347871c0e0e51d244c4/5695ec73ab439d4ca18de218e1e50f17/ORIGINAL.jpeg</t>
  </si>
  <si>
    <t>https://d3ls91xgksobn.cloudfront.net/1200x900/etuovimedia/images/property/import/73/2547073/0e76b9541118d347871c0e0e51d244c4/5695ec73ab439d4ca18de218e1e50f17/ORIGINAL.jpeg</t>
  </si>
  <si>
    <t>2547073</t>
  </si>
  <si>
    <t>https://www.etuovi.com/kohde/57603259</t>
  </si>
  <si>
    <t>4h + KT</t>
  </si>
  <si>
    <t>2026-06-10T14:04:04.615Z</t>
  </si>
  <si>
    <t>Row House (Rivitalo) — 4h + KT — 81 m² — Oulunkylä Helsinki</t>
  </si>
  <si>
    <t>Veräjä 8 G Oulunkylä Helsinki</t>
  </si>
  <si>
    <t>Veräjä 8 G</t>
  </si>
  <si>
    <t>68279358</t>
  </si>
  <si>
    <t>https://d3ls91xgksobn.cloudfront.net/400x300/etuovimedia/images/property/import/996/2290996/0e76b9541118d347871c0e0e51d244c4/e7fddc796fadf1fac37149d32e2882dd/ORIGINAL.jpeg</t>
  </si>
  <si>
    <t>https://d3ls91xgksobn.cloudfront.net/1200x900/etuovimedia/images/property/import/996/2290996/0e76b9541118d347871c0e0e51d244c4/e7fddc796fadf1fac37149d32e2882dd/ORIGINAL.jpeg</t>
  </si>
  <si>
    <t>2290996</t>
  </si>
  <si>
    <t>https://www.etuovi.com/kohde/68279358</t>
  </si>
  <si>
    <t>2025-08-14</t>
  </si>
  <si>
    <t>3h, k, s, var</t>
  </si>
  <si>
    <t>2026-06-10T14:04:04.628Z</t>
  </si>
  <si>
    <t>Row House (Rivitalo) — 3h, k, s, var — 76.5 m² — Oulunkylä Helsinki</t>
  </si>
  <si>
    <t>Veräjä 8 G 176 Oulunkylä Helsinki</t>
  </si>
  <si>
    <t>Veräjä 8 G 176</t>
  </si>
  <si>
    <t>53685993</t>
  </si>
  <si>
    <t>https://d3ls91xgksobn.cloudfront.net/400x300/etuovimedia/images/property/import/829/2149829/0e76b9541118d347871c0e0e51d244c4/ca06c9c33fedc683fe22455a66fea95e/ORIGINAL.jpeg</t>
  </si>
  <si>
    <t>https://d3ls91xgksobn.cloudfront.net/1200x900/etuovimedia/images/property/import/829/2149829/0e76b9541118d347871c0e0e51d244c4/ca06c9c33fedc683fe22455a66fea95e/ORIGINAL.jpeg</t>
  </si>
  <si>
    <t>2149829</t>
  </si>
  <si>
    <t>https://www.etuovi.com/kohde/53685993</t>
  </si>
  <si>
    <t>2025-06-10</t>
  </si>
  <si>
    <t>2026-06-10T14:04:04.673Z</t>
  </si>
  <si>
    <t>Row House (Rivitalo) — 3h + k + s — 76.5 m² — Oulunkylä Helsinki</t>
  </si>
  <si>
    <t>Veräjä 8 F 167 Oulunkylä Helsinki</t>
  </si>
  <si>
    <t>Veräjä 8 F 167</t>
  </si>
  <si>
    <t>61846337</t>
  </si>
  <si>
    <t>https://d3ls91xgksobn.cloudfront.net/400x300/etuovimedia/images/property/import/525/2541525/0e76b9541118d347871c0e0e51d244c4/9b9d6437ab1fbfa58fe4f65efce4ea96/ORIGINAL.jpeg</t>
  </si>
  <si>
    <t>https://d3ls91xgksobn.cloudfront.net/1200x900/etuovimedia/images/property/import/525/2541525/0e76b9541118d347871c0e0e51d244c4/9b9d6437ab1fbfa58fe4f65efce4ea96/ORIGINAL.jpeg</t>
  </si>
  <si>
    <t>2541525</t>
  </si>
  <si>
    <t>https://www.etuovi.com/kohde/61846337</t>
  </si>
  <si>
    <t>2026-04-15</t>
  </si>
  <si>
    <t>4h + k + kph</t>
  </si>
  <si>
    <t>2026-06-10T14:04:04.713Z</t>
  </si>
  <si>
    <t>Row House (Rivitalo) — 4h + k + kph — 81 m² — Oulunkylä Helsinki</t>
  </si>
  <si>
    <t>Pähkinärinteentie 50 C Pähkinärinne Vantaa</t>
  </si>
  <si>
    <t>Pähkinärinteentie 50 C</t>
  </si>
  <si>
    <t>Pähkinärinne Vantaa</t>
  </si>
  <si>
    <t>930</t>
  </si>
  <si>
    <t>Myyntiturva/Vuokraturva Oy LKV [A]</t>
  </si>
  <si>
    <t>http://www.myyntiturva.fi/</t>
  </si>
  <si>
    <t>Pähkinärinne</t>
  </si>
  <si>
    <t>10100485</t>
  </si>
  <si>
    <t>https://d3ls91xgksobn.cloudfront.net/400x300/etuovimedia/images/property/import/10/2609010/0e76b9541118d347871c0e0e51d244c4/205547ae412497e4b9e671068885fe26/ORIGINAL.jpeg</t>
  </si>
  <si>
    <t>https://d3ls91xgksobn.cloudfront.net/1200x900/etuovimedia/images/property/import/10/2609010/0e76b9541118d347871c0e0e51d244c4/205547ae412497e4b9e671068885fe26/ORIGINAL.jpeg</t>
  </si>
  <si>
    <t>2609010</t>
  </si>
  <si>
    <t>https://www.etuovi.com/kohde/10100485</t>
  </si>
  <si>
    <t>49 000 €</t>
  </si>
  <si>
    <t>1h + avok + kph + vh + p (yhtiöjärjestyksen mukaan 1H + KK)</t>
  </si>
  <si>
    <t>2026-06-10T14:04:04.757Z</t>
  </si>
  <si>
    <t>Apartment (Kerrostalo) — 1h + avok + kph + vh + p (yhtiöjärjestyksen mukaan 1H + KK) — 28.5 m² — Pähkinärinne Vantaa</t>
  </si>
  <si>
    <t>Katariina Saksilaisen katu 14 B Vanhankaupunginkoski Helsinki</t>
  </si>
  <si>
    <t>Katariina Saksilaisen katu 14 B</t>
  </si>
  <si>
    <t>Vanhankaupunginkoski Helsinki</t>
  </si>
  <si>
    <t>Vanhankaupunginkoski</t>
  </si>
  <si>
    <t>10100516</t>
  </si>
  <si>
    <t>https://d3ls91xgksobn.cloudfront.net/400x300/etuovimedia/images/property/import/9/2609009/0e76b9541118d347871c0e0e51d244c4/65bfe1414188ac6ee5e085bff452634d/ORIGINAL.jpeg</t>
  </si>
  <si>
    <t>https://d3ls91xgksobn.cloudfront.net/1200x900/etuovimedia/images/property/import/9/2609009/0e76b9541118d347871c0e0e51d244c4/65bfe1414188ac6ee5e085bff452634d/ORIGINAL.jpeg</t>
  </si>
  <si>
    <t>2609009</t>
  </si>
  <si>
    <t>https://www.etuovi.com/kohde/10100516</t>
  </si>
  <si>
    <t>270 000 €</t>
  </si>
  <si>
    <t>2h + avok + kph + s + vh + lasitettu p (yhtiöjärjestyksen mukaan 2h + kk + s)</t>
  </si>
  <si>
    <t>2026-06-10T14:04:04.771Z</t>
  </si>
  <si>
    <t>Apartment (Kerrostalo) — 2h + avok + kph + s + vh + lasitettu p (yhtiöjärjestyksen mukaan 2h + kk + s) — 49.5 m² — Vanhankaupunginkoski Helsinki</t>
  </si>
  <si>
    <t>Rantatie 14 Könttäri Keuruu</t>
  </si>
  <si>
    <t>Rantatie 14</t>
  </si>
  <si>
    <t>Könttäri Keuruu</t>
  </si>
  <si>
    <t>Könttäri</t>
  </si>
  <si>
    <t>fs3989</t>
  </si>
  <si>
    <t>https://d3ls91xgksobn.cloudfront.net/400x300/etuovimedia/images/property/import/8/2609008/0e76b9541118d347871c0e0e51d244c4/b8f9d9450a4b54f570db65c4d4985a15/ORIGINAL.jpeg</t>
  </si>
  <si>
    <t>https://d3ls91xgksobn.cloudfront.net/1200x900/etuovimedia/images/property/import/8/2609008/0e76b9541118d347871c0e0e51d244c4/b8f9d9450a4b54f570db65c4d4985a15/ORIGINAL.jpeg</t>
  </si>
  <si>
    <t>2609008</t>
  </si>
  <si>
    <t>https://www.etuovi.com/kohde/fs3989</t>
  </si>
  <si>
    <t>7h + k + s + autotalli + rantasauna</t>
  </si>
  <si>
    <t>2026-06-10T14:04:04.784Z</t>
  </si>
  <si>
    <t>Detached House (Omakotitalo) — 7h + k + s + autotalli + rantasauna — 208 m² — Könttäri Keuruu</t>
  </si>
  <si>
    <t>Norjankatu 5 Vesterås, Kivimaa Lahti</t>
  </si>
  <si>
    <t>Norjankatu 5</t>
  </si>
  <si>
    <t>Vesterås, Kivimaa Lahti</t>
  </si>
  <si>
    <t>Janne Selin</t>
  </si>
  <si>
    <t>1948</t>
  </si>
  <si>
    <t>Vesterås, Kivimaa</t>
  </si>
  <si>
    <t>80510071</t>
  </si>
  <si>
    <t>https://d3ls91xgksobn.cloudfront.net/400x300/etuovimedia/images/property/import/7/2609007/0e76b9541118d347871c0e0e51d244c4/f7981921a8f72965df48aa9fc2f326ed/ORIGINAL.jpeg</t>
  </si>
  <si>
    <t>https://d3ls91xgksobn.cloudfront.net/1200x900/etuovimedia/images/property/import/7/2609007/0e76b9541118d347871c0e0e51d244c4/f7981921a8f72965df48aa9fc2f326ed/ORIGINAL.jpeg</t>
  </si>
  <si>
    <t>https://d3ls91xgksobn.cloudfront.net/1200x900/etuovimedia/images/property/import/7/2609007/0e76b9541118d347871c0e0e51d244c4/fdbc9f597a419bb9b635bc74693b7cc3/ORIGINAL.jpeg</t>
  </si>
  <si>
    <t>2609007</t>
  </si>
  <si>
    <t>https://www.etuovi.com/kohde/80510071</t>
  </si>
  <si>
    <t>4h, k, rt, vh, 2 x erillinen wc, takkahuone, kph, s, varasto</t>
  </si>
  <si>
    <t>2026-06-10T14:04:04.801Z</t>
  </si>
  <si>
    <t>Detached House (Omakotitalo) — 4h, k, rt, vh, 2 x erillinen wc, takkahuone, kph, s, varasto — 195 m² — Vesterås, Kivimaa Lahti</t>
  </si>
  <si>
    <t>Moosenmäentie 57 Pekola Hattula</t>
  </si>
  <si>
    <t>Moosenmäentie 57</t>
  </si>
  <si>
    <t>Pekola Hattula</t>
  </si>
  <si>
    <t>Pekola</t>
  </si>
  <si>
    <t>80509730</t>
  </si>
  <si>
    <t>https://d3ls91xgksobn.cloudfront.net/400x300/etuovimedia/images/property/import/6/2609006/0e76b9541118d347871c0e0e51d244c4/d8ad4597547e7f339ec30560660d251d/ORIGINAL.jpeg</t>
  </si>
  <si>
    <t>https://d3ls91xgksobn.cloudfront.net/1200x900/etuovimedia/images/property/import/6/2609006/0e76b9541118d347871c0e0e51d244c4/d8ad4597547e7f339ec30560660d251d/ORIGINAL.jpeg</t>
  </si>
  <si>
    <t>2609006</t>
  </si>
  <si>
    <t>https://www.etuovi.com/kohde/80509730</t>
  </si>
  <si>
    <t>4-5 h, k, rt, khh, wc, kph, s, aula, varasto, kellaritilat</t>
  </si>
  <si>
    <t>2026-06-10T14:04:04.867Z</t>
  </si>
  <si>
    <t>Detached House (Omakotitalo) — 4-5 h, k, rt, khh, wc, kph, s, aula, varasto, kellaritilat — 188 m² — Pekola Hattula</t>
  </si>
  <si>
    <t>Isotuvantie 4 Laitila</t>
  </si>
  <si>
    <t>Isotuvantie 4</t>
  </si>
  <si>
    <t>80513554</t>
  </si>
  <si>
    <t>https://d3ls91xgksobn.cloudfront.net/400x300/etuovimedia/images/property/import/5/2609005/0e76b9541118d347871c0e0e51d244c4/0fec6eb635488f0e457e2cca62d4a1b5/ORIGINAL.jpeg</t>
  </si>
  <si>
    <t>https://d3ls91xgksobn.cloudfront.net/1200x900/etuovimedia/images/property/import/5/2609005/0e76b9541118d347871c0e0e51d244c4/0fec6eb635488f0e457e2cca62d4a1b5/ORIGINAL.jpeg</t>
  </si>
  <si>
    <t>2609005</t>
  </si>
  <si>
    <t>https://www.etuovi.com/kohde/80513554</t>
  </si>
  <si>
    <t>170 000 €</t>
  </si>
  <si>
    <t>2026-06-10T14:04:04.902Z</t>
  </si>
  <si>
    <t>Apartment (Kerrostalo) — 3h + k + s — 82.5 m² — Laitila</t>
  </si>
  <si>
    <t>Ketolankatu 7 as Tyynelä Salo</t>
  </si>
  <si>
    <t>Ketolankatu 7 as</t>
  </si>
  <si>
    <t>Tyynelä Salo</t>
  </si>
  <si>
    <t>3270</t>
  </si>
  <si>
    <t>Haus LKV Oy</t>
  </si>
  <si>
    <t>http://www.hauslkv.fi/</t>
  </si>
  <si>
    <t>Julius Ahlqvist</t>
  </si>
  <si>
    <t>Tyynelä</t>
  </si>
  <si>
    <t>80513070</t>
  </si>
  <si>
    <t>https://d3ls91xgksobn.cloudfront.net/400x300/etuovimedia/images/property/import/4/2609004/0e76b9541118d347871c0e0e51d244c4/73fb6eee238b5c2cf97ae970fc328dc7/ORIGINAL.jpeg</t>
  </si>
  <si>
    <t>https://d3ls91xgksobn.cloudfront.net/1200x900/etuovimedia/images/property/import/4/2609004/0e76b9541118d347871c0e0e51d244c4/73fb6eee238b5c2cf97ae970fc328dc7/ORIGINAL.jpeg</t>
  </si>
  <si>
    <t>https://d3ls91xgksobn.cloudfront.net/1200x900/etuovimedia/images/property/import/4/2609004/0e76b9541118d347871c0e0e51d244c4/97c07de1306fca79a6fc0a6fa2b173fe/ORIGINAL.jpeg</t>
  </si>
  <si>
    <t>2609004</t>
  </si>
  <si>
    <t>https://www.etuovi.com/kohde/80513070</t>
  </si>
  <si>
    <t>3h + kk</t>
  </si>
  <si>
    <t>2026-06-10T14:04:04.920Z</t>
  </si>
  <si>
    <t>Row House (Rivitalo) — 3h + kk — 65 m² — Tyynelä Salo</t>
  </si>
  <si>
    <t>Oraskatu 8 Tonttila, Möysä Lahti</t>
  </si>
  <si>
    <t>Oraskatu 8</t>
  </si>
  <si>
    <t>Tonttila, Möysä Lahti</t>
  </si>
  <si>
    <t>Tonttila, Möysä</t>
  </si>
  <si>
    <t>80514874</t>
  </si>
  <si>
    <t>https://d3ls91xgksobn.cloudfront.net/400x300/etuovimedia/images/property/import/2/2609002/0e76b9541118d347871c0e0e51d244c4/1c2202802db1622b4d8c85d67f2d4356/ORIGINAL.jpeg</t>
  </si>
  <si>
    <t>https://d3ls91xgksobn.cloudfront.net/1200x900/etuovimedia/images/property/import/2/2609002/0e76b9541118d347871c0e0e51d244c4/1c2202802db1622b4d8c85d67f2d4356/ORIGINAL.jpeg</t>
  </si>
  <si>
    <t>https://d3ls91xgksobn.cloudfront.net/1200x900/etuovimedia/images/property/import/2/2609002/0e76b9541118d347871c0e0e51d244c4/30c5b3155c461076268cebbe628ab5e5/ORIGINAL.jpeg</t>
  </si>
  <si>
    <t>2609002</t>
  </si>
  <si>
    <t>https://www.etuovi.com/kohde/80514874</t>
  </si>
  <si>
    <t>4h, k, kph, s, 2xwc, parv, ak, var, vh.</t>
  </si>
  <si>
    <t>2026-06-10T14:04:04.970Z</t>
  </si>
  <si>
    <t>Detached House (Omakotitalo) — 4h, k, kph, s, 2xwc, parv, ak, var, vh. — 102.5 m² — Tonttila, Möysä Lahti</t>
  </si>
  <si>
    <t>Koskitie 36 Tuira Oulu</t>
  </si>
  <si>
    <t>Koskitie 36</t>
  </si>
  <si>
    <t>2469</t>
  </si>
  <si>
    <t>Juujärvi LKV Oy</t>
  </si>
  <si>
    <t>http://www.juujarvilkv.fi</t>
  </si>
  <si>
    <t>Marjo Juujärvi</t>
  </si>
  <si>
    <t>80496544</t>
  </si>
  <si>
    <t>https://d3ls91xgksobn.cloudfront.net/400x300/etuovimedia/images/property/import/86/2528086/0e76b9541118d347871c0e0e51d244c4/0c44a8494e6907b976db12e8b59a428e/ORIGINAL.jpeg</t>
  </si>
  <si>
    <t>https://d3ls91xgksobn.cloudfront.net/1200x900/etuovimedia/images/property/import/86/2528086/0e76b9541118d347871c0e0e51d244c4/0c44a8494e6907b976db12e8b59a428e/ORIGINAL.jpeg</t>
  </si>
  <si>
    <t>https://d3ls91xgksobn.cloudfront.net/1200x900/etuovimedia/images/property/import/86/2528086/0e76b9541118d347871c0e0e51d244c4/1d35c6e2a8be26d348449921f872b3cb/ORIGINAL.jpeg</t>
  </si>
  <si>
    <t>2528086</t>
  </si>
  <si>
    <t>https://www.etuovi.com/kohde/80496544</t>
  </si>
  <si>
    <t>995 000 €</t>
  </si>
  <si>
    <t>2026-04-01</t>
  </si>
  <si>
    <t>4mh, oh, k, aula, 2*eril.wc, 2*kph / wc, khh, pukuh.tkh, ps, s, spa-osasto, 2*parv, tekn.tila, at, ak.var.</t>
  </si>
  <si>
    <t>2026-06-10T14:04:05.030Z</t>
  </si>
  <si>
    <t>Detached House (Omakotitalo) — 4mh, oh, k, aula, 2*eril.wc, 2*kph / wc, khh, pukuh.tkh, ps, s, spa-osasto, 2*parv, tekn.tila, at, ak.var. — 335.6 m² — Tuira Oulu</t>
  </si>
  <si>
    <t>Veräjä 8 G 175 Oulunkylä Helsinki</t>
  </si>
  <si>
    <t>Veräjä 8 G 175</t>
  </si>
  <si>
    <t>53907247</t>
  </si>
  <si>
    <t>https://d3ls91xgksobn.cloudfront.net/400x300/etuovimedia/images/property/import/319/2545319/0e76b9541118d347871c0e0e51d244c4/4c8f9d3c44a54656288ac2dbb7544414/ORIGINAL.jpeg</t>
  </si>
  <si>
    <t>https://d3ls91xgksobn.cloudfront.net/1200x900/etuovimedia/images/property/import/319/2545319/0e76b9541118d347871c0e0e51d244c4/4c8f9d3c44a54656288ac2dbb7544414/ORIGINAL.jpeg</t>
  </si>
  <si>
    <t>2545319</t>
  </si>
  <si>
    <t>https://www.etuovi.com/kohde/53907247</t>
  </si>
  <si>
    <t>2026-06-10T14:04:06.953Z</t>
  </si>
  <si>
    <t>Veräjä 8  F 166 Oulunkylä Helsinki</t>
  </si>
  <si>
    <t>Veräjä 8  F 166</t>
  </si>
  <si>
    <t>69973013</t>
  </si>
  <si>
    <t>https://d3ls91xgksobn.cloudfront.net/400x300/etuovimedia/images/property/import/70/2547070/0e76b9541118d347871c0e0e51d244c4/b5ec95513ddd4ff0168a23e6b749d4f8/ORIGINAL.jpeg</t>
  </si>
  <si>
    <t>https://d3ls91xgksobn.cloudfront.net/1200x900/etuovimedia/images/property/import/70/2547070/0e76b9541118d347871c0e0e51d244c4/b5ec95513ddd4ff0168a23e6b749d4f8/ORIGINAL.jpeg</t>
  </si>
  <si>
    <t>2547070</t>
  </si>
  <si>
    <t>https://www.etuovi.com/kohde/69973013</t>
  </si>
  <si>
    <t>2026-06-10T14:04:07.015Z</t>
  </si>
  <si>
    <t>Myllyväenkatu 12 Myllykylä Helsinki</t>
  </si>
  <si>
    <t>Myllyväenkatu 12</t>
  </si>
  <si>
    <t>Myllykylä Helsinki</t>
  </si>
  <si>
    <t>2097</t>
  </si>
  <si>
    <t>Kiinteistömaailma Helsinki Itäkeskus-Puotila | Asuntovirta Oy</t>
  </si>
  <si>
    <t>Myllykylä</t>
  </si>
  <si>
    <t>1413697</t>
  </si>
  <si>
    <t>https://d3ls91xgksobn.cloudfront.net/400x300/etuovimedia/images/property/import/0/2609000/0e76b9541118d347871c0e0e51d244c4/9b7ed83977350127315a1d5e199fe9bb/ORIGINAL.jpeg</t>
  </si>
  <si>
    <t>https://d3ls91xgksobn.cloudfront.net/1200x900/etuovimedia/images/property/import/0/2609000/0e76b9541118d347871c0e0e51d244c4/9b7ed83977350127315a1d5e199fe9bb/ORIGINAL.jpeg</t>
  </si>
  <si>
    <t>2609000</t>
  </si>
  <si>
    <t>https://www.etuovi.com/kohde/1413697</t>
  </si>
  <si>
    <t>358 000 €</t>
  </si>
  <si>
    <t>3h, k, kph x 2, s, las.p, terassi, var, ap</t>
  </si>
  <si>
    <t>2026-06-10T14:04:07.030Z</t>
  </si>
  <si>
    <t>Semi-detached (Paritalo) — 3h, k, kph x 2, s, las.p, terassi, var, ap — 94.5 m² — Myllykylä Helsinki</t>
  </si>
  <si>
    <t>Carpelanintie 3 Tammisaari Raasepori</t>
  </si>
  <si>
    <t>Carpelanintie 3</t>
  </si>
  <si>
    <t>Tammisaari Raasepori</t>
  </si>
  <si>
    <t>3542</t>
  </si>
  <si>
    <t>Kiinteistömaailma Raseborg-Raasepori | Kiinteistövälitys Hannula LKV</t>
  </si>
  <si>
    <t>Tammisaari</t>
  </si>
  <si>
    <t>63767978</t>
  </si>
  <si>
    <t>https://d3ls91xgksobn.cloudfront.net/400x300/etuovimedia/images/property/import/278/2526278/0e76b9541118d347871c0e0e51d244c4/4b05c4f92afad529fd0a6801f39a6d6d/ORIGINAL.jpeg</t>
  </si>
  <si>
    <t>https://d3ls91xgksobn.cloudfront.net/1200x900/etuovimedia/images/property/import/278/2526278/0e76b9541118d347871c0e0e51d244c4/4b05c4f92afad529fd0a6801f39a6d6d/ORIGINAL.jpeg</t>
  </si>
  <si>
    <t>2526278</t>
  </si>
  <si>
    <t>https://www.etuovi.com/kohde/63767978</t>
  </si>
  <si>
    <t>3h, k, kph / wc, s, p</t>
  </si>
  <si>
    <t>2026-06-10T14:04:07.045Z</t>
  </si>
  <si>
    <t>Apartment (Kerrostalo) — 3h, k, kph / wc, s, p — 70 m² — Tammisaari Raasepori</t>
  </si>
  <si>
    <t>Välimaankatu 7 Tammela Tampere</t>
  </si>
  <si>
    <t>Välimaankatu 7</t>
  </si>
  <si>
    <t>1932</t>
  </si>
  <si>
    <t>62226238</t>
  </si>
  <si>
    <t>https://d3ls91xgksobn.cloudfront.net/400x300/etuovimedia/images/property/import/999/2608999/0e76b9541118d347871c0e0e51d244c4/1f63817d53a470eb575ef2c7cebf6594/ORIGINAL.jpeg</t>
  </si>
  <si>
    <t>https://d3ls91xgksobn.cloudfront.net/1200x900/etuovimedia/images/property/import/999/2608999/0e76b9541118d347871c0e0e51d244c4/1f63817d53a470eb575ef2c7cebf6594/ORIGINAL.jpeg</t>
  </si>
  <si>
    <t>https://d3ls91xgksobn.cloudfront.net/1200x900/etuovimedia/images/property/import/999/2608999/0e76b9541118d347871c0e0e51d244c4/627c7cc4a2f15973c50ce1cc11c451bb/ORIGINAL.jpeg</t>
  </si>
  <si>
    <t>2608999</t>
  </si>
  <si>
    <t>https://www.etuovi.com/kohde/62226238</t>
  </si>
  <si>
    <t>1h, k, kph</t>
  </si>
  <si>
    <t>2026-06-10T14:04:07.065Z</t>
  </si>
  <si>
    <t>Apartment (Kerrostalo) — 1h, k, kph — 31.3 m² — Tammela Tampere</t>
  </si>
  <si>
    <t>Kirkkotie 185 Kirveskoski Pornainen</t>
  </si>
  <si>
    <t>Kirkkotie 185</t>
  </si>
  <si>
    <t>Kirveskoski Pornainen</t>
  </si>
  <si>
    <t>Kiinteistömaailma Järvenpää-Mäntsälä | S-Kodit Oy</t>
  </si>
  <si>
    <t>Irma Ainola</t>
  </si>
  <si>
    <t>Kirveskoski</t>
  </si>
  <si>
    <t>53555853</t>
  </si>
  <si>
    <t>https://d3ls91xgksobn.cloudfront.net/400x300/etuovimedia/images/property/import/998/2608998/0e76b9541118d347871c0e0e51d244c4/dbffe7d3148af644570318d501e0c18a/ORIGINAL.jpeg</t>
  </si>
  <si>
    <t>https://d3ls91xgksobn.cloudfront.net/1200x900/etuovimedia/images/property/import/998/2608998/0e76b9541118d347871c0e0e51d244c4/dbffe7d3148af644570318d501e0c18a/ORIGINAL.jpeg</t>
  </si>
  <si>
    <t>https://d3ls91xgksobn.cloudfront.net/1200x900/etuovimedia/images/property/import/998/2608998/0e76b9541118d347871c0e0e51d244c4/4ff78606992de5c8b43179fd72da80f3/ORIGINAL.jpeg</t>
  </si>
  <si>
    <t>2608998</t>
  </si>
  <si>
    <t>https://www.etuovi.com/kohde/53555853</t>
  </si>
  <si>
    <t>mh, tupak, s, las.p, kph</t>
  </si>
  <si>
    <t>2026-06-10T14:04:07.081Z</t>
  </si>
  <si>
    <t>Apartment (Kerrostalo) — mh, tupak, s, las.p, kph — 44 m² — Kirveskoski Pornainen</t>
  </si>
  <si>
    <t>Koninpolku 7 Koni Ii</t>
  </si>
  <si>
    <t>Koninpolku 7</t>
  </si>
  <si>
    <t>Koni Ii</t>
  </si>
  <si>
    <t>Oskari Rounaja</t>
  </si>
  <si>
    <t>Koni</t>
  </si>
  <si>
    <t>601502</t>
  </si>
  <si>
    <t>https://d3ls91xgksobn.cloudfront.net/400x300/etuovimedia/images/property/import/145/2239145/0e76b9541118d347871c0e0e51d244c4/33cc7c617c4ab2299469ad1968d16583/ORIGINAL.jpeg</t>
  </si>
  <si>
    <t>https://d3ls91xgksobn.cloudfront.net/1200x900/etuovimedia/images/property/import/145/2239145/0e76b9541118d347871c0e0e51d244c4/33cc7c617c4ab2299469ad1968d16583/ORIGINAL.jpeg</t>
  </si>
  <si>
    <t>https://d3ls91xgksobn.cloudfront.net/1200x900/etuovimedia/images/property/import/145/2239145/0e76b9541118d347871c0e0e51d244c4/402cd0648174638fb66011e020ad7c82/ORIGINAL.jpeg</t>
  </si>
  <si>
    <t>https://d3ls91xgksobn.cloudfront.net/1200x900/etuovimedia/images/property/import/145/2239145/0e76b9541118d347871c0e0e51d244c4/d9e4c5c02baf28a79a4dfe73060e1c5d/ORIGINAL.jpeg</t>
  </si>
  <si>
    <t>2239145</t>
  </si>
  <si>
    <t>https://www.etuovi.com/kohde/601502</t>
  </si>
  <si>
    <t>399 000 €</t>
  </si>
  <si>
    <t>2025-07-12</t>
  </si>
  <si>
    <t>5h, k, ruokailutila, aula, khh, kph, s, 2wc, tkn, parveke, varasto, rantasauna</t>
  </si>
  <si>
    <t>2026-06-10T14:04:07.097Z</t>
  </si>
  <si>
    <t>Detached House (Omakotitalo) — 5h, k, ruokailutila, aula, khh, kph, s, 2wc, tkn, parveke, varasto, rantasauna — 182.5 m² — Koni Ii</t>
  </si>
  <si>
    <t>Tuomiokirkonkatu 38 Keskusta Tampere</t>
  </si>
  <si>
    <t>Tuomiokirkonkatu 38</t>
  </si>
  <si>
    <t>3275</t>
  </si>
  <si>
    <t>Kiinteistömaailma Tampere Ratina | Ratinan Asuntopalvelu Oy</t>
  </si>
  <si>
    <t>Tommi Luosmala</t>
  </si>
  <si>
    <t>30650508</t>
  </si>
  <si>
    <t>https://d3ls91xgksobn.cloudfront.net/400x300/etuovimedia/images/property/import/997/2608997/0e76b9541118d347871c0e0e51d244c4/8d8aa52d843b042ab0c227a29d98c4d4/ORIGINAL.jpeg</t>
  </si>
  <si>
    <t>https://d3ls91xgksobn.cloudfront.net/1200x900/etuovimedia/images/property/import/997/2608997/0e76b9541118d347871c0e0e51d244c4/8d8aa52d843b042ab0c227a29d98c4d4/ORIGINAL.jpeg</t>
  </si>
  <si>
    <t>https://d3ls91xgksobn.cloudfront.net/1200x900/etuovimedia/images/property/import/997/2608997/0e76b9541118d347871c0e0e51d244c4/86148cafb347445740fa81dc5259d610/ORIGINAL.png</t>
  </si>
  <si>
    <t>https://d3ls91xgksobn.cloudfront.net/1200x900/etuovimedia/images/property/import/997/2608997/0e76b9541118d347871c0e0e51d244c4/991ccab1dc78da7f394421982c39ea6f/ORIGINAL.jpeg</t>
  </si>
  <si>
    <t>2608997</t>
  </si>
  <si>
    <t>https://www.etuovi.com/kohde/30650508</t>
  </si>
  <si>
    <t>250 000 €</t>
  </si>
  <si>
    <t>1h + kt + alk + ransk.p.</t>
  </si>
  <si>
    <t>2026-06-10T14:04:07.161Z</t>
  </si>
  <si>
    <t>Apartment (Kerrostalo) — 1h + kt + alk + ransk.p. — 32 m² — Keskusta Tampere</t>
  </si>
  <si>
    <t>Alakatu 10 Hamina Ii</t>
  </si>
  <si>
    <t>Alakatu 10</t>
  </si>
  <si>
    <t>Hamina Ii</t>
  </si>
  <si>
    <t>1920</t>
  </si>
  <si>
    <t>617232</t>
  </si>
  <si>
    <t>https://d3ls91xgksobn.cloudfront.net/400x300/etuovimedia/images/property/import/758/2543758/0e76b9541118d347871c0e0e51d244c4/772f36060c196fd7ca70bf82c4176fce/ORIGINAL.jpeg</t>
  </si>
  <si>
    <t>https://d3ls91xgksobn.cloudfront.net/1200x900/etuovimedia/images/property/import/758/2543758/0e76b9541118d347871c0e0e51d244c4/772f36060c196fd7ca70bf82c4176fce/ORIGINAL.jpeg</t>
  </si>
  <si>
    <t>https://d3ls91xgksobn.cloudfront.net/1200x900/etuovimedia/images/property/import/758/2543758/0e76b9541118d347871c0e0e51d244c4/cddc35b76175bf913a70f7dd51545e67/ORIGINAL.jpeg</t>
  </si>
  <si>
    <t>https://d3ls91xgksobn.cloudfront.net/1200x900/etuovimedia/images/property/import/758/2543758/0e76b9541118d347871c0e0e51d244c4/def1795c731487039f28085c36afcbf9/ORIGINAL.jpeg</t>
  </si>
  <si>
    <t>2543758</t>
  </si>
  <si>
    <t>https://www.etuovi.com/kohde/617232</t>
  </si>
  <si>
    <t>2026-04-17</t>
  </si>
  <si>
    <t>4h, k, kph, s, wc</t>
  </si>
  <si>
    <t>2026-06-10T14:04:07.182Z</t>
  </si>
  <si>
    <t>Detached House (Omakotitalo) — 4h, k, kph, s, wc — 114.1 m² — Hamina Ii</t>
  </si>
  <si>
    <t>Koivumäentie 1-3 Hirsimäki Riihimäki</t>
  </si>
  <si>
    <t>Koivumäentie 1-3</t>
  </si>
  <si>
    <t>Hirsimäki Riihimäki</t>
  </si>
  <si>
    <t>Hirsimäki</t>
  </si>
  <si>
    <t>58691382</t>
  </si>
  <si>
    <t>https://d3ls91xgksobn.cloudfront.net/400x300/etuovimedia/images/property/import/993/2608993/0e76b9541118d347871c0e0e51d244c4/2c997d1e914b8c70f188a4083ac33503/ORIGINAL.jpeg</t>
  </si>
  <si>
    <t>https://d3ls91xgksobn.cloudfront.net/1200x900/etuovimedia/images/property/import/993/2608993/0e76b9541118d347871c0e0e51d244c4/2c997d1e914b8c70f188a4083ac33503/ORIGINAL.jpeg</t>
  </si>
  <si>
    <t>2608993</t>
  </si>
  <si>
    <t>https://www.etuovi.com/kohde/58691382</t>
  </si>
  <si>
    <t>1h, k, kph, s, las.p</t>
  </si>
  <si>
    <t>2026-06-10T14:04:07.251Z</t>
  </si>
  <si>
    <t>Apartment (Kerrostalo) — 1h, k, kph, s, las.p — 31 m² — Hirsimäki Riihimäki</t>
  </si>
  <si>
    <t>Kuparitie 14 Lassila Helsinki</t>
  </si>
  <si>
    <t>Kuparitie 14</t>
  </si>
  <si>
    <t>Lassila Helsinki</t>
  </si>
  <si>
    <t>Lassila</t>
  </si>
  <si>
    <t>44717692</t>
  </si>
  <si>
    <t>https://d3ls91xgksobn.cloudfront.net/400x300/etuovimedia/images/property/import/991/2608991/0e76b9541118d347871c0e0e51d244c4/a327f8ce98e94584fa722d9cc1576539/ORIGINAL.jpeg</t>
  </si>
  <si>
    <t>https://d3ls91xgksobn.cloudfront.net/1200x900/etuovimedia/images/property/import/991/2608991/0e76b9541118d347871c0e0e51d244c4/a327f8ce98e94584fa722d9cc1576539/ORIGINAL.jpeg</t>
  </si>
  <si>
    <t>https://d3ls91xgksobn.cloudfront.net/1200x900/etuovimedia/images/property/import/991/2608991/0e76b9541118d347871c0e0e51d244c4/346695efb54cab052975dd0978e8e122/ORIGINAL.jpeg</t>
  </si>
  <si>
    <t>2608991</t>
  </si>
  <si>
    <t>https://www.etuovi.com/kohde/44717692</t>
  </si>
  <si>
    <t>1h + kk + kph + las.parveke,</t>
  </si>
  <si>
    <t>2026-06-10T14:04:07.312Z</t>
  </si>
  <si>
    <t>Apartment (Kerrostalo) — 1h + kk + kph + las.parveke,  — 32.5 m² — Lassila Helsinki</t>
  </si>
  <si>
    <t>Kuninkaankatu 8 Tammisaari Raasepori</t>
  </si>
  <si>
    <t>Kuninkaankatu 8</t>
  </si>
  <si>
    <t>1408758</t>
  </si>
  <si>
    <t>https://d3ls91xgksobn.cloudfront.net/400x300/etuovimedia/images/property/import/171/2453171/0e76b9541118d347871c0e0e51d244c4/d8c42da965bff49de8fbe7578c726928/ORIGINAL.jpeg</t>
  </si>
  <si>
    <t>https://d3ls91xgksobn.cloudfront.net/1200x900/etuovimedia/images/property/import/171/2453171/0e76b9541118d347871c0e0e51d244c4/d8c42da965bff49de8fbe7578c726928/ORIGINAL.jpeg</t>
  </si>
  <si>
    <t>2453171</t>
  </si>
  <si>
    <t>https://www.etuovi.com/kohde/1408758</t>
  </si>
  <si>
    <t>2h, k, vh, kph</t>
  </si>
  <si>
    <t>2026-06-10T14:04:07.327Z</t>
  </si>
  <si>
    <t>Apartment (Kerrostalo) — 2h, k, vh, kph — 47 m² — Tammisaari Raasepori</t>
  </si>
  <si>
    <t>Hongistontie 8 Jokela Tuusula</t>
  </si>
  <si>
    <t>Hongistontie 8</t>
  </si>
  <si>
    <t>Jokela Tuusula</t>
  </si>
  <si>
    <t>2620</t>
  </si>
  <si>
    <t>Top House | Top Living Oy LKV</t>
  </si>
  <si>
    <t>http://www.tophouse.fi/</t>
  </si>
  <si>
    <t>Jokela</t>
  </si>
  <si>
    <t>20635537</t>
  </si>
  <si>
    <t>https://d3ls91xgksobn.cloudfront.net/400x300/etuovimedia/images/property/import/956/2003956/0e76b9541118d347871c0e0e51d244c4/006456f52c1bb770f246d5bcfee077e7/ORIGINAL.jpeg</t>
  </si>
  <si>
    <t>https://d3ls91xgksobn.cloudfront.net/1200x900/etuovimedia/images/property/import/956/2003956/0e76b9541118d347871c0e0e51d244c4/006456f52c1bb770f246d5bcfee077e7/ORIGINAL.jpeg</t>
  </si>
  <si>
    <t>2003956</t>
  </si>
  <si>
    <t>https://www.etuovi.com/kohde/20635537</t>
  </si>
  <si>
    <t>2024-10-12</t>
  </si>
  <si>
    <t>3h + k + th + kh + s</t>
  </si>
  <si>
    <t>2026-06-10T14:04:07.341Z</t>
  </si>
  <si>
    <t>Detached House (Omakotitalo) — 3h + k + th + kh + s — 85 m² — Jokela Tuusula</t>
  </si>
  <si>
    <t>Karhuntaival 5 Lappilanmäki Kokkola</t>
  </si>
  <si>
    <t>Karhuntaival 5</t>
  </si>
  <si>
    <t>Lappilanmäki Kokkola</t>
  </si>
  <si>
    <t>Lappilanmäki</t>
  </si>
  <si>
    <t>40644663</t>
  </si>
  <si>
    <t>https://d3ls91xgksobn.cloudfront.net/400x300/etuovimedia/images/property/import/977/2608977/0e76b9541118d347871c0e0e51d244c4/a8c2392d7c7ab6e3b494da755bf9ba22/ORIGINAL.jpeg</t>
  </si>
  <si>
    <t>https://d3ls91xgksobn.cloudfront.net/1200x900/etuovimedia/images/property/import/977/2608977/0e76b9541118d347871c0e0e51d244c4/a8c2392d7c7ab6e3b494da755bf9ba22/ORIGINAL.jpeg</t>
  </si>
  <si>
    <t>2608977</t>
  </si>
  <si>
    <t>https://www.etuovi.com/kohde/40644663</t>
  </si>
  <si>
    <t>3h, k, s, kph, ak, wc, terassi</t>
  </si>
  <si>
    <t>2026-06-10T14:04:07.406Z</t>
  </si>
  <si>
    <t>Semi-detached (Paritalo) — 3h, k, s, kph, ak, wc, terassi — 73 m² — Lappilanmäki Kokkola</t>
  </si>
  <si>
    <t>Puolukkakuja 7 Varikko Jyväskylä</t>
  </si>
  <si>
    <t>Puolukkakuja 7</t>
  </si>
  <si>
    <t>Varikko Jyväskylä</t>
  </si>
  <si>
    <t>Varikko</t>
  </si>
  <si>
    <t>21210746</t>
  </si>
  <si>
    <t>https://d3ls91xgksobn.cloudfront.net/400x300/etuovimedia/images/property/import/808/1800808/0e76b9541118d347871c0e0e51d244c4/1b2298d7a253521d0550a680225824ee/ORIGINAL.jpeg</t>
  </si>
  <si>
    <t>https://d3ls91xgksobn.cloudfront.net/1200x900/etuovimedia/images/property/import/808/1800808/0e76b9541118d347871c0e0e51d244c4/1b2298d7a253521d0550a680225824ee/ORIGINAL.jpeg</t>
  </si>
  <si>
    <t>https://d3ls91xgksobn.cloudfront.net/1200x900/etuovimedia/images/property/import/808/1800808/0e76b9541118d347871c0e0e51d244c4/fdab66fd21cc178a1be263ebdd7d7a79/ORIGINAL.jpeg</t>
  </si>
  <si>
    <t>1800808</t>
  </si>
  <si>
    <t>https://www.etuovi.com/kohde/21210746</t>
  </si>
  <si>
    <t>2023-06-13</t>
  </si>
  <si>
    <t>3h, k, kph, p</t>
  </si>
  <si>
    <t>2026-06-10T14:04:07.448Z</t>
  </si>
  <si>
    <t>Apartment (Kerrostalo) — 3h, k, kph, p — 68 m² — Varikko Jyväskylä</t>
  </si>
  <si>
    <t>Iskospolku 4 Myyrmäki Vantaa</t>
  </si>
  <si>
    <t>Iskospolku 4</t>
  </si>
  <si>
    <t>4654</t>
  </si>
  <si>
    <t>Kiinteistömaailma Helsinki Pasila | Niko Merikko LKV Oy</t>
  </si>
  <si>
    <t>Mari Varis</t>
  </si>
  <si>
    <t>37004812</t>
  </si>
  <si>
    <t>https://d3ls91xgksobn.cloudfront.net/400x300/etuovimedia/images/property/import/975/2608975/0e76b9541118d347871c0e0e51d244c4/a2f2e553bcef19d5f36f4ec104f496dd/ORIGINAL.jpeg</t>
  </si>
  <si>
    <t>https://d3ls91xgksobn.cloudfront.net/1200x900/etuovimedia/images/property/import/975/2608975/0e76b9541118d347871c0e0e51d244c4/a2f2e553bcef19d5f36f4ec104f496dd/ORIGINAL.jpeg</t>
  </si>
  <si>
    <t>https://d3ls91xgksobn.cloudfront.net/1200x900/etuovimedia/images/property/import/975/2608975/0e76b9541118d347871c0e0e51d244c4/256b6d23c49f820bc5b972dffc7387be/ORIGINAL.jpeg</t>
  </si>
  <si>
    <t>2608975</t>
  </si>
  <si>
    <t>https://www.etuovi.com/kohde/37004812</t>
  </si>
  <si>
    <t>2h, avok, vh, kph, lasitettuparveke</t>
  </si>
  <si>
    <t>2026-06-10T14:04:07.474Z</t>
  </si>
  <si>
    <t>Apartment (Kerrostalo) — 2h, avok, vh, kph, lasitettuparveke — 44 m² — Myyrmäki Vantaa</t>
  </si>
  <si>
    <t>Kaupunginkalliontie 7 D Kaupunginkallio Espoo</t>
  </si>
  <si>
    <t>Kaupunginkalliontie 7 D</t>
  </si>
  <si>
    <t>Kaupunginkallio Espoo</t>
  </si>
  <si>
    <t>4473</t>
  </si>
  <si>
    <t>Sp-Koti | Asuntohorisontti Oy</t>
  </si>
  <si>
    <t>Kaupunginkallio</t>
  </si>
  <si>
    <t>80494859</t>
  </si>
  <si>
    <t>https://d3ls91xgksobn.cloudfront.net/400x300/etuovimedia/images/property/import/973/2608973/0e76b9541118d347871c0e0e51d244c4/9435edd0695c980c5e01c5aa46aaada6/ORIGINAL.jpeg</t>
  </si>
  <si>
    <t>https://d3ls91xgksobn.cloudfront.net/1200x900/etuovimedia/images/property/import/973/2608973/0e76b9541118d347871c0e0e51d244c4/9435edd0695c980c5e01c5aa46aaada6/ORIGINAL.jpeg</t>
  </si>
  <si>
    <t>2608973</t>
  </si>
  <si>
    <t>https://www.etuovi.com/kohde/80494859</t>
  </si>
  <si>
    <t>435 000 €</t>
  </si>
  <si>
    <t>4h + k + kph / s + kph / wc + vh + at + vsto + autokatos</t>
  </si>
  <si>
    <t>2026-06-10T14:04:07.486Z</t>
  </si>
  <si>
    <t>SEPARATE_HOUSE — 4h + k + kph / s + kph / wc + vh + at + vsto + autokatos — 120 m² — Kaupunginkallio Espoo</t>
  </si>
  <si>
    <t>Kissanmaankatu 30 Kissanmaa Tampere</t>
  </si>
  <si>
    <t>Kissanmaankatu 30</t>
  </si>
  <si>
    <t>Kissanmaa Tampere</t>
  </si>
  <si>
    <t>Kissanmaa</t>
  </si>
  <si>
    <t>21070507</t>
  </si>
  <si>
    <t>https://d3ls91xgksobn.cloudfront.net/400x300/etuovimedia/images/property/import/971/2608971/0e76b9541118d347871c0e0e51d244c4/08c8e1ba68097d5bdd59798f9d1e813a/ORIGINAL.jpeg</t>
  </si>
  <si>
    <t>https://d3ls91xgksobn.cloudfront.net/1200x900/etuovimedia/images/property/import/971/2608971/0e76b9541118d347871c0e0e51d244c4/08c8e1ba68097d5bdd59798f9d1e813a/ORIGINAL.jpeg</t>
  </si>
  <si>
    <t>https://d3ls91xgksobn.cloudfront.net/1200x900/etuovimedia/images/property/import/971/2608971/0e76b9541118d347871c0e0e51d244c4/40de873affce461c69c5cf5f6ea554ac/ORIGINAL.jpeg</t>
  </si>
  <si>
    <t>2608971</t>
  </si>
  <si>
    <t>https://www.etuovi.com/kohde/21070507</t>
  </si>
  <si>
    <t>3h, k, kph / wc, 2x vh, lasitettu parveke</t>
  </si>
  <si>
    <t>2026-06-10T14:04:07.525Z</t>
  </si>
  <si>
    <t>Apartment (Kerrostalo) — 3h, k, kph / wc, 2x vh, lasitettu parveke — 70 m² — Kissanmaa Tampere</t>
  </si>
  <si>
    <t>Ullavantie 1200 Viirre Kannus</t>
  </si>
  <si>
    <t>Ullavantie 1200</t>
  </si>
  <si>
    <t>Viirre Kannus</t>
  </si>
  <si>
    <t>2174</t>
  </si>
  <si>
    <t>Kiinteistönvälitys Pro Oy LKV</t>
  </si>
  <si>
    <t>http://kiinteistonvalityspro.fi/</t>
  </si>
  <si>
    <t>Viirre</t>
  </si>
  <si>
    <t>20012346</t>
  </si>
  <si>
    <t>https://d3ls91xgksobn.cloudfront.net/400x300/etuovimedia/images/property/import/342/2238342/0e76b9541118d347871c0e0e51d244c4/f75f23e81ced6db0ab87f4693c5a456f/ORIGINAL.jpeg</t>
  </si>
  <si>
    <t>https://d3ls91xgksobn.cloudfront.net/1200x900/etuovimedia/images/property/import/342/2238342/0e76b9541118d347871c0e0e51d244c4/f75f23e81ced6db0ab87f4693c5a456f/ORIGINAL.jpeg</t>
  </si>
  <si>
    <t>2238342</t>
  </si>
  <si>
    <t>https://www.etuovi.com/kohde/20012346</t>
  </si>
  <si>
    <t>55 250 €</t>
  </si>
  <si>
    <t>2025-07-11</t>
  </si>
  <si>
    <t>3h + k + s + ph + wc</t>
  </si>
  <si>
    <t>2026-06-10T14:04:07.590Z</t>
  </si>
  <si>
    <t>Detached House (Omakotitalo) — 3h + k + s + ph + wc — 105 m² — Viirre Kannus</t>
  </si>
  <si>
    <t>Huvilakatu 9 Rantaniitty Pirkkala</t>
  </si>
  <si>
    <t>Huvilakatu 9</t>
  </si>
  <si>
    <t>Rantaniitty Pirkkala</t>
  </si>
  <si>
    <t>Misa Roito</t>
  </si>
  <si>
    <t>Rantaniitty</t>
  </si>
  <si>
    <t>1409091</t>
  </si>
  <si>
    <t>https://d3ls91xgksobn.cloudfront.net/400x300/etuovimedia/images/property/import/916/2466916/0e76b9541118d347871c0e0e51d244c4/29a01249b218ff5f617225fb02d3b125/ORIGINAL.jpeg</t>
  </si>
  <si>
    <t>https://d3ls91xgksobn.cloudfront.net/1200x900/etuovimedia/images/property/import/916/2466916/0e76b9541118d347871c0e0e51d244c4/29a01249b218ff5f617225fb02d3b125/ORIGINAL.jpeg</t>
  </si>
  <si>
    <t>https://d3ls91xgksobn.cloudfront.net/1200x900/etuovimedia/images/property/import/916/2466916/0e76b9541118d347871c0e0e51d244c4/b4da804569c3e07bb8491ea129405cb2/ORIGINAL.jpeg</t>
  </si>
  <si>
    <t>2466916</t>
  </si>
  <si>
    <t>https://www.etuovi.com/kohde/1409091</t>
  </si>
  <si>
    <t>655 000 €</t>
  </si>
  <si>
    <t>2026-02-04</t>
  </si>
  <si>
    <t>4h, k, 2 vh, 2 er. wc, khh, pukutila, s / kph + iso autotalli</t>
  </si>
  <si>
    <t>2026-06-10T14:04:07.625Z</t>
  </si>
  <si>
    <t>Semi-detached (Paritalo) — 4h, k, 2 vh, 2 er. wc, khh, pukutila, s / kph + iso autotalli — 133 m² — Rantaniitty Pirkkala</t>
  </si>
  <si>
    <t>Vesikonpiha 3 A 3 Keskusta Lieto</t>
  </si>
  <si>
    <t>Vesikonpiha 3 A 3</t>
  </si>
  <si>
    <t>42558143</t>
  </si>
  <si>
    <t>https://d3ls91xgksobn.cloudfront.net/400x300/etuovimedia/images/property/import/960/2608960/0e76b9541118d347871c0e0e51d244c4/5ffd8f6d4a1c52eef4a323d96d8e60b1/ORIGINAL.png</t>
  </si>
  <si>
    <t>https://d3ls91xgksobn.cloudfront.net/1200x900/etuovimedia/images/property/import/960/2608960/0e76b9541118d347871c0e0e51d244c4/5ffd8f6d4a1c52eef4a323d96d8e60b1/ORIGINAL.png</t>
  </si>
  <si>
    <t>2608960</t>
  </si>
  <si>
    <t>https://www.etuovi.com/kohde/42558143</t>
  </si>
  <si>
    <t>99 900 €</t>
  </si>
  <si>
    <t>Valoisa yksiö omalla pihalla | Liedon Lumme</t>
  </si>
  <si>
    <t>2026-06-10T14:04:07.674Z</t>
  </si>
  <si>
    <t>Apartment (Kerrostalo) — Valoisa yksiö omalla pihalla | Liedon Lumme — 27.5 m² — Keskusta Lieto</t>
  </si>
  <si>
    <t>Reeninkatu 7 as Lukkarinmäki Salo</t>
  </si>
  <si>
    <t>Reeninkatu 7 as</t>
  </si>
  <si>
    <t>Lukkarinmäki Salo</t>
  </si>
  <si>
    <t>3319</t>
  </si>
  <si>
    <t>UMMO LKV Oy</t>
  </si>
  <si>
    <t>https://www.ummo.fi/</t>
  </si>
  <si>
    <t>1923</t>
  </si>
  <si>
    <t>Lukkarinmäki</t>
  </si>
  <si>
    <t>80511650</t>
  </si>
  <si>
    <t>https://d3ls91xgksobn.cloudfront.net/400x300/etuovimedia/images/property/import/959/2608959/0e76b9541118d347871c0e0e51d244c4/cfecc9d9745536e09b65ca8ad1b6199d/ORIGINAL.jpeg</t>
  </si>
  <si>
    <t>https://d3ls91xgksobn.cloudfront.net/1200x900/etuovimedia/images/property/import/959/2608959/0e76b9541118d347871c0e0e51d244c4/cfecc9d9745536e09b65ca8ad1b6199d/ORIGINAL.jpeg</t>
  </si>
  <si>
    <t>2608959</t>
  </si>
  <si>
    <t>https://www.etuovi.com/kohde/80511650</t>
  </si>
  <si>
    <t>2026-06-10T14:04:07.705Z</t>
  </si>
  <si>
    <t>WOODEN_HOUSE_APARTMENT — 2h + k — 62.5 m² — Lukkarinmäki Salo</t>
  </si>
  <si>
    <t>Tammistontie 2 D Tammisto Vantaa</t>
  </si>
  <si>
    <t>Tammistontie 2 D</t>
  </si>
  <si>
    <t>Tammisto Vantaa</t>
  </si>
  <si>
    <t>Tammisto</t>
  </si>
  <si>
    <t>80512305</t>
  </si>
  <si>
    <t>https://d3ls91xgksobn.cloudfront.net/400x300/etuovimedia/images/property/import/958/2608958/0e76b9541118d347871c0e0e51d244c4/41f11a769648936e6e85fa114de26ec8/ORIGINAL.jpeg</t>
  </si>
  <si>
    <t>https://d3ls91xgksobn.cloudfront.net/1200x900/etuovimedia/images/property/import/958/2608958/0e76b9541118d347871c0e0e51d244c4/41f11a769648936e6e85fa114de26ec8/ORIGINAL.jpeg</t>
  </si>
  <si>
    <t>2608958</t>
  </si>
  <si>
    <t>https://www.etuovi.com/kohde/80512305</t>
  </si>
  <si>
    <t>3 h + kt + s</t>
  </si>
  <si>
    <t>2026-06-10T14:04:07.718Z</t>
  </si>
  <si>
    <t>Apartment (Kerrostalo) — 3 h + kt + s — 71 m² — Tammisto Vantaa</t>
  </si>
  <si>
    <t>Alhonkatu 21 B Rauhala Kotka</t>
  </si>
  <si>
    <t>Alhonkatu 21 B</t>
  </si>
  <si>
    <t>Rauhala Kotka</t>
  </si>
  <si>
    <t>3293</t>
  </si>
  <si>
    <t>Aitoa LKV | Aitoa välittämistä Oy</t>
  </si>
  <si>
    <t>http://www.aitoalkv.fi/</t>
  </si>
  <si>
    <t>Rauhala</t>
  </si>
  <si>
    <t>80514044</t>
  </si>
  <si>
    <t>https://d3ls91xgksobn.cloudfront.net/400x300/etuovimedia/images/property/import/957/2608957/0e76b9541118d347871c0e0e51d244c4/cb3a9e708d03525f3ee97b9aaa2fea15/ORIGINAL.jpeg</t>
  </si>
  <si>
    <t>https://d3ls91xgksobn.cloudfront.net/1200x900/etuovimedia/images/property/import/957/2608957/0e76b9541118d347871c0e0e51d244c4/cb3a9e708d03525f3ee97b9aaa2fea15/ORIGINAL.jpeg</t>
  </si>
  <si>
    <t>2608957</t>
  </si>
  <si>
    <t>https://www.etuovi.com/kohde/80514044</t>
  </si>
  <si>
    <t>4h + k + kph + s + khh + ak + varasto + piha + patio</t>
  </si>
  <si>
    <t>2026-06-10T14:04:07.751Z</t>
  </si>
  <si>
    <t>Semi-detached (Paritalo) — 4h + k + kph + s + khh + ak + varasto + piha + patio — 85 m² — Rauhala Kotka</t>
  </si>
  <si>
    <t>Fagervikintie 503 Inkoo</t>
  </si>
  <si>
    <t>Fagervikintie 503</t>
  </si>
  <si>
    <t>1571</t>
  </si>
  <si>
    <t>Sp-Koti | Raseborgs Bostadsapotek Ab Oy AFM</t>
  </si>
  <si>
    <t>https://www.saastopankki.fi/sv-se/sb-hem</t>
  </si>
  <si>
    <t>Jeanette Mäkinen-Malmberg</t>
  </si>
  <si>
    <t>80513193</t>
  </si>
  <si>
    <t>https://d3ls91xgksobn.cloudfront.net/400x300/etuovimedia/images/property/import/956/2608956/0e76b9541118d347871c0e0e51d244c4/21f7095f6b7d40ec3e89d4825fda5335/ORIGINAL.jpeg</t>
  </si>
  <si>
    <t>https://d3ls91xgksobn.cloudfront.net/1200x900/etuovimedia/images/property/import/956/2608956/0e76b9541118d347871c0e0e51d244c4/21f7095f6b7d40ec3e89d4825fda5335/ORIGINAL.jpeg</t>
  </si>
  <si>
    <t>https://d3ls91xgksobn.cloudfront.net/1200x900/etuovimedia/images/property/import/956/2608956/0e76b9541118d347871c0e0e51d244c4/00c982e7b58fa89c58679b75e5b942ea/ORIGINAL.jpeg</t>
  </si>
  <si>
    <t>https://d3ls91xgksobn.cloudfront.net/1200x900/etuovimedia/images/property/import/956/2608956/0e76b9541118d347871c0e0e51d244c4/bffa1eb9abeabe277d60b4020b1f9ecd/ORIGINAL.jpeg</t>
  </si>
  <si>
    <t>2608956</t>
  </si>
  <si>
    <t>https://www.etuovi.com/kohde/80513193</t>
  </si>
  <si>
    <t>102 000 €</t>
  </si>
  <si>
    <t>3h, k, kph, khh, s, askarteluhuone + autokatos</t>
  </si>
  <si>
    <t>2026-06-10T14:04:07.764Z</t>
  </si>
  <si>
    <t>Detached House (Omakotitalo) — 3h, k, kph, khh, s, askarteluhuone + autokatos — 148 m² — Inkoo</t>
  </si>
  <si>
    <t>Sepänkatu 3a Keskusta Joensuu</t>
  </si>
  <si>
    <t>Sepänkatu 3a</t>
  </si>
  <si>
    <t>1486</t>
  </si>
  <si>
    <t>Asunto- ja kiinteistöpalvelu Varis LKV</t>
  </si>
  <si>
    <t>80514500</t>
  </si>
  <si>
    <t>https://d3ls91xgksobn.cloudfront.net/400x300/etuovimedia/images/property/import/955/2608955/0e76b9541118d347871c0e0e51d244c4/e48604ddcc532653f6f722818591f1c0/ORIGINAL.jpeg</t>
  </si>
  <si>
    <t>https://d3ls91xgksobn.cloudfront.net/1200x900/etuovimedia/images/property/import/955/2608955/0e76b9541118d347871c0e0e51d244c4/e48604ddcc532653f6f722818591f1c0/ORIGINAL.jpeg</t>
  </si>
  <si>
    <t>2608955</t>
  </si>
  <si>
    <t>https://www.etuovi.com/kohde/80514500</t>
  </si>
  <si>
    <t>2026-06-10T14:04:07.798Z</t>
  </si>
  <si>
    <t>Apartment (Kerrostalo) — 2h + k + s — 58 m² — Keskusta Joensuu</t>
  </si>
  <si>
    <t>Hiihtäjäntie 4 A Kirkonkylä Mäntsälä</t>
  </si>
  <si>
    <t>Hiihtäjäntie 4 A</t>
  </si>
  <si>
    <t>Kirkonkylä Mäntsälä</t>
  </si>
  <si>
    <t>3704</t>
  </si>
  <si>
    <t>Some Homes Oy</t>
  </si>
  <si>
    <t>https://somehomes.fi/</t>
  </si>
  <si>
    <t>Janne Toivonen</t>
  </si>
  <si>
    <t>80515645</t>
  </si>
  <si>
    <t>https://d3ls91xgksobn.cloudfront.net/400x300/etuovimedia/images/property/import/954/2608954/0e76b9541118d347871c0e0e51d244c4/079683a51b7e1300d7a7a5ab98bc5825/ORIGINAL.jpeg</t>
  </si>
  <si>
    <t>https://d3ls91xgksobn.cloudfront.net/1200x900/etuovimedia/images/property/import/954/2608954/0e76b9541118d347871c0e0e51d244c4/079683a51b7e1300d7a7a5ab98bc5825/ORIGINAL.jpeg</t>
  </si>
  <si>
    <t>https://d3ls91xgksobn.cloudfront.net/1200x900/etuovimedia/images/property/import/954/2608954/0e76b9541118d347871c0e0e51d244c4/9ad8a380da3dfeee1fdff51d1eb0a34a/ORIGINAL.jpeg</t>
  </si>
  <si>
    <t>https://d3ls91xgksobn.cloudfront.net/1200x900/etuovimedia/images/property/import/954/2608954/0e76b9541118d347871c0e0e51d244c4/c60309a74c78f7be105dc887368d80cd/ORIGINAL.jpeg</t>
  </si>
  <si>
    <t>2608954</t>
  </si>
  <si>
    <t>https://www.etuovi.com/kohde/80515645</t>
  </si>
  <si>
    <t>74 000 €</t>
  </si>
  <si>
    <t>1h, kk, alkovi, kph / wc, terassi</t>
  </si>
  <si>
    <t>2026-06-10T14:04:07.891Z</t>
  </si>
  <si>
    <t>Row House (Rivitalo) — 1h, kk, alkovi, kph / wc, terassi — 31.5 m² — Kirkonkylä Mäntsälä</t>
  </si>
  <si>
    <t>Vihiluoto 7 B As 2 Vihiluoto Kempele</t>
  </si>
  <si>
    <t>Vihiluoto 7 B As 2</t>
  </si>
  <si>
    <t>Vihiluoto Kempele</t>
  </si>
  <si>
    <t>Vihiluoto</t>
  </si>
  <si>
    <t>80514756</t>
  </si>
  <si>
    <t>https://d3ls91xgksobn.cloudfront.net/400x300/etuovimedia/images/property/import/953/2608953/0e76b9541118d347871c0e0e51d244c4/616ed2e9848c7044e830fdad136cd058/ORIGINAL.jpeg</t>
  </si>
  <si>
    <t>https://d3ls91xgksobn.cloudfront.net/1200x900/etuovimedia/images/property/import/953/2608953/0e76b9541118d347871c0e0e51d244c4/616ed2e9848c7044e830fdad136cd058/ORIGINAL.jpeg</t>
  </si>
  <si>
    <t>2608953</t>
  </si>
  <si>
    <t>https://www.etuovi.com/kohde/80514756</t>
  </si>
  <si>
    <t>429 000 €</t>
  </si>
  <si>
    <t>5h, k, kph, s, khh, wc, vh, arkiet / tekn, at, ak, var</t>
  </si>
  <si>
    <t>2026-06-10T14:04:08.031Z</t>
  </si>
  <si>
    <t>Detached House (Omakotitalo) — 5h, k, kph, s, khh, wc, vh, arkiet / tekn, at, ak, var — 126 m² — Vihiluoto Kempele</t>
  </si>
  <si>
    <t>Konttikuja 2 Siilainen Joensuu</t>
  </si>
  <si>
    <t>Konttikuja 2</t>
  </si>
  <si>
    <t>Siilainen Joensuu</t>
  </si>
  <si>
    <t>Siilainen</t>
  </si>
  <si>
    <t>80514662</t>
  </si>
  <si>
    <t>https://d3ls91xgksobn.cloudfront.net/400x300/etuovimedia/images/property/import/952/2608952/0e76b9541118d347871c0e0e51d244c4/6b157deb4c5ad883d8f47136fffdd314/ORIGINAL.jpeg</t>
  </si>
  <si>
    <t>https://d3ls91xgksobn.cloudfront.net/1200x900/etuovimedia/images/property/import/952/2608952/0e76b9541118d347871c0e0e51d244c4/6b157deb4c5ad883d8f47136fffdd314/ORIGINAL.jpeg</t>
  </si>
  <si>
    <t>2608952</t>
  </si>
  <si>
    <t>https://www.etuovi.com/kohde/80514662</t>
  </si>
  <si>
    <t>2026-06-10T14:04:08.053Z</t>
  </si>
  <si>
    <t>Apartment (Kerrostalo) — 2h + kk + s — 49 m² — Siilainen Joensuu</t>
  </si>
  <si>
    <t>Pääskynkatu 20 Ylhäinen Salo</t>
  </si>
  <si>
    <t>Pääskynkatu 20</t>
  </si>
  <si>
    <t>Ylhäinen Salo</t>
  </si>
  <si>
    <t>4560</t>
  </si>
  <si>
    <t>Roof LKV Varsinais-Suomi Oy | Salo</t>
  </si>
  <si>
    <t>Ylhäinen</t>
  </si>
  <si>
    <t>80513950</t>
  </si>
  <si>
    <t>https://d3ls91xgksobn.cloudfront.net/400x300/etuovimedia/images/property/import/950/2608950/0e76b9541118d347871c0e0e51d244c4/ffa11991a039dbf33db58ee47623fccb/ORIGINAL.jpeg</t>
  </si>
  <si>
    <t>https://d3ls91xgksobn.cloudfront.net/1200x900/etuovimedia/images/property/import/950/2608950/0e76b9541118d347871c0e0e51d244c4/ffa11991a039dbf33db58ee47623fccb/ORIGINAL.jpeg</t>
  </si>
  <si>
    <t>2608950</t>
  </si>
  <si>
    <t>https://www.etuovi.com/kohde/80513950</t>
  </si>
  <si>
    <t>94 500 €</t>
  </si>
  <si>
    <t>4h, k, rt, tk, kph, wc, s, at ja var</t>
  </si>
  <si>
    <t>2026-06-10T14:04:08.086Z</t>
  </si>
  <si>
    <t>Detached House (Omakotitalo) — 4h, k, rt, tk, kph, wc, s, at ja var — 119 m² — Ylhäinen Salo</t>
  </si>
  <si>
    <t>Puhaltajantie 3 A Vaskikangas Oulu</t>
  </si>
  <si>
    <t>Puhaltajantie 3 A</t>
  </si>
  <si>
    <t>Vaskikangas Oulu</t>
  </si>
  <si>
    <t>Vaskikangas</t>
  </si>
  <si>
    <t>80514610</t>
  </si>
  <si>
    <t>https://d3ls91xgksobn.cloudfront.net/400x300/etuovimedia/images/property/import/949/2608949/0e76b9541118d347871c0e0e51d244c4/9ea6e56eb5e04b81f5aa2fe53c6865ea/ORIGINAL.jpeg</t>
  </si>
  <si>
    <t>https://d3ls91xgksobn.cloudfront.net/1200x900/etuovimedia/images/property/import/949/2608949/0e76b9541118d347871c0e0e51d244c4/9ea6e56eb5e04b81f5aa2fe53c6865ea/ORIGINAL.jpeg</t>
  </si>
  <si>
    <t>2608949</t>
  </si>
  <si>
    <t>https://www.etuovi.com/kohde/80514610</t>
  </si>
  <si>
    <t>4h, k, kph, s, khh, wc, vh, 2var, ak, ap</t>
  </si>
  <si>
    <t>2026-06-10T14:04:09.921Z</t>
  </si>
  <si>
    <t>SEPARATE_HOUSE — 4h, k, kph, s, khh, wc, vh, 2var, ak, ap — 91 m² — Vaskikangas Oulu</t>
  </si>
  <si>
    <t>Jukolantie 2 Villähde Lahti</t>
  </si>
  <si>
    <t>Jukolantie 2</t>
  </si>
  <si>
    <t>Villähde Lahti</t>
  </si>
  <si>
    <t>3725</t>
  </si>
  <si>
    <t>Kiinteistömaailma Lahti Hämeenkatu | Matkalla Kotiin Oy LKV</t>
  </si>
  <si>
    <t>Reijo Pellikka</t>
  </si>
  <si>
    <t>Villähde</t>
  </si>
  <si>
    <t>51554468</t>
  </si>
  <si>
    <t>https://d3ls91xgksobn.cloudfront.net/400x300/etuovimedia/images/property/import/948/2608948/0e76b9541118d347871c0e0e51d244c4/31744c08cc927592475d91463b7d44ea/ORIGINAL.jpeg</t>
  </si>
  <si>
    <t>https://d3ls91xgksobn.cloudfront.net/1200x900/etuovimedia/images/property/import/948/2608948/0e76b9541118d347871c0e0e51d244c4/31744c08cc927592475d91463b7d44ea/ORIGINAL.jpeg</t>
  </si>
  <si>
    <t>https://d3ls91xgksobn.cloudfront.net/1200x900/etuovimedia/images/property/import/948/2608948/0e76b9541118d347871c0e0e51d244c4/610fe8a27875774c2d6e07c32bcfb0b5/ORIGINAL.jpeg</t>
  </si>
  <si>
    <t>2608948</t>
  </si>
  <si>
    <t>https://www.etuovi.com/kohde/51554468</t>
  </si>
  <si>
    <t>3 h, k, kph, s, erill.wc, parvi, ullakko, terassi, autokatos, ulkovarasto</t>
  </si>
  <si>
    <t>2026-06-10T14:04:09.939Z</t>
  </si>
  <si>
    <t>Row House (Rivitalo) — 3 h, k, kph, s, erill.wc, parvi, ullakko, terassi, autokatos, ulkovarasto — 73.5 m² — Villähde Lahti</t>
  </si>
  <si>
    <t>Sukkavartaankatu 6 Jussinkylä Tampere</t>
  </si>
  <si>
    <t>Sukkavartaankatu 6</t>
  </si>
  <si>
    <t>Jussinkylä Tampere</t>
  </si>
  <si>
    <t>Jussinkylä</t>
  </si>
  <si>
    <t>20340936</t>
  </si>
  <si>
    <t>https://d3ls91xgksobn.cloudfront.net/400x300/etuovimedia/images/property/import/947/2608947/0e76b9541118d347871c0e0e51d244c4/85bf77c3dc853347054fdf29f7669a98/ORIGINAL.jpeg</t>
  </si>
  <si>
    <t>https://d3ls91xgksobn.cloudfront.net/1200x900/etuovimedia/images/property/import/947/2608947/0e76b9541118d347871c0e0e51d244c4/85bf77c3dc853347054fdf29f7669a98/ORIGINAL.jpeg</t>
  </si>
  <si>
    <t>2608947</t>
  </si>
  <si>
    <t>https://www.etuovi.com/kohde/20340936</t>
  </si>
  <si>
    <t>2026-06-10T14:04:09.956Z</t>
  </si>
  <si>
    <t>Apartment (Kerrostalo) — 1h + kk — 33.5 m² — Jussinkylä Tampere</t>
  </si>
  <si>
    <t>Lahotie 6 Pateniemi Oulu</t>
  </si>
  <si>
    <t>Lahotie 6</t>
  </si>
  <si>
    <t>2360</t>
  </si>
  <si>
    <t>TuplaR LKV</t>
  </si>
  <si>
    <t>http://tuplar.fi</t>
  </si>
  <si>
    <t>20824735</t>
  </si>
  <si>
    <t>https://d3ls91xgksobn.cloudfront.net/400x300/etuovimedia/images/property/import/946/2608946/0e76b9541118d347871c0e0e51d244c4/a3d8efe9ebc193e74fc432c802d11690/ORIGINAL.jpeg</t>
  </si>
  <si>
    <t>https://d3ls91xgksobn.cloudfront.net/1200x900/etuovimedia/images/property/import/946/2608946/0e76b9541118d347871c0e0e51d244c4/a3d8efe9ebc193e74fc432c802d11690/ORIGINAL.jpeg</t>
  </si>
  <si>
    <t>2608946</t>
  </si>
  <si>
    <t>https://www.etuovi.com/kohde/20824735</t>
  </si>
  <si>
    <t>2026-06-10T14:04:09.978Z</t>
  </si>
  <si>
    <t>Detached House (Omakotitalo) — 5h + k + s — 151 m² — Pateniemi Oulu</t>
  </si>
  <si>
    <t>Pyölintie 3 Husula Hamina</t>
  </si>
  <si>
    <t>Pyölintie 3</t>
  </si>
  <si>
    <t>20100518</t>
  </si>
  <si>
    <t>https://d3ls91xgksobn.cloudfront.net/400x300/etuovimedia/images/property/import/945/2608945/0e76b9541118d347871c0e0e51d244c4/874ec171ccc464a5da62c799c00b7a83/ORIGINAL.jpeg</t>
  </si>
  <si>
    <t>https://d3ls91xgksobn.cloudfront.net/1200x900/etuovimedia/images/property/import/945/2608945/0e76b9541118d347871c0e0e51d244c4/874ec171ccc464a5da62c799c00b7a83/ORIGINAL.jpeg</t>
  </si>
  <si>
    <t>2608945</t>
  </si>
  <si>
    <t>https://www.etuovi.com/kohde/20100518</t>
  </si>
  <si>
    <t>3h + k + erill.wc + ph / sauna + var. + autokatos</t>
  </si>
  <si>
    <t>2026-06-10T14:04:10.024Z</t>
  </si>
  <si>
    <t>Row House (Rivitalo) — 3h + k + erill.wc + ph / sauna + var. + autokatos — 80 m² — Husula Hamina</t>
  </si>
  <si>
    <t>Halkoniemenkuja 1 Halkoniemi Tampere</t>
  </si>
  <si>
    <t>Halkoniemenkuja 1</t>
  </si>
  <si>
    <t>Halkoniemi Tampere</t>
  </si>
  <si>
    <t>3627</t>
  </si>
  <si>
    <t>Herrainmäki | VIP - Make It Happen Oy</t>
  </si>
  <si>
    <t>Oksanen Virpi</t>
  </si>
  <si>
    <t>Halkoniemi</t>
  </si>
  <si>
    <t>21497631</t>
  </si>
  <si>
    <t>https://d3ls91xgksobn.cloudfront.net/400x300/etuovimedia/images/property/import/261/2597261/0e76b9541118d347871c0e0e51d244c4/2d284fe0084fcc5bf4a5c4be80504c25/ORIGINAL.jpeg</t>
  </si>
  <si>
    <t>https://d3ls91xgksobn.cloudfront.net/1200x900/etuovimedia/images/property/import/261/2597261/0e76b9541118d347871c0e0e51d244c4/2d284fe0084fcc5bf4a5c4be80504c25/ORIGINAL.jpeg</t>
  </si>
  <si>
    <t>https://d3ls91xgksobn.cloudfront.net/1200x900/etuovimedia/images/property/import/261/2597261/0e76b9541118d347871c0e0e51d244c4/83f7262b98c7909ff823d30ec6635b14/ORIGINAL.jpeg</t>
  </si>
  <si>
    <t>2597261</t>
  </si>
  <si>
    <t>https://www.etuovi.com/kohde/21497631</t>
  </si>
  <si>
    <t>3h, k, kph / wc, s, erill.wc, lasit.ter.</t>
  </si>
  <si>
    <t>2026-06-10T14:04:10.069Z</t>
  </si>
  <si>
    <t>Balcony Access Block (Luhtitalo) — 3h, k, kph / wc, s, erill.wc, lasit.ter. — 71 m² — Halkoniemi Tampere</t>
  </si>
  <si>
    <t>Murtokalliontie 2 Ahonkylä Ilmajoki</t>
  </si>
  <si>
    <t>Murtokalliontie 2</t>
  </si>
  <si>
    <t>Ahonkylä Ilmajoki</t>
  </si>
  <si>
    <t>637</t>
  </si>
  <si>
    <t>Kaverit LKV | Seinäjoen Oma Koti Oy</t>
  </si>
  <si>
    <t>https://kaveritlkv.fi/</t>
  </si>
  <si>
    <t>Oikari Ilari</t>
  </si>
  <si>
    <t>Ahonkylä</t>
  </si>
  <si>
    <t>21812661</t>
  </si>
  <si>
    <t>https://d3ls91xgksobn.cloudfront.net/400x300/etuovimedia/images/property/import/943/2608943/0e76b9541118d347871c0e0e51d244c4/eff0fb356721a1d3c11857c167fb4b2e/ORIGINAL.jpeg</t>
  </si>
  <si>
    <t>https://d3ls91xgksobn.cloudfront.net/1200x900/etuovimedia/images/property/import/943/2608943/0e76b9541118d347871c0e0e51d244c4/eff0fb356721a1d3c11857c167fb4b2e/ORIGINAL.jpeg</t>
  </si>
  <si>
    <t>https://d3ls91xgksobn.cloudfront.net/1200x900/etuovimedia/images/property/import/943/2608943/0e76b9541118d347871c0e0e51d244c4/c860f92f0aeee749f5c4c8c4ac2c7dbb/ORIGINAL.jpeg</t>
  </si>
  <si>
    <t>https://d3ls91xgksobn.cloudfront.net/1200x900/etuovimedia/images/property/import/943/2608943/0e76b9541118d347871c0e0e51d244c4/9ebf9f60f9cfbbf3eb6068e18e88b4b3/ORIGINAL.jpeg</t>
  </si>
  <si>
    <t>2608943</t>
  </si>
  <si>
    <t>https://www.etuovi.com/kohde/21812661</t>
  </si>
  <si>
    <t>184 000 €</t>
  </si>
  <si>
    <t>2026-06-10T14:04:10.085Z</t>
  </si>
  <si>
    <t>Row House (Rivitalo) — 3h + k + s — 72 m² — Ahonkylä Ilmajoki</t>
  </si>
  <si>
    <t>Kuoppamäentie 37 Nekala Tampere</t>
  </si>
  <si>
    <t>Kuoppamäentie 37</t>
  </si>
  <si>
    <t>897</t>
  </si>
  <si>
    <t>Hämeen Asuntovälitys Oy Lkv</t>
  </si>
  <si>
    <t>http://www.uuteenkotiin.fi/</t>
  </si>
  <si>
    <t>21511861</t>
  </si>
  <si>
    <t>https://d3ls91xgksobn.cloudfront.net/400x300/etuovimedia/images/property/import/937/2608937/0e76b9541118d347871c0e0e51d244c4/9f06d176f83b1e624fd4218b722f9159/ORIGINAL.jpeg</t>
  </si>
  <si>
    <t>https://d3ls91xgksobn.cloudfront.net/1200x900/etuovimedia/images/property/import/937/2608937/0e76b9541118d347871c0e0e51d244c4/9f06d176f83b1e624fd4218b722f9159/ORIGINAL.jpeg</t>
  </si>
  <si>
    <t>2608937</t>
  </si>
  <si>
    <t>https://www.etuovi.com/kohde/21511861</t>
  </si>
  <si>
    <t>3h, k, parveke</t>
  </si>
  <si>
    <t>2026-06-10T14:04:10.156Z</t>
  </si>
  <si>
    <t>Apartment (Kerrostalo) — 3h, k, parveke — 66 m² — Nekala Tampere</t>
  </si>
  <si>
    <t>Ilmarisenkatu 16 D Puistola Jyväskylä</t>
  </si>
  <si>
    <t>Ilmarisenkatu 16 D</t>
  </si>
  <si>
    <t>Puistola Jyväskylä</t>
  </si>
  <si>
    <t>Päivi Suvanto-Salmi</t>
  </si>
  <si>
    <t>Puistola</t>
  </si>
  <si>
    <t>80513681</t>
  </si>
  <si>
    <t>https://d3ls91xgksobn.cloudfront.net/400x300/etuovimedia/images/property/import/935/2608935/0e76b9541118d347871c0e0e51d244c4/15bf333788f0f77a7f9129ebf23a36fd/ORIGINAL.jpeg</t>
  </si>
  <si>
    <t>https://d3ls91xgksobn.cloudfront.net/1200x900/etuovimedia/images/property/import/935/2608935/0e76b9541118d347871c0e0e51d244c4/15bf333788f0f77a7f9129ebf23a36fd/ORIGINAL.jpeg</t>
  </si>
  <si>
    <t>https://d3ls91xgksobn.cloudfront.net/1200x900/etuovimedia/images/property/import/935/2608935/0e76b9541118d347871c0e0e51d244c4/0bfa2ef63f78f6de6945ed8f75e4c48e/ORIGINAL.jpeg</t>
  </si>
  <si>
    <t>https://d3ls91xgksobn.cloudfront.net/1200x900/etuovimedia/images/property/import/935/2608935/0e76b9541118d347871c0e0e51d244c4/ec19ab2c71d5828f258939314d657fb6/ORIGINAL.jpeg</t>
  </si>
  <si>
    <t>2608935</t>
  </si>
  <si>
    <t>https://www.etuovi.com/kohde/80513681</t>
  </si>
  <si>
    <t>2026-06-10T14:04:10.170Z</t>
  </si>
  <si>
    <t>Apartment (Kerrostalo) — 3h, k, kph, s, las.p — 64.5 m² — Puistola Jyväskylä</t>
  </si>
  <si>
    <t>Anna-kustaavantie 23 Itä-Karttula Kuopio</t>
  </si>
  <si>
    <t>Anna-kustaavantie 23</t>
  </si>
  <si>
    <t>Itä-Karttula Kuopio</t>
  </si>
  <si>
    <t>Itä-Karttula</t>
  </si>
  <si>
    <t>80513599</t>
  </si>
  <si>
    <t>https://d3ls91xgksobn.cloudfront.net/400x300/etuovimedia/images/property/import/934/2608934/0e76b9541118d347871c0e0e51d244c4/2ae92459ef42c5e5be9b72c3521f38c4/ORIGINAL.jpeg</t>
  </si>
  <si>
    <t>https://d3ls91xgksobn.cloudfront.net/1200x900/etuovimedia/images/property/import/934/2608934/0e76b9541118d347871c0e0e51d244c4/2ae92459ef42c5e5be9b72c3521f38c4/ORIGINAL.jpeg</t>
  </si>
  <si>
    <t>2608934</t>
  </si>
  <si>
    <t>https://www.etuovi.com/kohde/80513599</t>
  </si>
  <si>
    <t>5h, k, kh, s</t>
  </si>
  <si>
    <t>2026-06-10T14:04:10.186Z</t>
  </si>
  <si>
    <t>Detached House (Omakotitalo) — 5h, k, kh, s — 118.5 m² — Itä-Karttula Kuopio</t>
  </si>
  <si>
    <t>Takojantie 3 Villähde Lahti</t>
  </si>
  <si>
    <t>Takojantie 3</t>
  </si>
  <si>
    <t>Igor Golnick</t>
  </si>
  <si>
    <t>80513811</t>
  </si>
  <si>
    <t>https://d3ls91xgksobn.cloudfront.net/400x300/etuovimedia/images/property/import/933/2608933/0e76b9541118d347871c0e0e51d244c4/62e5feac03b5d1654d61a6d54d355284/ORIGINAL.jpeg</t>
  </si>
  <si>
    <t>https://d3ls91xgksobn.cloudfront.net/1200x900/etuovimedia/images/property/import/933/2608933/0e76b9541118d347871c0e0e51d244c4/62e5feac03b5d1654d61a6d54d355284/ORIGINAL.jpeg</t>
  </si>
  <si>
    <t>https://d3ls91xgksobn.cloudfront.net/1200x900/etuovimedia/images/property/import/933/2608933/0e76b9541118d347871c0e0e51d244c4/ab432106d381a3e5a22b1a2d91f5664f/ORIGINAL.jpeg</t>
  </si>
  <si>
    <t>https://d3ls91xgksobn.cloudfront.net/1200x900/etuovimedia/images/property/import/933/2608933/0e76b9541118d347871c0e0e51d244c4/4c86e5555a822511ea94ff25d4499876/ORIGINAL.jpeg</t>
  </si>
  <si>
    <t>2608933</t>
  </si>
  <si>
    <t>https://www.etuovi.com/kohde/80513811</t>
  </si>
  <si>
    <t>3h, k, kph / s, wc, terassi, lämmin varasto, autokatos</t>
  </si>
  <si>
    <t>2026-06-10T14:04:10.290Z</t>
  </si>
  <si>
    <t>Row House (Rivitalo) — 3h, k, kph / s, wc, terassi, lämmin varasto, autokatos — 78.5 m² — Villähde Lahti</t>
  </si>
  <si>
    <t>Leimatie 39 Metsokangas Oulu</t>
  </si>
  <si>
    <t>Leimatie 39</t>
  </si>
  <si>
    <t>3593</t>
  </si>
  <si>
    <t>Kiinteistömaailma Oulu Marskinpuisto | Terwa Kodit Oy</t>
  </si>
  <si>
    <t>Jussi Suopanki</t>
  </si>
  <si>
    <t>1386646</t>
  </si>
  <si>
    <t>https://d3ls91xgksobn.cloudfront.net/400x300/etuovimedia/images/property/import/263/2063263/0e76b9541118d347871c0e0e51d244c4/7ebd1f73e36abeae839d14fb9d15199a/ORIGINAL.jpeg</t>
  </si>
  <si>
    <t>https://d3ls91xgksobn.cloudfront.net/1200x900/etuovimedia/images/property/import/263/2063263/0e76b9541118d347871c0e0e51d244c4/7ebd1f73e36abeae839d14fb9d15199a/ORIGINAL.jpeg</t>
  </si>
  <si>
    <t>https://d3ls91xgksobn.cloudfront.net/1200x900/etuovimedia/images/property/import/263/2063263/0e76b9541118d347871c0e0e51d244c4/bd940b02190cec730f26f119c4608b36/ORIGINAL.jpeg</t>
  </si>
  <si>
    <t>2063263</t>
  </si>
  <si>
    <t>https://www.etuovi.com/kohde/1386646</t>
  </si>
  <si>
    <t>1 390 000 €</t>
  </si>
  <si>
    <t>2025-03-15</t>
  </si>
  <si>
    <t>3*mh, oh, k, khh, kph*2, s + elokuvateatteri, viinikellari ja kuntosali</t>
  </si>
  <si>
    <t>2026-06-10T14:04:10.335Z</t>
  </si>
  <si>
    <t>Detached House (Omakotitalo) — 3*mh, oh, k, khh, kph*2, s + elokuvateatteri, viinikellari ja kuntosali — 239.9 m² — Metsokangas Oulu</t>
  </si>
  <si>
    <t>Poppelikuja 4 A Pitkäkangas Oulu</t>
  </si>
  <si>
    <t>Poppelikuja 4 A</t>
  </si>
  <si>
    <t>Pitkäkangas Oulu</t>
  </si>
  <si>
    <t>1016</t>
  </si>
  <si>
    <t>AsuntoFocus Oy LKV</t>
  </si>
  <si>
    <t>https://www.asuntofocus.fi/</t>
  </si>
  <si>
    <t>Pitkäkangas</t>
  </si>
  <si>
    <t>80495278</t>
  </si>
  <si>
    <t>https://d3ls91xgksobn.cloudfront.net/400x300/etuovimedia/images/property/import/748/2517748/0e76b9541118d347871c0e0e51d244c4/4ec1c26b027537e5a81e622783d8f64c/ORIGINAL.jpeg</t>
  </si>
  <si>
    <t>https://d3ls91xgksobn.cloudfront.net/1200x900/etuovimedia/images/property/import/748/2517748/0e76b9541118d347871c0e0e51d244c4/4ec1c26b027537e5a81e622783d8f64c/ORIGINAL.jpeg</t>
  </si>
  <si>
    <t>2517748</t>
  </si>
  <si>
    <t>https://www.etuovi.com/kohde/80495278</t>
  </si>
  <si>
    <t>2026-03-26</t>
  </si>
  <si>
    <t>4h + k + s + ak</t>
  </si>
  <si>
    <t>2026-06-10T14:04:10.371Z</t>
  </si>
  <si>
    <t>Row House (Rivitalo) — 4h + k + s + ak — 88 m² — Pitkäkangas Oulu</t>
  </si>
  <si>
    <t>Urheilupuistontie 5 Reijola Joensuu</t>
  </si>
  <si>
    <t>Urheilupuistontie 5</t>
  </si>
  <si>
    <t>Reijola Joensuu</t>
  </si>
  <si>
    <t>Reijola</t>
  </si>
  <si>
    <t>80497439</t>
  </si>
  <si>
    <t>https://d3ls91xgksobn.cloudfront.net/400x300/etuovimedia/images/property/import/62/2524062/0e76b9541118d347871c0e0e51d244c4/d36fc4b2973939584559af69bfb994e9/ORIGINAL.jpeg</t>
  </si>
  <si>
    <t>https://d3ls91xgksobn.cloudfront.net/1200x900/etuovimedia/images/property/import/62/2524062/0e76b9541118d347871c0e0e51d244c4/d36fc4b2973939584559af69bfb994e9/ORIGINAL.jpeg</t>
  </si>
  <si>
    <t>2524062</t>
  </si>
  <si>
    <t>https://www.etuovi.com/kohde/80497439</t>
  </si>
  <si>
    <t>2026-06-10T14:04:10.401Z</t>
  </si>
  <si>
    <t>Apartment (Kerrostalo) — 2h + k + s — 61.5 m² — Reijola Joensuu</t>
  </si>
  <si>
    <t>Aurinkorinteentie 2 Asuntila Ylöjärvi</t>
  </si>
  <si>
    <t>Aurinkorinteentie 2</t>
  </si>
  <si>
    <t>20399668</t>
  </si>
  <si>
    <t>https://d3ls91xgksobn.cloudfront.net/400x300/etuovimedia/images/property/import/927/2608927/0e76b9541118d347871c0e0e51d244c4/adebd2fe5a971243ea1a466ac0a091fb/ORIGINAL.jpeg</t>
  </si>
  <si>
    <t>https://d3ls91xgksobn.cloudfront.net/1200x900/etuovimedia/images/property/import/927/2608927/0e76b9541118d347871c0e0e51d244c4/adebd2fe5a971243ea1a466ac0a091fb/ORIGINAL.jpeg</t>
  </si>
  <si>
    <t>2608927</t>
  </si>
  <si>
    <t>https://www.etuovi.com/kohde/20399668</t>
  </si>
  <si>
    <t>2026-06-10T14:04:10.432Z</t>
  </si>
  <si>
    <t>Row House (Rivitalo) — 4h, k, s — 89 m² — Asuntila Ylöjärvi</t>
  </si>
  <si>
    <t>Linnoittajanpolku 1  Länsimäki Vantaa</t>
  </si>
  <si>
    <t>Linnoittajanpolku 1</t>
  </si>
  <si>
    <t>Länsimäki Vantaa</t>
  </si>
  <si>
    <t>Länsimäki</t>
  </si>
  <si>
    <t>fs3932</t>
  </si>
  <si>
    <t>https://d3ls91xgksobn.cloudfront.net/400x300/etuovimedia/images/property/import/926/2608926/0e76b9541118d347871c0e0e51d244c4/16c4360d056ef77cff897c022435fc06/ORIGINAL.jpeg</t>
  </si>
  <si>
    <t>https://d3ls91xgksobn.cloudfront.net/1200x900/etuovimedia/images/property/import/926/2608926/0e76b9541118d347871c0e0e51d244c4/16c4360d056ef77cff897c022435fc06/ORIGINAL.jpeg</t>
  </si>
  <si>
    <t>2608926</t>
  </si>
  <si>
    <t>https://www.etuovi.com/kohde/fs3932</t>
  </si>
  <si>
    <t>198 591,48 €</t>
  </si>
  <si>
    <t>Juha Blomster</t>
  </si>
  <si>
    <t>3h + k + kph + s + wc + var</t>
  </si>
  <si>
    <t>2026-06-10T14:04:10.468Z</t>
  </si>
  <si>
    <t>Row House (Rivitalo) — 3h + k + kph + s + wc + var — 77 m² — Länsimäki Vantaa</t>
  </si>
  <si>
    <t>Hirvikuja 5b Hirvisuo, Gumböle Espoo</t>
  </si>
  <si>
    <t>Hirvikuja 5b</t>
  </si>
  <si>
    <t>Hirvisuo, Gumböle Espoo</t>
  </si>
  <si>
    <t>Hirvisuo, Gumböle</t>
  </si>
  <si>
    <t>80508766</t>
  </si>
  <si>
    <t>https://d3ls91xgksobn.cloudfront.net/400x300/etuovimedia/images/property/import/916/2608916/0e76b9541118d347871c0e0e51d244c4/09abcd5665288249570a8c029cf4a3da/ORIGINAL.jpeg</t>
  </si>
  <si>
    <t>https://d3ls91xgksobn.cloudfront.net/1200x900/etuovimedia/images/property/import/916/2608916/0e76b9541118d347871c0e0e51d244c4/09abcd5665288249570a8c029cf4a3da/ORIGINAL.jpeg</t>
  </si>
  <si>
    <t>2608916</t>
  </si>
  <si>
    <t>https://www.etuovi.com/kohde/80508766</t>
  </si>
  <si>
    <t>795 000 €</t>
  </si>
  <si>
    <t>4h + k + kph + s</t>
  </si>
  <si>
    <t>2026-06-10T14:04:10.491Z</t>
  </si>
  <si>
    <t>Detached House (Omakotitalo) — 4h + k + kph + s — 136 m² — Hirvisuo, Gumböle Espoo</t>
  </si>
  <si>
    <t>Tikkamäentie 13 Niinivaara Joensuu</t>
  </si>
  <si>
    <t>Tikkamäentie 13</t>
  </si>
  <si>
    <t>Niinivaara Joensuu</t>
  </si>
  <si>
    <t>Niinivaara</t>
  </si>
  <si>
    <t>v27828</t>
  </si>
  <si>
    <t>https://d3ls91xgksobn.cloudfront.net/400x300/etuovimedia/images/property/import/305/1784305/0e76b9541118d347871c0e0e51d244c4/1942cb216adc4090a6b6116002bc9990/ORIGINAL.jpeg</t>
  </si>
  <si>
    <t>https://d3ls91xgksobn.cloudfront.net/1200x900/etuovimedia/images/property/import/305/1784305/0e76b9541118d347871c0e0e51d244c4/1942cb216adc4090a6b6116002bc9990/ORIGINAL.jpeg</t>
  </si>
  <si>
    <t>1784305</t>
  </si>
  <si>
    <t>https://www.etuovi.com/kohde/v27828</t>
  </si>
  <si>
    <t>Heikki Nylander</t>
  </si>
  <si>
    <t>2023-05-14</t>
  </si>
  <si>
    <t>5h, kt, rt, vh, wc, psh, s, lasitettu parveke</t>
  </si>
  <si>
    <t>2026-06-10T14:04:10.537Z</t>
  </si>
  <si>
    <t>Apartment (Kerrostalo) — 5h, kt, rt, vh, wc, psh, s, lasitettu parveke — 136.5 m² — Niinivaara Joensuu</t>
  </si>
  <si>
    <t>Lyseonkatu 4 D Keskusta Jyväskylä</t>
  </si>
  <si>
    <t>Lyseonkatu 4 D</t>
  </si>
  <si>
    <t>Keskusta Jyväskylä</t>
  </si>
  <si>
    <t>Vesa Pohjonen</t>
  </si>
  <si>
    <t>610643</t>
  </si>
  <si>
    <t>https://d3ls91xgksobn.cloudfront.net/400x300/etuovimedia/images/property/import/584/2397584/0e76b9541118d347871c0e0e51d244c4/b6a772274a4e6f12840db5cc13e8558c/ORIGINAL.jpeg</t>
  </si>
  <si>
    <t>https://d3ls91xgksobn.cloudfront.net/1200x900/etuovimedia/images/property/import/584/2397584/0e76b9541118d347871c0e0e51d244c4/b6a772274a4e6f12840db5cc13e8558c/ORIGINAL.jpeg</t>
  </si>
  <si>
    <t>https://d3ls91xgksobn.cloudfront.net/1200x900/etuovimedia/images/property/import/584/2397584/0e76b9541118d347871c0e0e51d244c4/573930c4dfc41c1272da4df935200d1e/ORIGINAL.jpeg</t>
  </si>
  <si>
    <t>2397584</t>
  </si>
  <si>
    <t>https://www.etuovi.com/kohde/610643</t>
  </si>
  <si>
    <t>2025-11-19</t>
  </si>
  <si>
    <t>2026-06-10T14:04:10.564Z</t>
  </si>
  <si>
    <t>Apartment (Kerrostalo) — 4h + k + s — 104 m² — Keskusta Jyväskylä</t>
  </si>
  <si>
    <t>Hiiralantie 15 B Westend Espoo</t>
  </si>
  <si>
    <t>Hiiralantie 15 B</t>
  </si>
  <si>
    <t>Westend Espoo</t>
  </si>
  <si>
    <t>1831</t>
  </si>
  <si>
    <t>Maison Luumi Oy</t>
  </si>
  <si>
    <t>www.maisonluumi.fi</t>
  </si>
  <si>
    <t>Westend</t>
  </si>
  <si>
    <t>20747281</t>
  </si>
  <si>
    <t>https://d3ls91xgksobn.cloudfront.net/400x300/etuovimedia/images/property/import/907/2608907/0e76b9541118d347871c0e0e51d244c4/568a485b643d1332a94e8ea2695a4b14/ORIGINAL.jpeg</t>
  </si>
  <si>
    <t>https://d3ls91xgksobn.cloudfront.net/1200x900/etuovimedia/images/property/import/907/2608907/0e76b9541118d347871c0e0e51d244c4/568a485b643d1332a94e8ea2695a4b14/ORIGINAL.jpeg</t>
  </si>
  <si>
    <t>2608907</t>
  </si>
  <si>
    <t>https://www.etuovi.com/kohde/20747281</t>
  </si>
  <si>
    <t>1 545 000 €</t>
  </si>
  <si>
    <t>6h + k + rt + arkioh + khh + s, at + varasto</t>
  </si>
  <si>
    <t>2026-06-10T14:04:10.594Z</t>
  </si>
  <si>
    <t>Detached House (Omakotitalo) — 6h + k + rt + arkioh + khh + s, at + varasto — 229 m² — Westend Espoo</t>
  </si>
  <si>
    <t>Koivulantie 12 Koivula Pori</t>
  </si>
  <si>
    <t>Koivulantie 12</t>
  </si>
  <si>
    <t>Koivula Pori</t>
  </si>
  <si>
    <t>Koivula</t>
  </si>
  <si>
    <t>21778035</t>
  </si>
  <si>
    <t>https://d3ls91xgksobn.cloudfront.net/400x300/etuovimedia/images/property/import/279/2378279/0e76b9541118d347871c0e0e51d244c4/fa23c9e3a9a84a6aee197405558888df/ORIGINAL.jpeg</t>
  </si>
  <si>
    <t>https://d3ls91xgksobn.cloudfront.net/1200x900/etuovimedia/images/property/import/279/2378279/0e76b9541118d347871c0e0e51d244c4/fa23c9e3a9a84a6aee197405558888df/ORIGINAL.jpeg</t>
  </si>
  <si>
    <t>2378279</t>
  </si>
  <si>
    <t>https://www.etuovi.com/kohde/21778035</t>
  </si>
  <si>
    <t>70 000 €</t>
  </si>
  <si>
    <t>2025-10-31</t>
  </si>
  <si>
    <t>2026-06-10T14:04:10.683Z</t>
  </si>
  <si>
    <t>Apartment (Kerrostalo) — 3h + k — 75 m² — Koivula Pori</t>
  </si>
  <si>
    <t>Aleksinpolku 6 A 34 Länsiranta Porvoo</t>
  </si>
  <si>
    <t>Aleksinpolku 6 A 34</t>
  </si>
  <si>
    <t>Länsiranta Porvoo</t>
  </si>
  <si>
    <t>Länsiranta</t>
  </si>
  <si>
    <t>fd8923</t>
  </si>
  <si>
    <t>https://d3ls91xgksobn.cloudfront.net/400x300/etuovimedia/images/property/import/547/2565547/0e76b9541118d347871c0e0e51d244c4/52a0603a391251990661160ed50bcdb3/ORIGINAL.jpeg</t>
  </si>
  <si>
    <t>https://d3ls91xgksobn.cloudfront.net/1200x900/etuovimedia/images/property/import/547/2565547/0e76b9541118d347871c0e0e51d244c4/52a0603a391251990661160ed50bcdb3/ORIGINAL.jpeg</t>
  </si>
  <si>
    <t>2565547</t>
  </si>
  <si>
    <t>https://www.etuovi.com/kohde/fd8923</t>
  </si>
  <si>
    <t>2026-05-05</t>
  </si>
  <si>
    <t>2h + avok + kph + s + las.parv</t>
  </si>
  <si>
    <t>2026-06-10T14:04:10.751Z</t>
  </si>
  <si>
    <t>Apartment (Kerrostalo) — 2h + avok + kph + s + las.parv — 50 m² — Länsiranta Porvoo</t>
  </si>
  <si>
    <t>Sukkulatie 10a B8 Karsikko Joensuu</t>
  </si>
  <si>
    <t>Sukkulatie 10a B8</t>
  </si>
  <si>
    <t>Karsikko Joensuu</t>
  </si>
  <si>
    <t>Karsikko</t>
  </si>
  <si>
    <t>fs3888</t>
  </si>
  <si>
    <t>https://d3ls91xgksobn.cloudfront.net/400x300/etuovimedia/images/property/import/904/2608904/0e76b9541118d347871c0e0e51d244c4/bdf5e8d155db559195b50d23a93a7f37/ORIGINAL.jpeg</t>
  </si>
  <si>
    <t>https://d3ls91xgksobn.cloudfront.net/1200x900/etuovimedia/images/property/import/904/2608904/0e76b9541118d347871c0e0e51d244c4/bdf5e8d155db559195b50d23a93a7f37/ORIGINAL.jpeg</t>
  </si>
  <si>
    <t>2608904</t>
  </si>
  <si>
    <t>https://www.etuovi.com/kohde/fs3888</t>
  </si>
  <si>
    <t>Petri Lehikoinen</t>
  </si>
  <si>
    <t>4-5h + k + s + patio</t>
  </si>
  <si>
    <t>2026-06-10T14:04:10.850Z</t>
  </si>
  <si>
    <t>Row House (Rivitalo) — 4-5h + k + s + patio — 98 m² — Karsikko Joensuu</t>
  </si>
  <si>
    <t>Tiirantie 18 A2 Halssila Jyväskylä</t>
  </si>
  <si>
    <t>Tiirantie 18 A2</t>
  </si>
  <si>
    <t>Halssila Jyväskylä</t>
  </si>
  <si>
    <t>Halssila</t>
  </si>
  <si>
    <t>z46947</t>
  </si>
  <si>
    <t>https://d3ls91xgksobn.cloudfront.net/400x300/etuovimedia/images/property/import/48/2128048/0e76b9541118d347871c0e0e51d244c4/af636bb4282d02ba762d292f7e9fba53/ORIGINAL.jpeg</t>
  </si>
  <si>
    <t>https://d3ls91xgksobn.cloudfront.net/1200x900/etuovimedia/images/property/import/48/2128048/0e76b9541118d347871c0e0e51d244c4/af636bb4282d02ba762d292f7e9fba53/ORIGINAL.jpeg</t>
  </si>
  <si>
    <t>2128048</t>
  </si>
  <si>
    <t>https://www.etuovi.com/kohde/z46947</t>
  </si>
  <si>
    <t>89 900 €</t>
  </si>
  <si>
    <t>Marko Seppänen</t>
  </si>
  <si>
    <t>2025-05-25</t>
  </si>
  <si>
    <t>1h + tupak + s</t>
  </si>
  <si>
    <t>2026-06-10T14:04:10.862Z</t>
  </si>
  <si>
    <t>Apartment (Kerrostalo) — 1h + tupak + s — 39.5 m² — Halssila Jyväskylä</t>
  </si>
  <si>
    <t>Pihkakatu 4 Savio Kerava</t>
  </si>
  <si>
    <t>Pihkakatu 4</t>
  </si>
  <si>
    <t>3913</t>
  </si>
  <si>
    <t>Suomen Välitysliike | Personal Digital Assistant PDA Oy</t>
  </si>
  <si>
    <t>80515059</t>
  </si>
  <si>
    <t>https://d3ls91xgksobn.cloudfront.net/400x300/etuovimedia/images/property/import/903/2608903/0e76b9541118d347871c0e0e51d244c4/261b9517513f4cea3881e37e7e633a07/ORIGINAL.jpeg</t>
  </si>
  <si>
    <t>https://d3ls91xgksobn.cloudfront.net/1200x900/etuovimedia/images/property/import/903/2608903/0e76b9541118d347871c0e0e51d244c4/261b9517513f4cea3881e37e7e633a07/ORIGINAL.jpeg</t>
  </si>
  <si>
    <t>2608903</t>
  </si>
  <si>
    <t>https://www.etuovi.com/kohde/80515059</t>
  </si>
  <si>
    <t>643 000 €</t>
  </si>
  <si>
    <t>5h + k + s + khh + at + työtila</t>
  </si>
  <si>
    <t>2026-06-10T14:04:10.899Z</t>
  </si>
  <si>
    <t>Detached House (Omakotitalo) — 5h + k + s + khh + at + työtila — 161 m² — Savio Kerava</t>
  </si>
  <si>
    <t>Tammistontie 16 B Tammisto Vantaa</t>
  </si>
  <si>
    <t>Tammistontie 16 B</t>
  </si>
  <si>
    <t>80513751</t>
  </si>
  <si>
    <t>https://d3ls91xgksobn.cloudfront.net/400x300/etuovimedia/images/property/import/901/2608901/0e76b9541118d347871c0e0e51d244c4/1d9267abd345db7921a1230670a8bfc8/ORIGINAL.jpeg</t>
  </si>
  <si>
    <t>https://d3ls91xgksobn.cloudfront.net/1200x900/etuovimedia/images/property/import/901/2608901/0e76b9541118d347871c0e0e51d244c4/1d9267abd345db7921a1230670a8bfc8/ORIGINAL.jpeg</t>
  </si>
  <si>
    <t>2608901</t>
  </si>
  <si>
    <t>https://www.etuovi.com/kohde/80513751</t>
  </si>
  <si>
    <t>2h, avok., kph, s, vh, lasitettu parveke</t>
  </si>
  <si>
    <t>2026-06-10T14:04:10.963Z</t>
  </si>
  <si>
    <t>Apartment (Kerrostalo) — 2h, avok., kph, s, vh, lasitettu parveke — 52 m² — Tammisto Vantaa</t>
  </si>
  <si>
    <t>Tanssimäenkatu 12 A Mukkula Lahti</t>
  </si>
  <si>
    <t>Tanssimäenkatu 12 A</t>
  </si>
  <si>
    <t>Mukkula Lahti</t>
  </si>
  <si>
    <t>4591</t>
  </si>
  <si>
    <t>Sp-Koti | Kodikkain Oy, Lahti</t>
  </si>
  <si>
    <t>Minna Ruppa</t>
  </si>
  <si>
    <t>Mukkula</t>
  </si>
  <si>
    <t>80513435</t>
  </si>
  <si>
    <t>https://d3ls91xgksobn.cloudfront.net/400x300/etuovimedia/images/property/import/900/2608900/0e76b9541118d347871c0e0e51d244c4/af2e81c0530543b343fc52e195be5b77/ORIGINAL.jpeg</t>
  </si>
  <si>
    <t>https://d3ls91xgksobn.cloudfront.net/1200x900/etuovimedia/images/property/import/900/2608900/0e76b9541118d347871c0e0e51d244c4/af2e81c0530543b343fc52e195be5b77/ORIGINAL.jpeg</t>
  </si>
  <si>
    <t>https://d3ls91xgksobn.cloudfront.net/1200x900/etuovimedia/images/property/import/900/2608900/0e76b9541118d347871c0e0e51d244c4/979cd8797c1b65ed58481e8095ba6584/ORIGINAL.jpeg</t>
  </si>
  <si>
    <t>2608900</t>
  </si>
  <si>
    <t>https://www.etuovi.com/kohde/80513435</t>
  </si>
  <si>
    <t>4h, k, ph, wc, vh, p</t>
  </si>
  <si>
    <t>2026-06-10T14:04:11.082Z</t>
  </si>
  <si>
    <t>Apartment (Kerrostalo) — 4h, k, ph, wc, vh, p — 85 m² — Mukkula Lahti</t>
  </si>
  <si>
    <t>Otavantie 28 A Renkomäki Lahti</t>
  </si>
  <si>
    <t>Otavantie 28 A</t>
  </si>
  <si>
    <t>Renkomäki Lahti</t>
  </si>
  <si>
    <t>3673</t>
  </si>
  <si>
    <t>Neliöt Liikkuu LKV Oy Ab, Lahti</t>
  </si>
  <si>
    <t>Renkomäki</t>
  </si>
  <si>
    <t>80511998</t>
  </si>
  <si>
    <t>https://d3ls91xgksobn.cloudfront.net/400x300/etuovimedia/images/property/import/899/2608899/0e76b9541118d347871c0e0e51d244c4/3dd7882dfd426aebf938c41cacb17afd/ORIGINAL.jpeg</t>
  </si>
  <si>
    <t>https://d3ls91xgksobn.cloudfront.net/1200x900/etuovimedia/images/property/import/899/2608899/0e76b9541118d347871c0e0e51d244c4/3dd7882dfd426aebf938c41cacb17afd/ORIGINAL.jpeg</t>
  </si>
  <si>
    <t>2608899</t>
  </si>
  <si>
    <t>https://www.etuovi.com/kohde/80511998</t>
  </si>
  <si>
    <t>179 600 €</t>
  </si>
  <si>
    <t>3h, k, kph / s, eril.wc, vh, terassi, ak, varasto</t>
  </si>
  <si>
    <t>2026-06-10T14:04:11.118Z</t>
  </si>
  <si>
    <t>Row House (Rivitalo) — 3h, k, kph / s, eril.wc, vh, terassi, ak, varasto — 74.5 m² — Renkomäki Lahti</t>
  </si>
  <si>
    <t>Ruusunmarjatie 11 Herukka Oulu</t>
  </si>
  <si>
    <t>Ruusunmarjatie 11</t>
  </si>
  <si>
    <t>Herukka Oulu</t>
  </si>
  <si>
    <t>Herukka</t>
  </si>
  <si>
    <t>80489150</t>
  </si>
  <si>
    <t>https://d3ls91xgksobn.cloudfront.net/400x300/etuovimedia/images/property/import/411/2500411/0e76b9541118d347871c0e0e51d244c4/25b0ce7aebe0c8ba9f562c94c1037e00/ORIGINAL.jpeg</t>
  </si>
  <si>
    <t>https://d3ls91xgksobn.cloudfront.net/1200x900/etuovimedia/images/property/import/411/2500411/0e76b9541118d347871c0e0e51d244c4/25b0ce7aebe0c8ba9f562c94c1037e00/ORIGINAL.jpeg</t>
  </si>
  <si>
    <t>2500411</t>
  </si>
  <si>
    <t>https://www.etuovi.com/kohde/80489150</t>
  </si>
  <si>
    <t>4h + k + khh + s ja 1h + k + kh</t>
  </si>
  <si>
    <t>2026-06-10T14:04:13.396Z</t>
  </si>
  <si>
    <t>Detached House (Omakotitalo) — 4h + k + khh + s ja 1h + k + kh — 180 m² — Herukka Oulu</t>
  </si>
  <si>
    <t>Hailuodontie 1181b Varjakka Oulu</t>
  </si>
  <si>
    <t>Hailuodontie 1181b</t>
  </si>
  <si>
    <t>Varjakka Oulu</t>
  </si>
  <si>
    <t>Varjakka</t>
  </si>
  <si>
    <t>80488894</t>
  </si>
  <si>
    <t>https://d3ls91xgksobn.cloudfront.net/400x300/etuovimedia/images/property/import/658/2485658/0e76b9541118d347871c0e0e51d244c4/2062277f23c3bae7a2b9e0994085903a/ORIGINAL.jpeg</t>
  </si>
  <si>
    <t>https://d3ls91xgksobn.cloudfront.net/1200x900/etuovimedia/images/property/import/658/2485658/0e76b9541118d347871c0e0e51d244c4/2062277f23c3bae7a2b9e0994085903a/ORIGINAL.jpeg</t>
  </si>
  <si>
    <t>2485658</t>
  </si>
  <si>
    <t>https://www.etuovi.com/kohde/80488894</t>
  </si>
  <si>
    <t>172 000 €</t>
  </si>
  <si>
    <t>2026-02-25</t>
  </si>
  <si>
    <t>4h + k + khh + s</t>
  </si>
  <si>
    <t>2026-06-10T14:04:13.433Z</t>
  </si>
  <si>
    <t>Detached House (Omakotitalo) — 4h + k + khh + s — 130.5 m² — Varjakka Oulu</t>
  </si>
  <si>
    <t>Passinkuja 8 Karjalohja Lohja</t>
  </si>
  <si>
    <t>Passinkuja 8</t>
  </si>
  <si>
    <t>Karjalohja Lohja</t>
  </si>
  <si>
    <t>3369</t>
  </si>
  <si>
    <t>OP Koti Uusimaa Oy LKV, Lohja</t>
  </si>
  <si>
    <t>Katja Huisman</t>
  </si>
  <si>
    <t>Karjalohja</t>
  </si>
  <si>
    <t>620346</t>
  </si>
  <si>
    <t>https://d3ls91xgksobn.cloudfront.net/400x300/etuovimedia/images/property/import/888/2608888/0e76b9541118d347871c0e0e51d244c4/1a80af9d1386f8030dc167b6b64cace8/ORIGINAL.jpeg</t>
  </si>
  <si>
    <t>https://d3ls91xgksobn.cloudfront.net/1200x900/etuovimedia/images/property/import/888/2608888/0e76b9541118d347871c0e0e51d244c4/1a80af9d1386f8030dc167b6b64cace8/ORIGINAL.jpeg</t>
  </si>
  <si>
    <t>https://d3ls91xgksobn.cloudfront.net/1200x900/etuovimedia/images/property/import/888/2608888/0e76b9541118d347871c0e0e51d244c4/2fcce922d10edc564c271a0d01fbaee2/ORIGINAL.jpeg</t>
  </si>
  <si>
    <t>2608888</t>
  </si>
  <si>
    <t>https://www.etuovi.com/kohde/620346</t>
  </si>
  <si>
    <t>2026-06-10T14:04:13.466Z</t>
  </si>
  <si>
    <t>Detached House (Omakotitalo) — 5h, k, s — 106.6 m² — Karjalohja Lohja</t>
  </si>
  <si>
    <t>Myllypellontie 39 Uurainen Uurainen</t>
  </si>
  <si>
    <t>Myllypellontie 39</t>
  </si>
  <si>
    <t>Uurainen Uurainen</t>
  </si>
  <si>
    <t>620082</t>
  </si>
  <si>
    <t>https://d3ls91xgksobn.cloudfront.net/400x300/etuovimedia/images/property/import/886/2608886/0e76b9541118d347871c0e0e51d244c4/920ee42f6f21d499bbad6d5c1f72221a/ORIGINAL.jpeg</t>
  </si>
  <si>
    <t>https://d3ls91xgksobn.cloudfront.net/1200x900/etuovimedia/images/property/import/886/2608886/0e76b9541118d347871c0e0e51d244c4/920ee42f6f21d499bbad6d5c1f72221a/ORIGINAL.jpeg</t>
  </si>
  <si>
    <t>https://d3ls91xgksobn.cloudfront.net/1200x900/etuovimedia/images/property/import/886/2608886/0e76b9541118d347871c0e0e51d244c4/29e2c081cf4a1be0eceb97b96ffd25b4/ORIGINAL.jpeg</t>
  </si>
  <si>
    <t>https://d3ls91xgksobn.cloudfront.net/1200x900/etuovimedia/images/property/import/886/2608886/0e76b9541118d347871c0e0e51d244c4/b22721adc9fee7501e38e9883262bda1/ORIGINAL.jpeg</t>
  </si>
  <si>
    <t>2608886</t>
  </si>
  <si>
    <t>https://www.etuovi.com/kohde/620082</t>
  </si>
  <si>
    <t>5h, k, kh, s, khh / takkahuone, autotalli</t>
  </si>
  <si>
    <t>2026-06-10T14:04:13.482Z</t>
  </si>
  <si>
    <t>Detached House (Omakotitalo) — 5h, k, kh, s, khh / takkahuone, autotalli — 130 m² — Uurainen Uurainen</t>
  </si>
  <si>
    <t>Ilmarisentie 1 D Tapiola Paimio</t>
  </si>
  <si>
    <t>Ilmarisentie 1 D</t>
  </si>
  <si>
    <t>Tapiola Paimio</t>
  </si>
  <si>
    <t>Krista Hakala</t>
  </si>
  <si>
    <t>619945</t>
  </si>
  <si>
    <t>https://d3ls91xgksobn.cloudfront.net/400x300/etuovimedia/images/property/import/885/2608885/0e76b9541118d347871c0e0e51d244c4/020241da5317410730e7b93edacd8f8d/ORIGINAL.jpeg</t>
  </si>
  <si>
    <t>https://d3ls91xgksobn.cloudfront.net/1200x900/etuovimedia/images/property/import/885/2608885/0e76b9541118d347871c0e0e51d244c4/020241da5317410730e7b93edacd8f8d/ORIGINAL.jpeg</t>
  </si>
  <si>
    <t>https://d3ls91xgksobn.cloudfront.net/1200x900/etuovimedia/images/property/import/885/2608885/0e76b9541118d347871c0e0e51d244c4/8db5cba8e7a70c10eb4c7f65eb78ba6a/ORIGINAL.jpeg</t>
  </si>
  <si>
    <t>2608885</t>
  </si>
  <si>
    <t>https://www.etuovi.com/kohde/619945</t>
  </si>
  <si>
    <t>158 000 €</t>
  </si>
  <si>
    <t>2026-06-10T14:04:13.507Z</t>
  </si>
  <si>
    <t>Row House (Rivitalo) — 3h + k + s — 82 m² — Tapiola Paimio</t>
  </si>
  <si>
    <t>Finbyntie 11 Parainen Parainen</t>
  </si>
  <si>
    <t>Finbyntie 11</t>
  </si>
  <si>
    <t>Parainen Parainen</t>
  </si>
  <si>
    <t>619636</t>
  </si>
  <si>
    <t>https://d3ls91xgksobn.cloudfront.net/400x300/etuovimedia/images/property/import/877/2608877/0e76b9541118d347871c0e0e51d244c4/aaf9f07d38c30df853ad69f2c190cd5b/ORIGINAL.jpeg</t>
  </si>
  <si>
    <t>https://d3ls91xgksobn.cloudfront.net/1200x900/etuovimedia/images/property/import/877/2608877/0e76b9541118d347871c0e0e51d244c4/aaf9f07d38c30df853ad69f2c190cd5b/ORIGINAL.jpeg</t>
  </si>
  <si>
    <t>https://d3ls91xgksobn.cloudfront.net/1200x900/etuovimedia/images/property/import/877/2608877/0e76b9541118d347871c0e0e51d244c4/880b556ce72d8bf20beffbac00b1ae0d/ORIGINAL.jpeg</t>
  </si>
  <si>
    <t>https://d3ls91xgksobn.cloudfront.net/1200x900/etuovimedia/images/property/import/877/2608877/0e76b9541118d347871c0e0e51d244c4/6aa35247065255d0b63de887cba899a5/ORIGINAL.jpeg</t>
  </si>
  <si>
    <t>2608877</t>
  </si>
  <si>
    <t>https://www.etuovi.com/kohde/619636</t>
  </si>
  <si>
    <t>150 000 €</t>
  </si>
  <si>
    <t>5h + k + wc + työh. + saunakamari + kph + s</t>
  </si>
  <si>
    <t>2026-06-10T14:04:13.588Z</t>
  </si>
  <si>
    <t>Detached House (Omakotitalo) — 5h + k + wc + työh. + saunakamari + kph + s — 129 m² — Parainen Parainen</t>
  </si>
  <si>
    <t>Arhotie 8 a Vartiokylä Helsinki</t>
  </si>
  <si>
    <t>Arhotie 8 a</t>
  </si>
  <si>
    <t>Vartiokylä Helsinki</t>
  </si>
  <si>
    <t>2274</t>
  </si>
  <si>
    <t>Bo LKV Helsinki, Ullanlinna</t>
  </si>
  <si>
    <t>Roslöf Ronny</t>
  </si>
  <si>
    <t>1953</t>
  </si>
  <si>
    <t>Vartiokylä</t>
  </si>
  <si>
    <t>20135747</t>
  </si>
  <si>
    <t>https://d3ls91xgksobn.cloudfront.net/400x300/etuovimedia/images/property/import/866/2608866/0e76b9541118d347871c0e0e51d244c4/507eeb11c350ca7bf99a38ce79225c24/ORIGINAL.jpeg</t>
  </si>
  <si>
    <t>https://d3ls91xgksobn.cloudfront.net/1200x900/etuovimedia/images/property/import/866/2608866/0e76b9541118d347871c0e0e51d244c4/507eeb11c350ca7bf99a38ce79225c24/ORIGINAL.jpeg</t>
  </si>
  <si>
    <t>https://d3ls91xgksobn.cloudfront.net/1200x900/etuovimedia/images/property/import/866/2608866/0e76b9541118d347871c0e0e51d244c4/9de82130a480445b9a701fe53995d32d/ORIGINAL.jpeg</t>
  </si>
  <si>
    <t>2608866</t>
  </si>
  <si>
    <t>https://www.etuovi.com/kohde/20135747</t>
  </si>
  <si>
    <t>4h, k, kph, erill. wc, khh, at, terassi</t>
  </si>
  <si>
    <t>2026-06-10T14:04:13.609Z</t>
  </si>
  <si>
    <t>Detached House (Omakotitalo) — 4h, k, kph, erill. wc, khh, at, terassi — 94 m² — Vartiokylä Helsinki</t>
  </si>
  <si>
    <t>Nummentie 69 A Moisionrinne Lohja</t>
  </si>
  <si>
    <t>Nummentie 69 A</t>
  </si>
  <si>
    <t>Moisionrinne Lohja</t>
  </si>
  <si>
    <t>Moisionrinne</t>
  </si>
  <si>
    <t>80513346</t>
  </si>
  <si>
    <t>https://d3ls91xgksobn.cloudfront.net/400x300/etuovimedia/images/property/import/861/2608861/0e76b9541118d347871c0e0e51d244c4/3fcf0cc1073029c0f2c72fda0efa4d3b/ORIGINAL.jpeg</t>
  </si>
  <si>
    <t>https://d3ls91xgksobn.cloudfront.net/1200x900/etuovimedia/images/property/import/861/2608861/0e76b9541118d347871c0e0e51d244c4/3fcf0cc1073029c0f2c72fda0efa4d3b/ORIGINAL.jpeg</t>
  </si>
  <si>
    <t>2608861</t>
  </si>
  <si>
    <t>https://www.etuovi.com/kohde/80513346</t>
  </si>
  <si>
    <t>2 mh, oh, k, kphx2, sauna + askarteluhuone</t>
  </si>
  <si>
    <t>2026-06-10T14:04:13.662Z</t>
  </si>
  <si>
    <t>Semi-detached (Paritalo) — 2 mh, oh, k, kphx2, sauna + askarteluhuone — 87 m² — Moisionrinne Lohja</t>
  </si>
  <si>
    <t>Harankatu 3 A Hakametsä Tampere</t>
  </si>
  <si>
    <t>Harankatu 3 A</t>
  </si>
  <si>
    <t>Hakametsä Tampere</t>
  </si>
  <si>
    <t>Hakametsä</t>
  </si>
  <si>
    <t>80514398</t>
  </si>
  <si>
    <t>https://d3ls91xgksobn.cloudfront.net/400x300/etuovimedia/images/property/import/860/2608860/0e76b9541118d347871c0e0e51d244c4/5fb7d8b2e434d29694f51371baa530d9/ORIGINAL.jpeg</t>
  </si>
  <si>
    <t>https://d3ls91xgksobn.cloudfront.net/1200x900/etuovimedia/images/property/import/860/2608860/0e76b9541118d347871c0e0e51d244c4/5fb7d8b2e434d29694f51371baa530d9/ORIGINAL.jpeg</t>
  </si>
  <si>
    <t>2608860</t>
  </si>
  <si>
    <t>https://www.etuovi.com/kohde/80514398</t>
  </si>
  <si>
    <t>179 900 €</t>
  </si>
  <si>
    <t>2h, k, kph / wc, sauna, vh, lasitettu parveke</t>
  </si>
  <si>
    <t>2026-06-10T14:04:13.680Z</t>
  </si>
  <si>
    <t>Apartment (Kerrostalo) — 2h, k, kph / wc, sauna, vh, lasitettu parveke — 56.5 m² — Hakametsä Tampere</t>
  </si>
  <si>
    <t>Matinraitti 14 F Matinkylä Espoo</t>
  </si>
  <si>
    <t>Matinraitti 14 F</t>
  </si>
  <si>
    <t>Matinkylä Espoo</t>
  </si>
  <si>
    <t>4440</t>
  </si>
  <si>
    <t>Sointuvat Neliöt Oy</t>
  </si>
  <si>
    <t>Antti Haataja</t>
  </si>
  <si>
    <t>Matinkylä</t>
  </si>
  <si>
    <t>80513890</t>
  </si>
  <si>
    <t>https://d3ls91xgksobn.cloudfront.net/400x300/etuovimedia/images/property/import/859/2608859/0e76b9541118d347871c0e0e51d244c4/0e023b7d37dffbba95a2bdedc39249e6/ORIGINAL.jpeg</t>
  </si>
  <si>
    <t>https://d3ls91xgksobn.cloudfront.net/1200x900/etuovimedia/images/property/import/859/2608859/0e76b9541118d347871c0e0e51d244c4/0e023b7d37dffbba95a2bdedc39249e6/ORIGINAL.jpeg</t>
  </si>
  <si>
    <t>https://d3ls91xgksobn.cloudfront.net/1200x900/etuovimedia/images/property/import/859/2608859/0e76b9541118d347871c0e0e51d244c4/20598b9d122496055b870b3cfb492507/ORIGINAL.jpeg</t>
  </si>
  <si>
    <t>https://d3ls91xgksobn.cloudfront.net/1200x900/etuovimedia/images/property/import/859/2608859/0e76b9541118d347871c0e0e51d244c4/769d29d148084be7a6af2991e75e72fe/ORIGINAL.jpeg</t>
  </si>
  <si>
    <t>2608859</t>
  </si>
  <si>
    <t>https://www.etuovi.com/kohde/80513890</t>
  </si>
  <si>
    <t>148 000 €</t>
  </si>
  <si>
    <t>2h, k, kph, parveke</t>
  </si>
  <si>
    <t>2026-06-10T14:04:13.695Z</t>
  </si>
  <si>
    <t>Apartment (Kerrostalo) — 2h, k, kph, parveke — 56 m² — Matinkylä Espoo</t>
  </si>
  <si>
    <t>Sonninnokantie 33 Kesäranta, Hiekkasärkät Kalajoki</t>
  </si>
  <si>
    <t>Sonninnokantie 33</t>
  </si>
  <si>
    <t>Kesäranta, Hiekkasärkät Kalajoki</t>
  </si>
  <si>
    <t>4656</t>
  </si>
  <si>
    <t>OC Pohjanmaa Oy LKV, Kannus</t>
  </si>
  <si>
    <t>Kesäranta, Hiekkasärkät</t>
  </si>
  <si>
    <t>80515508</t>
  </si>
  <si>
    <t>https://d3ls91xgksobn.cloudfront.net/400x300/etuovimedia/images/property/import/858/2608858/0e76b9541118d347871c0e0e51d244c4/6f39c4c56645b6a5cc7aa445b6c70704/ORIGINAL.jpeg</t>
  </si>
  <si>
    <t>https://d3ls91xgksobn.cloudfront.net/1200x900/etuovimedia/images/property/import/858/2608858/0e76b9541118d347871c0e0e51d244c4/6f39c4c56645b6a5cc7aa445b6c70704/ORIGINAL.jpeg</t>
  </si>
  <si>
    <t>2608858</t>
  </si>
  <si>
    <t>https://www.etuovi.com/kohde/80515508</t>
  </si>
  <si>
    <t>3mh + tupak + khh + kph + wc + vh</t>
  </si>
  <si>
    <t>2026-06-10T14:04:13.709Z</t>
  </si>
  <si>
    <t>Detached House (Omakotitalo) — 3mh + tupak + khh + kph + wc + vh — 111 m² — Kesäranta, Hiekkasärkät Kalajoki</t>
  </si>
  <si>
    <t>Ulvilantie 19c Munkkivuori Helsinki</t>
  </si>
  <si>
    <t>Ulvilantie 19c</t>
  </si>
  <si>
    <t>Munkkivuori Helsinki</t>
  </si>
  <si>
    <t>Munkkivuori</t>
  </si>
  <si>
    <t>20693486</t>
  </si>
  <si>
    <t>https://d3ls91xgksobn.cloudfront.net/400x300/etuovimedia/images/property/import/855/2608855/0e76b9541118d347871c0e0e51d244c4/b52f1f7948399918d06a644d6761ae78/ORIGINAL.png</t>
  </si>
  <si>
    <t>https://d3ls91xgksobn.cloudfront.net/1200x900/etuovimedia/images/property/import/855/2608855/0e76b9541118d347871c0e0e51d244c4/b52f1f7948399918d06a644d6761ae78/ORIGINAL.png</t>
  </si>
  <si>
    <t>2608855</t>
  </si>
  <si>
    <t>https://www.etuovi.com/kohde/20693486</t>
  </si>
  <si>
    <t>1h, kk, kph, et, ranskalainen parveke</t>
  </si>
  <si>
    <t>2026-06-10T14:04:13.772Z</t>
  </si>
  <si>
    <t>Apartment (Kerrostalo) — 1h, kk, kph, et, ranskalainen parveke — 31 m² — Munkkivuori Helsinki</t>
  </si>
  <si>
    <t>Kuovinkuja 26 Laune Lahti</t>
  </si>
  <si>
    <t>Kuovinkuja 26</t>
  </si>
  <si>
    <t>Laune Lahti</t>
  </si>
  <si>
    <t>Laune</t>
  </si>
  <si>
    <t>80512872</t>
  </si>
  <si>
    <t>https://d3ls91xgksobn.cloudfront.net/400x300/etuovimedia/images/property/import/851/2608851/0e76b9541118d347871c0e0e51d244c4/67996dd6fa89efc5e61a1072d5024cbc/ORIGINAL.jpeg</t>
  </si>
  <si>
    <t>https://d3ls91xgksobn.cloudfront.net/1200x900/etuovimedia/images/property/import/851/2608851/0e76b9541118d347871c0e0e51d244c4/67996dd6fa89efc5e61a1072d5024cbc/ORIGINAL.jpeg</t>
  </si>
  <si>
    <t>2608851</t>
  </si>
  <si>
    <t>https://www.etuovi.com/kohde/80512872</t>
  </si>
  <si>
    <t>Oh, 3 mh, k, rt, vh, kph, s, pkh, 2 x eril.wc, p, at</t>
  </si>
  <si>
    <t>2026-06-10T14:04:13.789Z</t>
  </si>
  <si>
    <t>Detached House (Omakotitalo) — Oh, 3 mh, k, rt, vh, kph, s, pkh, 2 x eril.wc, p, at — 85 m² — Laune Lahti</t>
  </si>
  <si>
    <t>Kokontie 16 Kaleva Kerava</t>
  </si>
  <si>
    <t>Kokontie 16</t>
  </si>
  <si>
    <t>Kaleva Kerava</t>
  </si>
  <si>
    <t>2524</t>
  </si>
  <si>
    <t>REMAX Asuntoneliöt 1 | Asunnonkatu Oy LKV</t>
  </si>
  <si>
    <t>Miia Kyöstiö</t>
  </si>
  <si>
    <t>80512954</t>
  </si>
  <si>
    <t>https://d3ls91xgksobn.cloudfront.net/400x300/etuovimedia/images/property/import/850/2608850/0e76b9541118d347871c0e0e51d244c4/72343b63bae5ef914478ea99a7943639/ORIGINAL.jpeg</t>
  </si>
  <si>
    <t>https://d3ls91xgksobn.cloudfront.net/1200x900/etuovimedia/images/property/import/850/2608850/0e76b9541118d347871c0e0e51d244c4/72343b63bae5ef914478ea99a7943639/ORIGINAL.jpeg</t>
  </si>
  <si>
    <t>https://d3ls91xgksobn.cloudfront.net/1200x900/etuovimedia/images/property/import/850/2608850/0e76b9541118d347871c0e0e51d244c4/bca312b2f8c3beb65b26db0b31580050/ORIGINAL.jpeg</t>
  </si>
  <si>
    <t>2608850</t>
  </si>
  <si>
    <t>https://www.etuovi.com/kohde/80512954</t>
  </si>
  <si>
    <t>302 000 €</t>
  </si>
  <si>
    <t>4-5h, k, s, 2wc, vh, autokatos</t>
  </si>
  <si>
    <t>2026-06-10T14:04:13.851Z</t>
  </si>
  <si>
    <t>Semi-detached (Paritalo) — 4-5h, k, s, 2wc, vh, autokatos — 111.5 m² — Kaleva Kerava</t>
  </si>
  <si>
    <t>Koulutie 1 Orivesi</t>
  </si>
  <si>
    <t>Koulutie 1</t>
  </si>
  <si>
    <t>3472</t>
  </si>
  <si>
    <t>Kiinteistömaailma Orivesi | Kalevan Kodit Oy</t>
  </si>
  <si>
    <t>Pasi Bergqvist</t>
  </si>
  <si>
    <t>51682201</t>
  </si>
  <si>
    <t>https://d3ls91xgksobn.cloudfront.net/400x300/etuovimedia/images/property/import/849/2608849/0e76b9541118d347871c0e0e51d244c4/7ac417b76e2be54c093b9d697c0a28f0/ORIGINAL.png</t>
  </si>
  <si>
    <t>https://d3ls91xgksobn.cloudfront.net/1200x900/etuovimedia/images/property/import/849/2608849/0e76b9541118d347871c0e0e51d244c4/7ac417b76e2be54c093b9d697c0a28f0/ORIGINAL.png</t>
  </si>
  <si>
    <t>https://d3ls91xgksobn.cloudfront.net/1200x900/etuovimedia/images/property/import/849/2608849/0e76b9541118d347871c0e0e51d244c4/207e5944e7332df92da8d40505944b62/ORIGINAL.png</t>
  </si>
  <si>
    <t>https://d3ls91xgksobn.cloudfront.net/1200x900/etuovimedia/images/property/import/849/2608849/0e76b9541118d347871c0e0e51d244c4/4521a08eac3c57993953bf356440703f/ORIGINAL.png</t>
  </si>
  <si>
    <t>2608849</t>
  </si>
  <si>
    <t>https://www.etuovi.com/kohde/51682201</t>
  </si>
  <si>
    <t>2h, k, s, p</t>
  </si>
  <si>
    <t>2026-06-10T14:04:13.890Z</t>
  </si>
  <si>
    <t>Apartment (Kerrostalo) — 2h, k, s, p — Orivesi</t>
  </si>
  <si>
    <t>Hietaniemenkatu 10 Etu-Töölö Helsinki</t>
  </si>
  <si>
    <t>Hietaniemenkatu 10</t>
  </si>
  <si>
    <t>Etu-Töölö Helsinki</t>
  </si>
  <si>
    <t>3038</t>
  </si>
  <si>
    <t>Kiinteistömaailma Helsinki Hakaniemi | Asuntovirta Oy</t>
  </si>
  <si>
    <t>1911</t>
  </si>
  <si>
    <t>Etu-Töölö</t>
  </si>
  <si>
    <t>34532456</t>
  </si>
  <si>
    <t>https://d3ls91xgksobn.cloudfront.net/400x300/etuovimedia/images/property/import/848/2608848/0e76b9541118d347871c0e0e51d244c4/2010aaa9e41a832ee7b8a980c2a942fb/ORIGINAL.jpeg</t>
  </si>
  <si>
    <t>https://d3ls91xgksobn.cloudfront.net/1200x900/etuovimedia/images/property/import/848/2608848/0e76b9541118d347871c0e0e51d244c4/2010aaa9e41a832ee7b8a980c2a942fb/ORIGINAL.jpeg</t>
  </si>
  <si>
    <t>2608848</t>
  </si>
  <si>
    <t>https://www.etuovi.com/kohde/34532456</t>
  </si>
  <si>
    <t>287 000 €</t>
  </si>
  <si>
    <t>2h + avok + kph</t>
  </si>
  <si>
    <t>2026-06-10T14:04:13.936Z</t>
  </si>
  <si>
    <t>Apartment (Kerrostalo) — 2h + avok + kph — 40 m² — Etu-Töölö Helsinki</t>
  </si>
  <si>
    <t>Mäkelänkatu 10 Vallila Helsinki</t>
  </si>
  <si>
    <t>Mäkelänkatu 10</t>
  </si>
  <si>
    <t>Vallila Helsinki</t>
  </si>
  <si>
    <t>Vallila</t>
  </si>
  <si>
    <t>20408606</t>
  </si>
  <si>
    <t>https://d3ls91xgksobn.cloudfront.net/400x300/etuovimedia/images/property/import/846/2608846/0e76b9541118d347871c0e0e51d244c4/bd7bc4908e842ba2f718a1a1584c22bc/ORIGINAL.png</t>
  </si>
  <si>
    <t>https://d3ls91xgksobn.cloudfront.net/1200x900/etuovimedia/images/property/import/846/2608846/0e76b9541118d347871c0e0e51d244c4/bd7bc4908e842ba2f718a1a1584c22bc/ORIGINAL.png</t>
  </si>
  <si>
    <t>2608846</t>
  </si>
  <si>
    <t>https://www.etuovi.com/kohde/20408606</t>
  </si>
  <si>
    <t>1h + kk + kph + parvi</t>
  </si>
  <si>
    <t>2026-06-10T14:04:13.951Z</t>
  </si>
  <si>
    <t>Apartment (Kerrostalo) — 1h + kk + kph + parvi — 19 m² — Vallila Helsinki</t>
  </si>
  <si>
    <t>Iso Kylätie 26 A Nikkilä Sipoo</t>
  </si>
  <si>
    <t>Iso Kylätie 26 A</t>
  </si>
  <si>
    <t>80505708</t>
  </si>
  <si>
    <t>https://d3ls91xgksobn.cloudfront.net/400x300/etuovimedia/images/property/import/835/2608835/0e76b9541118d347871c0e0e51d244c4/bfe7d66c4b5b3b5d0e4f92e8ea75e926/ORIGINAL.jpeg</t>
  </si>
  <si>
    <t>https://d3ls91xgksobn.cloudfront.net/1200x900/etuovimedia/images/property/import/835/2608835/0e76b9541118d347871c0e0e51d244c4/bfe7d66c4b5b3b5d0e4f92e8ea75e926/ORIGINAL.jpeg</t>
  </si>
  <si>
    <t>https://d3ls91xgksobn.cloudfront.net/1200x900/etuovimedia/images/property/import/835/2608835/0e76b9541118d347871c0e0e51d244c4/ccf39dbdec1667f06ced00859df536a0/ORIGINAL.jpeg</t>
  </si>
  <si>
    <t>2608835</t>
  </si>
  <si>
    <t>https://www.etuovi.com/kohde/80505708</t>
  </si>
  <si>
    <t>2026-06-10T14:04:13.968Z</t>
  </si>
  <si>
    <t>Apartment (Kerrostalo) — 3h + k + s — 72 m² — Nikkilä Sipoo</t>
  </si>
  <si>
    <t>Koskentie 227 Koski Tl</t>
  </si>
  <si>
    <t>Koskentie 227</t>
  </si>
  <si>
    <t>Koski Tl</t>
  </si>
  <si>
    <t>Koski</t>
  </si>
  <si>
    <t>80508168</t>
  </si>
  <si>
    <t>https://d3ls91xgksobn.cloudfront.net/400x300/etuovimedia/images/property/import/834/2608834/0e76b9541118d347871c0e0e51d244c4/8aeff7b8155f1d6c55adff676e64dd54/ORIGINAL.jpeg</t>
  </si>
  <si>
    <t>https://d3ls91xgksobn.cloudfront.net/1200x900/etuovimedia/images/property/import/834/2608834/0e76b9541118d347871c0e0e51d244c4/8aeff7b8155f1d6c55adff676e64dd54/ORIGINAL.jpeg</t>
  </si>
  <si>
    <t>2608834</t>
  </si>
  <si>
    <t>https://www.etuovi.com/kohde/80508168</t>
  </si>
  <si>
    <t>3 h, k, s, suihkutila, et., wc</t>
  </si>
  <si>
    <t>2026-06-10T14:04:13.981Z</t>
  </si>
  <si>
    <t>Detached House (Omakotitalo) — 3 h, k, s, suihkutila, et., wc — 80 m² — Koski Tl</t>
  </si>
  <si>
    <t>Päiviönkatu 9 A keskusta Iisalmi</t>
  </si>
  <si>
    <t>Päiviönkatu 9 A</t>
  </si>
  <si>
    <t>keskusta Iisalmi</t>
  </si>
  <si>
    <t>614061</t>
  </si>
  <si>
    <t>https://d3ls91xgksobn.cloudfront.net/400x300/etuovimedia/images/property/import/998/2506998/0e76b9541118d347871c0e0e51d244c4/76ee7c6c3bf0d82c8da82fd88a8ad051/ORIGINAL.jpeg</t>
  </si>
  <si>
    <t>https://d3ls91xgksobn.cloudfront.net/1200x900/etuovimedia/images/property/import/998/2506998/0e76b9541118d347871c0e0e51d244c4/76ee7c6c3bf0d82c8da82fd88a8ad051/ORIGINAL.jpeg</t>
  </si>
  <si>
    <t>https://d3ls91xgksobn.cloudfront.net/1200x900/etuovimedia/images/property/import/998/2506998/0e76b9541118d347871c0e0e51d244c4/831e0184e501420f6b3d4db5b6715718/ORIGINAL.jpeg</t>
  </si>
  <si>
    <t>2506998</t>
  </si>
  <si>
    <t>https://www.etuovi.com/kohde/614061</t>
  </si>
  <si>
    <t>40 000 €</t>
  </si>
  <si>
    <t>2026-06-10T14:04:14.093Z</t>
  </si>
  <si>
    <t>Apartment (Kerrostalo) — 2h, k — 50.5 m² — keskusta Iisalmi</t>
  </si>
  <si>
    <t>Hakasuonrinne 1 Ylästö Vantaa</t>
  </si>
  <si>
    <t>Hakasuonrinne 1</t>
  </si>
  <si>
    <t>Ylästö Vantaa</t>
  </si>
  <si>
    <t>3021</t>
  </si>
  <si>
    <t>Boucht &amp; Ekman LKV Oy</t>
  </si>
  <si>
    <t>https://www.bekoti.fi/etusivu</t>
  </si>
  <si>
    <t>Ylästö</t>
  </si>
  <si>
    <t>21503172</t>
  </si>
  <si>
    <t>https://d3ls91xgksobn.cloudfront.net/400x300/etuovimedia/images/property/import/829/2608829/0e76b9541118d347871c0e0e51d244c4/6ee1653d1dd81ae3d590d34e1bc95bc2/ORIGINAL.jpeg</t>
  </si>
  <si>
    <t>https://d3ls91xgksobn.cloudfront.net/1200x900/etuovimedia/images/property/import/829/2608829/0e76b9541118d347871c0e0e51d244c4/6ee1653d1dd81ae3d590d34e1bc95bc2/ORIGINAL.jpeg</t>
  </si>
  <si>
    <t>2608829</t>
  </si>
  <si>
    <t>https://www.etuovi.com/kohde/21503172</t>
  </si>
  <si>
    <t>668 000 €</t>
  </si>
  <si>
    <t>5h, k, rt, kph, s, khh</t>
  </si>
  <si>
    <t>2026-06-10T14:04:14.166Z</t>
  </si>
  <si>
    <t>Detached House (Omakotitalo) — 5h, k, rt, kph, s, khh — 130 m² — Ylästö Vantaa</t>
  </si>
  <si>
    <t>Kuutolankatu 14 As keskusta Iisalmi</t>
  </si>
  <si>
    <t>Kuutolankatu 14 As</t>
  </si>
  <si>
    <t>614069</t>
  </si>
  <si>
    <t>https://d3ls91xgksobn.cloudfront.net/400x300/etuovimedia/images/property/import/768/2496768/0e76b9541118d347871c0e0e51d244c4/32ee0e710f694e3f70efb7cb992a9a80/ORIGINAL.jpeg</t>
  </si>
  <si>
    <t>https://d3ls91xgksobn.cloudfront.net/1200x900/etuovimedia/images/property/import/768/2496768/0e76b9541118d347871c0e0e51d244c4/32ee0e710f694e3f70efb7cb992a9a80/ORIGINAL.jpeg</t>
  </si>
  <si>
    <t>https://d3ls91xgksobn.cloudfront.net/1200x900/etuovimedia/images/property/import/768/2496768/0e76b9541118d347871c0e0e51d244c4/ead02aa3ac75d1ea973f67127b7a3305/ORIGINAL.jpeg</t>
  </si>
  <si>
    <t>https://d3ls91xgksobn.cloudfront.net/1200x900/etuovimedia/images/property/import/768/2496768/0e76b9541118d347871c0e0e51d244c4/fa5c662dce1ab4e25e47d60b05d257f4/ORIGINAL.jpeg</t>
  </si>
  <si>
    <t>2496768</t>
  </si>
  <si>
    <t>https://www.etuovi.com/kohde/614069</t>
  </si>
  <si>
    <t>59 500 €</t>
  </si>
  <si>
    <t>2026-06-10T14:04:14.182Z</t>
  </si>
  <si>
    <t>Apartment (Kerrostalo) — 2h, k, s — 47.5 m² — keskusta Iisalmi</t>
  </si>
  <si>
    <t>Linkinlahdenkatu 10 C Linkinlahti Iisalmi</t>
  </si>
  <si>
    <t>Linkinlahdenkatu 10 C</t>
  </si>
  <si>
    <t>Linkinlahti Iisalmi</t>
  </si>
  <si>
    <t>Linkinlahti</t>
  </si>
  <si>
    <t>616436</t>
  </si>
  <si>
    <t>https://d3ls91xgksobn.cloudfront.net/400x300/etuovimedia/images/property/import/800/2546800/0e76b9541118d347871c0e0e51d244c4/91f92161b640627b1f10f63188cb7178/ORIGINAL.jpeg</t>
  </si>
  <si>
    <t>https://d3ls91xgksobn.cloudfront.net/1200x900/etuovimedia/images/property/import/800/2546800/0e76b9541118d347871c0e0e51d244c4/91f92161b640627b1f10f63188cb7178/ORIGINAL.jpeg</t>
  </si>
  <si>
    <t>https://d3ls91xgksobn.cloudfront.net/1200x900/etuovimedia/images/property/import/800/2546800/0e76b9541118d347871c0e0e51d244c4/80ac046522ab496c964b0a430034dc89/ORIGINAL.jpeg</t>
  </si>
  <si>
    <t>https://d3ls91xgksobn.cloudfront.net/1200x900/etuovimedia/images/property/import/800/2546800/0e76b9541118d347871c0e0e51d244c4/a1ffc6a280e7aa5af4b1526b6612988c/ORIGINAL.jpeg</t>
  </si>
  <si>
    <t>2546800</t>
  </si>
  <si>
    <t>https://www.etuovi.com/kohde/616436</t>
  </si>
  <si>
    <t>98 500 €</t>
  </si>
  <si>
    <t>2026-06-10T14:04:14.359Z</t>
  </si>
  <si>
    <t>Balcony Access Block (Luhtitalo) — 3h, k, s — 68 m² — Linkinlahti Iisalmi</t>
  </si>
  <si>
    <t>Sinisiivenkuja 3a Lankila Vihti</t>
  </si>
  <si>
    <t>Sinisiivenkuja 3a</t>
  </si>
  <si>
    <t>Lankila Vihti</t>
  </si>
  <si>
    <t>Lankila</t>
  </si>
  <si>
    <t>ee6929</t>
  </si>
  <si>
    <t>https://d3ls91xgksobn.cloudfront.net/400x300/etuovimedia/images/property/import/828/2482828/0e76b9541118d347871c0e0e51d244c4/452938a6f158d55c5079cc56bfed6308/ORIGINAL.jpeg</t>
  </si>
  <si>
    <t>https://d3ls91xgksobn.cloudfront.net/1200x900/etuovimedia/images/property/import/828/2482828/0e76b9541118d347871c0e0e51d244c4/452938a6f158d55c5079cc56bfed6308/ORIGINAL.jpeg</t>
  </si>
  <si>
    <t>2482828</t>
  </si>
  <si>
    <t>https://www.etuovi.com/kohde/ee6929</t>
  </si>
  <si>
    <t>Samuli Suomala</t>
  </si>
  <si>
    <t>2026-02-22</t>
  </si>
  <si>
    <t>4h + s + kph + khh + wc + var + ak</t>
  </si>
  <si>
    <t>2026-06-10T14:04:14.391Z</t>
  </si>
  <si>
    <t>Detached House (Omakotitalo) — 4h + s + kph + khh + wc + var + ak — 100 m² — Lankila Vihti</t>
  </si>
  <si>
    <t>Pohjoiskaari 6 Pohjoisaho Outokumpu</t>
  </si>
  <si>
    <t>Pohjoiskaari 6</t>
  </si>
  <si>
    <t>Pohjoisaho Outokumpu</t>
  </si>
  <si>
    <t>Pohjoisaho</t>
  </si>
  <si>
    <t>21034633</t>
  </si>
  <si>
    <t>https://d3ls91xgksobn.cloudfront.net/400x300/etuovimedia/images/property/import/827/2608827/0e76b9541118d347871c0e0e51d244c4/4189ebac88424231a6d88ba3f03f3fa8/ORIGINAL.jpeg</t>
  </si>
  <si>
    <t>https://d3ls91xgksobn.cloudfront.net/1200x900/etuovimedia/images/property/import/827/2608827/0e76b9541118d347871c0e0e51d244c4/4189ebac88424231a6d88ba3f03f3fa8/ORIGINAL.jpeg</t>
  </si>
  <si>
    <t>2608827</t>
  </si>
  <si>
    <t>https://www.etuovi.com/kohde/21034633</t>
  </si>
  <si>
    <t>9 900 €</t>
  </si>
  <si>
    <t>1h + kk + s</t>
  </si>
  <si>
    <t>2026-06-10T14:04:14.451Z</t>
  </si>
  <si>
    <t>Row House (Rivitalo) — 1h + kk + s — 40 m² — Pohjoisaho Outokumpu</t>
  </si>
  <si>
    <t>Purohaka 16 Luoma Kirkkonummi</t>
  </si>
  <si>
    <t>Purohaka 16</t>
  </si>
  <si>
    <t>Luoma Kirkkonummi</t>
  </si>
  <si>
    <t>1692</t>
  </si>
  <si>
    <t>Helsingin KOTI LKV Oy</t>
  </si>
  <si>
    <t>Luoma</t>
  </si>
  <si>
    <t>80495481</t>
  </si>
  <si>
    <t>https://d3ls91xgksobn.cloudfront.net/400x300/etuovimedia/images/property/import/392/2542392/0e76b9541118d347871c0e0e51d244c4/3ed52155af6b6af9118eb4d7f33f582c/ORIGINAL.jpeg</t>
  </si>
  <si>
    <t>https://d3ls91xgksobn.cloudfront.net/1200x900/etuovimedia/images/property/import/392/2542392/0e76b9541118d347871c0e0e51d244c4/3ed52155af6b6af9118eb4d7f33f582c/ORIGINAL.jpeg</t>
  </si>
  <si>
    <t>2542392</t>
  </si>
  <si>
    <t>https://www.etuovi.com/kohde/80495481</t>
  </si>
  <si>
    <t>898 000 €</t>
  </si>
  <si>
    <t>Oh, kirj.h, 4 mh, k, rt, khh, aula, pukeuth, 2 s, 4 wc, 3 ph, verstas, varasto</t>
  </si>
  <si>
    <t>2026-06-10T14:04:14.474Z</t>
  </si>
  <si>
    <t>Detached House (Omakotitalo) — Oh, kirj.h, 4 mh, k, rt, khh, aula, pukeuth, 2 s, 4 wc, 3 ph, verstas, varasto — 231 m² — Luoma Kirkkonummi</t>
  </si>
  <si>
    <t>Riilahdentie 13 A Soukka, Kaitaa, Riilahti Espoo</t>
  </si>
  <si>
    <t>Riilahdentie 13 A</t>
  </si>
  <si>
    <t>Soukka, Kaitaa, Riilahti Espoo</t>
  </si>
  <si>
    <t>Soukka, Kaitaa, Riilahti</t>
  </si>
  <si>
    <t>80494203</t>
  </si>
  <si>
    <t>https://d3ls91xgksobn.cloudfront.net/400x300/etuovimedia/images/property/import/459/2550459/0e76b9541118d347871c0e0e51d244c4/ecb1f46a71c3d57104fa4cf197e87a5b/ORIGINAL.jpeg</t>
  </si>
  <si>
    <t>https://d3ls91xgksobn.cloudfront.net/1200x900/etuovimedia/images/property/import/459/2550459/0e76b9541118d347871c0e0e51d244c4/ecb1f46a71c3d57104fa4cf197e87a5b/ORIGINAL.jpeg</t>
  </si>
  <si>
    <t>2550459</t>
  </si>
  <si>
    <t>https://www.etuovi.com/kohde/80494203</t>
  </si>
  <si>
    <t>1 250 000 €</t>
  </si>
  <si>
    <t>2026-04-23</t>
  </si>
  <si>
    <t>Oh, takkah, 4 mh, avok, khh, s, 3 wc, ph, vh, var, ak</t>
  </si>
  <si>
    <t>2026-06-10T14:04:14.524Z</t>
  </si>
  <si>
    <t>Detached House (Omakotitalo) — Oh, takkah, 4 mh, avok, khh, s, 3 wc, ph, vh, var, ak — 208 m² — Soukka, Kaitaa, Riilahti Espoo</t>
  </si>
  <si>
    <t>Oikotie 11 Raunistula Turku</t>
  </si>
  <si>
    <t>Oikotie 11</t>
  </si>
  <si>
    <t>Raunistula Turku</t>
  </si>
  <si>
    <t>Raunistula</t>
  </si>
  <si>
    <t>fs3789</t>
  </si>
  <si>
    <t>https://d3ls91xgksobn.cloudfront.net/400x300/etuovimedia/images/property/import/822/2608822/0e76b9541118d347871c0e0e51d244c4/16bbbc8cc0c65d72d443a23b56a7bcb7/ORIGINAL.jpeg</t>
  </si>
  <si>
    <t>https://d3ls91xgksobn.cloudfront.net/1200x900/etuovimedia/images/property/import/822/2608822/0e76b9541118d347871c0e0e51d244c4/16bbbc8cc0c65d72d443a23b56a7bcb7/ORIGINAL.jpeg</t>
  </si>
  <si>
    <t>2608822</t>
  </si>
  <si>
    <t>https://www.etuovi.com/kohde/fs3789</t>
  </si>
  <si>
    <t>22 640,08 €</t>
  </si>
  <si>
    <t>2026-06-10T14:04:21.558Z</t>
  </si>
  <si>
    <t>Apartment (Kerrostalo) — 1h + kt — 34.5 m² — Raunistula Turku</t>
  </si>
  <si>
    <t>Metsäläntie 10 Pasila Helsinki</t>
  </si>
  <si>
    <t>Metsäläntie 10</t>
  </si>
  <si>
    <t>Pasila Helsinki</t>
  </si>
  <si>
    <t>Pasila</t>
  </si>
  <si>
    <t>fs3788</t>
  </si>
  <si>
    <t>https://d3ls91xgksobn.cloudfront.net/400x300/etuovimedia/images/property/import/821/2608821/0e76b9541118d347871c0e0e51d244c4/45c3e8fc3c2a9ba94650058333f8be64/ORIGINAL.jpeg</t>
  </si>
  <si>
    <t>https://d3ls91xgksobn.cloudfront.net/1200x900/etuovimedia/images/property/import/821/2608821/0e76b9541118d347871c0e0e51d244c4/45c3e8fc3c2a9ba94650058333f8be64/ORIGINAL.jpeg</t>
  </si>
  <si>
    <t>2608821</t>
  </si>
  <si>
    <t>https://www.etuovi.com/kohde/fs3788</t>
  </si>
  <si>
    <t>31 392,67 €</t>
  </si>
  <si>
    <t>2026-06-10T14:04:21.571Z</t>
  </si>
  <si>
    <t>Apartment (Kerrostalo) — 2h + kt — 49 m² — Pasila Helsinki</t>
  </si>
  <si>
    <t>Kvartsitie 1 Söderkulla Sipoo</t>
  </si>
  <si>
    <t>Kvartsitie 1</t>
  </si>
  <si>
    <t>Söderkulla Sipoo</t>
  </si>
  <si>
    <t>Söderkulla</t>
  </si>
  <si>
    <t>fs3787</t>
  </si>
  <si>
    <t>https://d3ls91xgksobn.cloudfront.net/400x300/etuovimedia/images/property/import/820/2608820/0e76b9541118d347871c0e0e51d244c4/9eb4b97854de682d28dc94f5c4e0cb43/ORIGINAL.jpeg</t>
  </si>
  <si>
    <t>https://d3ls91xgksobn.cloudfront.net/1200x900/etuovimedia/images/property/import/820/2608820/0e76b9541118d347871c0e0e51d244c4/9eb4b97854de682d28dc94f5c4e0cb43/ORIGINAL.jpeg</t>
  </si>
  <si>
    <t>2608820</t>
  </si>
  <si>
    <t>https://www.etuovi.com/kohde/fs3787</t>
  </si>
  <si>
    <t>26 206,76 €</t>
  </si>
  <si>
    <t>2026-06-10T14:04:21.590Z</t>
  </si>
  <si>
    <t>Apartment (Kerrostalo) — 2h + kt — 45 m² — Söderkulla Sipoo</t>
  </si>
  <si>
    <t>fs3786</t>
  </si>
  <si>
    <t>https://d3ls91xgksobn.cloudfront.net/400x300/etuovimedia/images/property/import/819/2608819/0e76b9541118d347871c0e0e51d244c4/e779e10a9c4ff08d3f3f94febe191596/ORIGINAL.jpeg</t>
  </si>
  <si>
    <t>https://d3ls91xgksobn.cloudfront.net/1200x900/etuovimedia/images/property/import/819/2608819/0e76b9541118d347871c0e0e51d244c4/e779e10a9c4ff08d3f3f94febe191596/ORIGINAL.jpeg</t>
  </si>
  <si>
    <t>2608819</t>
  </si>
  <si>
    <t>https://www.etuovi.com/kohde/fs3786</t>
  </si>
  <si>
    <t>28 089,23 €</t>
  </si>
  <si>
    <t>2026-06-10T14:04:21.663Z</t>
  </si>
  <si>
    <t>Apartment (Kerrostalo) — 2h + kt + s — 52 m² — Keskusta Siilinjärvi</t>
  </si>
  <si>
    <t>Aakkulantie 27 Suorama Kangasala</t>
  </si>
  <si>
    <t>Aakkulantie 27</t>
  </si>
  <si>
    <t>Suorama Kangasala</t>
  </si>
  <si>
    <t>Suorama</t>
  </si>
  <si>
    <t>fs3784</t>
  </si>
  <si>
    <t>https://d3ls91xgksobn.cloudfront.net/400x300/etuovimedia/images/property/import/818/2608818/0e76b9541118d347871c0e0e51d244c4/1a373497eae1485897c406bca4020db5/ORIGINAL.jpeg</t>
  </si>
  <si>
    <t>https://d3ls91xgksobn.cloudfront.net/1200x900/etuovimedia/images/property/import/818/2608818/0e76b9541118d347871c0e0e51d244c4/1a373497eae1485897c406bca4020db5/ORIGINAL.jpeg</t>
  </si>
  <si>
    <t>2608818</t>
  </si>
  <si>
    <t>https://www.etuovi.com/kohde/fs3784</t>
  </si>
  <si>
    <t>41 378,85 €</t>
  </si>
  <si>
    <t>2026-06-10T14:04:21.678Z</t>
  </si>
  <si>
    <t>Apartment (Kerrostalo) — 4h + kt + s — 82.5 m² — Suorama Kangasala</t>
  </si>
  <si>
    <t>Torpparinkaari 3 Tammisto Naantali</t>
  </si>
  <si>
    <t>Torpparinkaari 3</t>
  </si>
  <si>
    <t>Tammisto Naantali</t>
  </si>
  <si>
    <t>fs3783</t>
  </si>
  <si>
    <t>https://d3ls91xgksobn.cloudfront.net/400x300/etuovimedia/images/property/import/817/2608817/0e76b9541118d347871c0e0e51d244c4/6fc9327f3467ac67836302f789951a00/ORIGINAL.jpeg</t>
  </si>
  <si>
    <t>https://d3ls91xgksobn.cloudfront.net/1200x900/etuovimedia/images/property/import/817/2608817/0e76b9541118d347871c0e0e51d244c4/6fc9327f3467ac67836302f789951a00/ORIGINAL.jpeg</t>
  </si>
  <si>
    <t>2608817</t>
  </si>
  <si>
    <t>https://www.etuovi.com/kohde/fs3783</t>
  </si>
  <si>
    <t>43 274,15 €</t>
  </si>
  <si>
    <t>2026-06-10T14:04:21.696Z</t>
  </si>
  <si>
    <t>Row House (Rivitalo) — 4h + kt + s — 87.5 m² — Tammisto Naantali</t>
  </si>
  <si>
    <t>fs3782</t>
  </si>
  <si>
    <t>https://d3ls91xgksobn.cloudfront.net/400x300/etuovimedia/images/property/import/816/2608816/0e76b9541118d347871c0e0e51d244c4/0d50055b3adc34e2f2cacb9a6e4843ed/ORIGINAL.jpeg</t>
  </si>
  <si>
    <t>https://d3ls91xgksobn.cloudfront.net/1200x900/etuovimedia/images/property/import/816/2608816/0e76b9541118d347871c0e0e51d244c4/0d50055b3adc34e2f2cacb9a6e4843ed/ORIGINAL.jpeg</t>
  </si>
  <si>
    <t>2608816</t>
  </si>
  <si>
    <t>https://www.etuovi.com/kohde/fs3782</t>
  </si>
  <si>
    <t>44 065,41 €</t>
  </si>
  <si>
    <t>2026-06-10T14:04:21.800Z</t>
  </si>
  <si>
    <t>Konttilukinkatu 15 a, Siivekkeenkatu 1 Härmälänranta Tampere</t>
  </si>
  <si>
    <t>Konttilukinkatu 15 a, Siivekkeenkatu 1</t>
  </si>
  <si>
    <t>Härmälänranta Tampere</t>
  </si>
  <si>
    <t>Härmälänranta</t>
  </si>
  <si>
    <t>fs3779</t>
  </si>
  <si>
    <t>https://d3ls91xgksobn.cloudfront.net/400x300/etuovimedia/images/property/import/815/2608815/0e76b9541118d347871c0e0e51d244c4/8184a98eafc5581d66279e40e34175e9/ORIGINAL.jpeg</t>
  </si>
  <si>
    <t>https://d3ls91xgksobn.cloudfront.net/1200x900/etuovimedia/images/property/import/815/2608815/0e76b9541118d347871c0e0e51d244c4/8184a98eafc5581d66279e40e34175e9/ORIGINAL.jpeg</t>
  </si>
  <si>
    <t>2608815</t>
  </si>
  <si>
    <t>https://www.etuovi.com/kohde/fs3779</t>
  </si>
  <si>
    <t>45 508,47 €</t>
  </si>
  <si>
    <t>2026-06-10T14:04:21.822Z</t>
  </si>
  <si>
    <t>Apartment (Kerrostalo) — 3h + kt + s — 69 m² — Härmälänranta Tampere</t>
  </si>
  <si>
    <t>Puoshaantie 2 Kantvik Kirkkonummi</t>
  </si>
  <si>
    <t>Puoshaantie 2</t>
  </si>
  <si>
    <t>Kantvik Kirkkonummi</t>
  </si>
  <si>
    <t>Kantvik</t>
  </si>
  <si>
    <t>fs3778</t>
  </si>
  <si>
    <t>https://d3ls91xgksobn.cloudfront.net/400x300/etuovimedia/images/property/import/813/2608813/0e76b9541118d347871c0e0e51d244c4/63384cebd99f3a5205a943628975109e/ORIGINAL.jpeg</t>
  </si>
  <si>
    <t>https://d3ls91xgksobn.cloudfront.net/1200x900/etuovimedia/images/property/import/813/2608813/0e76b9541118d347871c0e0e51d244c4/63384cebd99f3a5205a943628975109e/ORIGINAL.jpeg</t>
  </si>
  <si>
    <t>2608813</t>
  </si>
  <si>
    <t>https://www.etuovi.com/kohde/fs3778</t>
  </si>
  <si>
    <t>39 550,37 €</t>
  </si>
  <si>
    <t>2026-06-10T14:04:21.862Z</t>
  </si>
  <si>
    <t>Semi-detached (Paritalo) — 3h + k + s — 79 m² — Kantvik Kirkkonummi</t>
  </si>
  <si>
    <t>Neulastie 3 Malminkartano Helsinki</t>
  </si>
  <si>
    <t>Neulastie 3</t>
  </si>
  <si>
    <t>Malminkartano Helsinki</t>
  </si>
  <si>
    <t>Malminkartano</t>
  </si>
  <si>
    <t>fs3777</t>
  </si>
  <si>
    <t>https://d3ls91xgksobn.cloudfront.net/400x300/etuovimedia/images/property/import/812/2608812/0e76b9541118d347871c0e0e51d244c4/4451a2f65a19e5bb989b3673880aa4b3/ORIGINAL.jpeg</t>
  </si>
  <si>
    <t>https://d3ls91xgksobn.cloudfront.net/1200x900/etuovimedia/images/property/import/812/2608812/0e76b9541118d347871c0e0e51d244c4/4451a2f65a19e5bb989b3673880aa4b3/ORIGINAL.jpeg</t>
  </si>
  <si>
    <t>2608812</t>
  </si>
  <si>
    <t>https://www.etuovi.com/kohde/fs3777</t>
  </si>
  <si>
    <t>31 695,39 €</t>
  </si>
  <si>
    <t>2026-06-10T14:04:21.892Z</t>
  </si>
  <si>
    <t>Apartment (Kerrostalo) — 2h + kt — 38.5 m² — Malminkartano Helsinki</t>
  </si>
  <si>
    <t>Pikisaarenkuja 4 Linnoitus Lappeenranta</t>
  </si>
  <si>
    <t>Pikisaarenkuja 4</t>
  </si>
  <si>
    <t>Linnoitus Lappeenranta</t>
  </si>
  <si>
    <t>Linnoitus</t>
  </si>
  <si>
    <t>fs3764</t>
  </si>
  <si>
    <t>https://d3ls91xgksobn.cloudfront.net/400x300/etuovimedia/images/property/import/803/2608803/0e76b9541118d347871c0e0e51d244c4/1cc29daa051047a18cfba16d7595e2f9/ORIGINAL.jpeg</t>
  </si>
  <si>
    <t>https://d3ls91xgksobn.cloudfront.net/1200x900/etuovimedia/images/property/import/803/2608803/0e76b9541118d347871c0e0e51d244c4/1cc29daa051047a18cfba16d7595e2f9/ORIGINAL.jpeg</t>
  </si>
  <si>
    <t>2608803</t>
  </si>
  <si>
    <t>https://www.etuovi.com/kohde/fs3764</t>
  </si>
  <si>
    <t>25 112,48 €</t>
  </si>
  <si>
    <t>2026-06-10T14:04:21.951Z</t>
  </si>
  <si>
    <t>Apartment (Kerrostalo) — 2h + k + s — 46.5 m² — Linnoitus Lappeenranta</t>
  </si>
  <si>
    <t>Liesikuja 10 Myyrmäki Vantaa</t>
  </si>
  <si>
    <t>Liesikuja 10</t>
  </si>
  <si>
    <t>2196</t>
  </si>
  <si>
    <t>Yrjö ja Hanna Kodit | Asoasunnot Yrjö ja Hanna Oy</t>
  </si>
  <si>
    <t>https://yrjojahanna.fi/</t>
  </si>
  <si>
    <t>fs3687</t>
  </si>
  <si>
    <t>https://d3ls91xgksobn.cloudfront.net/400x300/etuovimedia/images/property/import/770/2608770/0e76b9541118d347871c0e0e51d244c4/1dea8b805234022d046b33a9db2be439/ORIGINAL.jpeg</t>
  </si>
  <si>
    <t>https://d3ls91xgksobn.cloudfront.net/1200x900/etuovimedia/images/property/import/770/2608770/0e76b9541118d347871c0e0e51d244c4/1dea8b805234022d046b33a9db2be439/ORIGINAL.jpeg</t>
  </si>
  <si>
    <t>2608770</t>
  </si>
  <si>
    <t>https://www.etuovi.com/kohde/fs3687</t>
  </si>
  <si>
    <t>32 015,36 €</t>
  </si>
  <si>
    <t>1h + kt + vh + p</t>
  </si>
  <si>
    <t>2026-06-10T14:04:21.965Z</t>
  </si>
  <si>
    <t>Apartment (Kerrostalo) — 1h + kt + vh + p — 35 m² — Myyrmäki Vantaa</t>
  </si>
  <si>
    <t>Peiponpesä 8 Leppävesi Laukaa</t>
  </si>
  <si>
    <t>Peiponpesä 8</t>
  </si>
  <si>
    <t>Humalajoki Anna</t>
  </si>
  <si>
    <t>20527531</t>
  </si>
  <si>
    <t>https://d3ls91xgksobn.cloudfront.net/400x300/etuovimedia/images/property/import/600/2587600/0e76b9541118d347871c0e0e51d244c4/9bc09776a4e3a773ad4233098ba08f16/ORIGINAL.jpeg</t>
  </si>
  <si>
    <t>https://d3ls91xgksobn.cloudfront.net/1200x900/etuovimedia/images/property/import/600/2587600/0e76b9541118d347871c0e0e51d244c4/9bc09776a4e3a773ad4233098ba08f16/ORIGINAL.jpeg</t>
  </si>
  <si>
    <t>https://d3ls91xgksobn.cloudfront.net/1200x900/etuovimedia/images/property/import/600/2587600/0e76b9541118d347871c0e0e51d244c4/8ec204f9cd2fd22f3c287c1150211d86/ORIGINAL.jpeg</t>
  </si>
  <si>
    <t>2587600</t>
  </si>
  <si>
    <t>https://www.etuovi.com/kohde/20527531</t>
  </si>
  <si>
    <t>5h + k + khh + s + wc</t>
  </si>
  <si>
    <t>2026-06-10T14:04:22.068Z</t>
  </si>
  <si>
    <t>Detached House (Omakotitalo) — 5h + k + khh + s + wc — 104 m² — Leppävesi Laukaa</t>
  </si>
  <si>
    <t>Vuotungintie 312 Vuotunki Kuusamo</t>
  </si>
  <si>
    <t>Vuotungintie 312</t>
  </si>
  <si>
    <t>Vuotunki Kuusamo</t>
  </si>
  <si>
    <t>Vuotunki</t>
  </si>
  <si>
    <t>fs3686</t>
  </si>
  <si>
    <t>https://d3ls91xgksobn.cloudfront.net/400x300/etuovimedia/images/property/import/769/2608769/0e76b9541118d347871c0e0e51d244c4/59251cbe3c744d79ae8b459ba8141637/ORIGINAL.jpeg</t>
  </si>
  <si>
    <t>https://d3ls91xgksobn.cloudfront.net/1200x900/etuovimedia/images/property/import/769/2608769/0e76b9541118d347871c0e0e51d244c4/59251cbe3c744d79ae8b459ba8141637/ORIGINAL.jpeg</t>
  </si>
  <si>
    <t>2608769</t>
  </si>
  <si>
    <t>https://www.etuovi.com/kohde/fs3686</t>
  </si>
  <si>
    <t>167 000 €</t>
  </si>
  <si>
    <t>Hans Heiman</t>
  </si>
  <si>
    <t>3mh, oh, k, rt, khh, kph, s, wc + at, aitta, venevaja</t>
  </si>
  <si>
    <t>2026-06-10T14:04:22.084Z</t>
  </si>
  <si>
    <t>Detached House (Omakotitalo) — 3mh, oh, k, rt, khh, kph, s, wc + at, aitta, venevaja — 117 m² — Vuotunki Kuusamo</t>
  </si>
  <si>
    <t>Jyränmaankatu 15 Harjuniitty Nokia</t>
  </si>
  <si>
    <t>Jyränmaankatu 15</t>
  </si>
  <si>
    <t>Harjuniitty Nokia</t>
  </si>
  <si>
    <t>Harjuniitty</t>
  </si>
  <si>
    <t>80496194</t>
  </si>
  <si>
    <t>https://d3ls91xgksobn.cloudfront.net/400x300/etuovimedia/images/property/import/343/2544343/0e76b9541118d347871c0e0e51d244c4/51961f005cc607510a8a5086334dacac/ORIGINAL.jpeg</t>
  </si>
  <si>
    <t>https://d3ls91xgksobn.cloudfront.net/1200x900/etuovimedia/images/property/import/343/2544343/0e76b9541118d347871c0e0e51d244c4/51961f005cc607510a8a5086334dacac/ORIGINAL.jpeg</t>
  </si>
  <si>
    <t>https://d3ls91xgksobn.cloudfront.net/1200x900/etuovimedia/images/property/import/343/2544343/0e76b9541118d347871c0e0e51d244c4/ce85667f2cd42c25d55762b5285189b2/ORIGINAL.jpeg</t>
  </si>
  <si>
    <t>https://d3ls91xgksobn.cloudfront.net/1200x900/etuovimedia/images/property/import/343/2544343/0e76b9541118d347871c0e0e51d244c4/f3ec01559db6f8a55b28b42a8ed558a0/ORIGINAL.jpeg</t>
  </si>
  <si>
    <t>2544343</t>
  </si>
  <si>
    <t>https://www.etuovi.com/kohde/80496194</t>
  </si>
  <si>
    <t>4h, k, kph, s, 2xerill.wc, khh, tkh, at</t>
  </si>
  <si>
    <t>2026-06-10T14:04:22.137Z</t>
  </si>
  <si>
    <t>Detached House (Omakotitalo) — 4h, k, kph, s, 2xerill.wc, khh, tkh, at — 115 m² — Harjuniitty Nokia</t>
  </si>
  <si>
    <t>Murrontie 2 A Kulju Lempäälä</t>
  </si>
  <si>
    <t>Murrontie 2 A</t>
  </si>
  <si>
    <t>Kulju Lempäälä</t>
  </si>
  <si>
    <t>Kulju</t>
  </si>
  <si>
    <t>80501819</t>
  </si>
  <si>
    <t>https://d3ls91xgksobn.cloudfront.net/400x300/etuovimedia/images/property/import/687/2556687/0e76b9541118d347871c0e0e51d244c4/3215216652eaffacf85e219c25e1e576/ORIGINAL.jpeg</t>
  </si>
  <si>
    <t>https://d3ls91xgksobn.cloudfront.net/1200x900/etuovimedia/images/property/import/687/2556687/0e76b9541118d347871c0e0e51d244c4/3215216652eaffacf85e219c25e1e576/ORIGINAL.jpeg</t>
  </si>
  <si>
    <t>https://d3ls91xgksobn.cloudfront.net/1200x900/etuovimedia/images/property/import/687/2556687/0e76b9541118d347871c0e0e51d244c4/faa9ed9a64c40f98676aa5b15d6fbac8/ORIGINAL.jpeg</t>
  </si>
  <si>
    <t>https://d3ls91xgksobn.cloudfront.net/1200x900/etuovimedia/images/property/import/687/2556687/0e76b9541118d347871c0e0e51d244c4/f8b66faf6b33ec82f26c58227bb43320/ORIGINAL.jpeg</t>
  </si>
  <si>
    <t>2556687</t>
  </si>
  <si>
    <t>https://www.etuovi.com/kohde/80501819</t>
  </si>
  <si>
    <t>2026-04-28</t>
  </si>
  <si>
    <t>4h, avok, kph / khh, s, erillis wc, työh, katettu terassi, autokatos</t>
  </si>
  <si>
    <t>2026-06-10T14:04:22.168Z</t>
  </si>
  <si>
    <t>Row House (Rivitalo) — 4h, avok, kph / khh, s, erillis wc, työh, katettu terassi, autokatos — 103.5 m² — Kulju Lempäälä</t>
  </si>
  <si>
    <t>Himminpolku 1 A Lempoinen Lempäälä</t>
  </si>
  <si>
    <t>Himminpolku 1 A</t>
  </si>
  <si>
    <t>Lempoinen Lempäälä</t>
  </si>
  <si>
    <t>Lempoinen</t>
  </si>
  <si>
    <t>80505865</t>
  </si>
  <si>
    <t>https://d3ls91xgksobn.cloudfront.net/400x300/etuovimedia/images/property/import/267/2574267/0e76b9541118d347871c0e0e51d244c4/9fb5db3d4ae5475a66563d1f8ae5bf7d/ORIGINAL.jpeg</t>
  </si>
  <si>
    <t>https://d3ls91xgksobn.cloudfront.net/1200x900/etuovimedia/images/property/import/267/2574267/0e76b9541118d347871c0e0e51d244c4/9fb5db3d4ae5475a66563d1f8ae5bf7d/ORIGINAL.jpeg</t>
  </si>
  <si>
    <t>https://d3ls91xgksobn.cloudfront.net/1200x900/etuovimedia/images/property/import/267/2574267/0e76b9541118d347871c0e0e51d244c4/f13ca3cbe15fd5ecbec545263ae72ad1/ORIGINAL.jpeg</t>
  </si>
  <si>
    <t>https://d3ls91xgksobn.cloudfront.net/1200x900/etuovimedia/images/property/import/267/2574267/0e76b9541118d347871c0e0e51d244c4/9c2721fd2d8bf5bb3f52184efde1da1b/ORIGINAL.jpeg</t>
  </si>
  <si>
    <t>2574267</t>
  </si>
  <si>
    <t>https://www.etuovi.com/kohde/80505865</t>
  </si>
  <si>
    <t>107 000 €</t>
  </si>
  <si>
    <t>2026-05-12</t>
  </si>
  <si>
    <t>2026-06-10T14:04:22.186Z</t>
  </si>
  <si>
    <t>Apartment (Kerrostalo) — 3h, k, kph / wc, vh — 69 m² — Lempoinen Lempäälä</t>
  </si>
  <si>
    <t>Harjutie 19 E Vuorentausta Ylöjärvi</t>
  </si>
  <si>
    <t>Harjutie 19 E</t>
  </si>
  <si>
    <t>Vuorentausta Ylöjärvi</t>
  </si>
  <si>
    <t>Vuorentausta</t>
  </si>
  <si>
    <t>80470766</t>
  </si>
  <si>
    <t>https://d3ls91xgksobn.cloudfront.net/400x300/etuovimedia/images/property/import/793/2399793/0e76b9541118d347871c0e0e51d244c4/08bbb1e7afec8bb1d74d2a41931b93ff/ORIGINAL.jpeg</t>
  </si>
  <si>
    <t>https://d3ls91xgksobn.cloudfront.net/1200x900/etuovimedia/images/property/import/793/2399793/0e76b9541118d347871c0e0e51d244c4/08bbb1e7afec8bb1d74d2a41931b93ff/ORIGINAL.jpeg</t>
  </si>
  <si>
    <t>https://d3ls91xgksobn.cloudfront.net/1200x900/etuovimedia/images/property/import/793/2399793/0e76b9541118d347871c0e0e51d244c4/fb3fc345faa9d34f72cb574404956dc5/ORIGINAL.jpeg</t>
  </si>
  <si>
    <t>https://d3ls91xgksobn.cloudfront.net/1200x900/etuovimedia/images/property/import/793/2399793/0e76b9541118d347871c0e0e51d244c4/2cfe48f7fed1e809917c823ac1c26138/ORIGINAL.jpeg</t>
  </si>
  <si>
    <t>2399793</t>
  </si>
  <si>
    <t>https://www.etuovi.com/kohde/80470766</t>
  </si>
  <si>
    <t>2025-11-21</t>
  </si>
  <si>
    <t>3h, k, kph, erill.wc, vh, varasto</t>
  </si>
  <si>
    <t>2026-06-10T14:04:22.270Z</t>
  </si>
  <si>
    <t>Row House (Rivitalo) — 3h, k, kph, erill.wc, vh, varasto — 75 m² — Vuorentausta Ylöjärvi</t>
  </si>
  <si>
    <t>Jahtimestarintie 3 Lippajärvi Espoo</t>
  </si>
  <si>
    <t>Jahtimestarintie 3</t>
  </si>
  <si>
    <t>2782</t>
  </si>
  <si>
    <t>REMAX Casa Alto | Grand yhtiöt Oy</t>
  </si>
  <si>
    <t>Risto Karjalainen</t>
  </si>
  <si>
    <t>80506102</t>
  </si>
  <si>
    <t>https://d3ls91xgksobn.cloudfront.net/400x300/etuovimedia/images/property/import/738/2608738/0e76b9541118d347871c0e0e51d244c4/abad02e0ccc876c2deec4b961b6eda85/ORIGINAL.jpeg</t>
  </si>
  <si>
    <t>https://d3ls91xgksobn.cloudfront.net/1200x900/etuovimedia/images/property/import/738/2608738/0e76b9541118d347871c0e0e51d244c4/abad02e0ccc876c2deec4b961b6eda85/ORIGINAL.jpeg</t>
  </si>
  <si>
    <t>https://d3ls91xgksobn.cloudfront.net/1200x900/etuovimedia/images/property/import/738/2608738/0e76b9541118d347871c0e0e51d244c4/c9424ef3affeeebb476679ab11a3ee77/ORIGINAL.jpeg</t>
  </si>
  <si>
    <t>2608738</t>
  </si>
  <si>
    <t>https://www.etuovi.com/kohde/80506102</t>
  </si>
  <si>
    <t>3h + keittiö + kph + wc + sauna + terassi + autotalli</t>
  </si>
  <si>
    <t>2026-06-10T14:04:22.289Z</t>
  </si>
  <si>
    <t>Detached House (Omakotitalo) — 3h + keittiö + kph + wc + sauna + terassi + autotalli — 81.5 m² — Lippajärvi Espoo</t>
  </si>
  <si>
    <t>Reivikuja 3 Laurinlahti, Espoonlahden keskus, Espoonlahti Espoo</t>
  </si>
  <si>
    <t>Reivikuja 3</t>
  </si>
  <si>
    <t>Laurinlahti, Espoonlahden keskus, Espoonlahti Espoo</t>
  </si>
  <si>
    <t>Laurinlahti, Espoonlahden keskus, Espoonlahti</t>
  </si>
  <si>
    <t>80511346</t>
  </si>
  <si>
    <t>https://d3ls91xgksobn.cloudfront.net/400x300/etuovimedia/images/property/import/737/2608737/0e76b9541118d347871c0e0e51d244c4/d7489182e5f35baa09e2a161005ec169/ORIGINAL.jpeg</t>
  </si>
  <si>
    <t>https://d3ls91xgksobn.cloudfront.net/1200x900/etuovimedia/images/property/import/737/2608737/0e76b9541118d347871c0e0e51d244c4/d7489182e5f35baa09e2a161005ec169/ORIGINAL.jpeg</t>
  </si>
  <si>
    <t>https://d3ls91xgksobn.cloudfront.net/1200x900/etuovimedia/images/property/import/737/2608737/0e76b9541118d347871c0e0e51d244c4/4175e6d40152215d349605f283dbbca2/ORIGINAL.jpeg</t>
  </si>
  <si>
    <t>2608737</t>
  </si>
  <si>
    <t>https://www.etuovi.com/kohde/80511346</t>
  </si>
  <si>
    <t>347 000 €</t>
  </si>
  <si>
    <t>4h + keittiö + ruokailutila + vh + kph + 2wc + sauna + parveke</t>
  </si>
  <si>
    <t>2026-06-10T14:04:22.324Z</t>
  </si>
  <si>
    <t>Semi-detached (Paritalo) — 4h + keittiö + ruokailutila + vh + kph + 2wc + sauna + parveke — 112 m² — Laurinlahti, Espoonlahden keskus, Espoonlahti Espoo</t>
  </si>
  <si>
    <t>Salonsaarentie 455 Salonsaari Asikkala</t>
  </si>
  <si>
    <t>Salonsaarentie 455</t>
  </si>
  <si>
    <t>Salonsaari Asikkala</t>
  </si>
  <si>
    <t>2812</t>
  </si>
  <si>
    <t>Tunne Kodit LKV</t>
  </si>
  <si>
    <t>http://www.tunnekodit.fi</t>
  </si>
  <si>
    <t>Laurila Hannele</t>
  </si>
  <si>
    <t>Salonsaari</t>
  </si>
  <si>
    <t>21594398</t>
  </si>
  <si>
    <t>https://d3ls91xgksobn.cloudfront.net/400x300/etuovimedia/images/property/import/735/2608735/0e76b9541118d347871c0e0e51d244c4/366911022a5e17b869329270c2043c24/ORIGINAL.jpeg</t>
  </si>
  <si>
    <t>https://d3ls91xgksobn.cloudfront.net/1200x900/etuovimedia/images/property/import/735/2608735/0e76b9541118d347871c0e0e51d244c4/366911022a5e17b869329270c2043c24/ORIGINAL.jpeg</t>
  </si>
  <si>
    <t>https://d3ls91xgksobn.cloudfront.net/1200x900/etuovimedia/images/property/import/735/2608735/0e76b9541118d347871c0e0e51d244c4/b78490f94aa26b8c98f263e155ef0f24/ORIGINAL.jpeg</t>
  </si>
  <si>
    <t>2608735</t>
  </si>
  <si>
    <t>https://www.etuovi.com/kohde/21594398</t>
  </si>
  <si>
    <t>2h, tupak, kph, s, wc, tk, at, lasit.veranta</t>
  </si>
  <si>
    <t>2026-06-10T14:04:22.362Z</t>
  </si>
  <si>
    <t>Detached House (Omakotitalo) — 2h, tupak, kph, s, wc, tk, at, lasit.veranta — 62 m² — Salonsaari Asikkala</t>
  </si>
  <si>
    <t>159 900 €</t>
  </si>
  <si>
    <t>Parraspolku 12 Karisto Lahti</t>
  </si>
  <si>
    <t>Parraspolku 12</t>
  </si>
  <si>
    <t>Karisto Lahti</t>
  </si>
  <si>
    <t>Karisto</t>
  </si>
  <si>
    <t>80472468</t>
  </si>
  <si>
    <t>https://d3ls91xgksobn.cloudfront.net/400x300/etuovimedia/images/property/import/712/2608712/0e76b9541118d347871c0e0e51d244c4/406d2740e632c66015b24f7c0b733561/ORIGINAL.jpeg</t>
  </si>
  <si>
    <t>https://d3ls91xgksobn.cloudfront.net/1200x900/etuovimedia/images/property/import/712/2608712/0e76b9541118d347871c0e0e51d244c4/406d2740e632c66015b24f7c0b733561/ORIGINAL.jpeg</t>
  </si>
  <si>
    <t>https://d3ls91xgksobn.cloudfront.net/1200x900/etuovimedia/images/property/import/712/2608712/0e76b9541118d347871c0e0e51d244c4/81d633e66af68c94fa6ddc19255bae0c/ORIGINAL.jpeg</t>
  </si>
  <si>
    <t>https://d3ls91xgksobn.cloudfront.net/1200x900/etuovimedia/images/property/import/712/2608712/0e76b9541118d347871c0e0e51d244c4/71acf14457adc61fc8a662bce19db3ea/ORIGINAL.jpeg</t>
  </si>
  <si>
    <t>2608712</t>
  </si>
  <si>
    <t>https://www.etuovi.com/kohde/80472468</t>
  </si>
  <si>
    <t>4 h, k, kph, s, khh, wc x 2, vh x 2, th, aula, parveke, terassi, autovaja</t>
  </si>
  <si>
    <t>2026-06-10T14:04:24.951Z</t>
  </si>
  <si>
    <t>Detached House (Omakotitalo) — 4 h, k, kph, s, khh, wc x 2, vh x 2, th, aula, parveke, terassi, autovaja — 143 m² — Karisto Lahti</t>
  </si>
  <si>
    <t>Nallenpolku 1 Karhuvuori Seinäjoki</t>
  </si>
  <si>
    <t>Nallenpolku 1</t>
  </si>
  <si>
    <t>Karhuvuori Seinäjoki</t>
  </si>
  <si>
    <t>Karhuvuori</t>
  </si>
  <si>
    <t>20275713</t>
  </si>
  <si>
    <t>https://d3ls91xgksobn.cloudfront.net/400x300/etuovimedia/images/property/import/772/2006772/0e76b9541118d347871c0e0e51d244c4/7285ffdfebaa605c9c88c0a79587164a/ORIGINAL.jpeg</t>
  </si>
  <si>
    <t>https://d3ls91xgksobn.cloudfront.net/1200x900/etuovimedia/images/property/import/772/2006772/0e76b9541118d347871c0e0e51d244c4/7285ffdfebaa605c9c88c0a79587164a/ORIGINAL.jpeg</t>
  </si>
  <si>
    <t>2006772</t>
  </si>
  <si>
    <t>https://www.etuovi.com/kohde/20275713</t>
  </si>
  <si>
    <t>2024-10-19</t>
  </si>
  <si>
    <t>2026-06-10T14:04:25.081Z</t>
  </si>
  <si>
    <t>Row House (Rivitalo) — 4h + k + s — 80.5 m² — Karhuvuori Seinäjoki</t>
  </si>
  <si>
    <t>Heinämiehentie 8 Rantavitikka Rovaniemi</t>
  </si>
  <si>
    <t>Heinämiehentie 8</t>
  </si>
  <si>
    <t>3216</t>
  </si>
  <si>
    <t>Rakennusliike Jouko Pesonen Oy</t>
  </si>
  <si>
    <t>https://www.rakennusliikepesonen.fi/</t>
  </si>
  <si>
    <t>48716264</t>
  </si>
  <si>
    <t>https://d3ls91xgksobn.cloudfront.net/400x300/etuovimedia/images/property/import/709/2608709/0e76b9541118d347871c0e0e51d244c4/0a0772ebcb7927d1fc5d66e1d88c7a0e/ORIGINAL.jpeg</t>
  </si>
  <si>
    <t>https://d3ls91xgksobn.cloudfront.net/1200x900/etuovimedia/images/property/import/709/2608709/0e76b9541118d347871c0e0e51d244c4/0a0772ebcb7927d1fc5d66e1d88c7a0e/ORIGINAL.jpeg</t>
  </si>
  <si>
    <t>2608709</t>
  </si>
  <si>
    <t>https://www.etuovi.com/kohde/48716264</t>
  </si>
  <si>
    <t>2026-06-10T14:04:25.113Z</t>
  </si>
  <si>
    <t>Apartment (Kerrostalo) — 3h, k, s — 66.5 m² — Rantavitikka Rovaniemi</t>
  </si>
  <si>
    <t>Lempinkuja 7 Säästökallio Aura</t>
  </si>
  <si>
    <t>Lempinkuja 7</t>
  </si>
  <si>
    <t>Säästökallio Aura</t>
  </si>
  <si>
    <t>Christian Carpelan</t>
  </si>
  <si>
    <t>Säästökallio</t>
  </si>
  <si>
    <t>80508236</t>
  </si>
  <si>
    <t>https://d3ls91xgksobn.cloudfront.net/400x300/etuovimedia/images/property/import/705/2608705/0e76b9541118d347871c0e0e51d244c4/4b9b4f1e885faa87b701e9e3f04cc031/ORIGINAL.jpeg</t>
  </si>
  <si>
    <t>https://d3ls91xgksobn.cloudfront.net/1200x900/etuovimedia/images/property/import/705/2608705/0e76b9541118d347871c0e0e51d244c4/4b9b4f1e885faa87b701e9e3f04cc031/ORIGINAL.jpeg</t>
  </si>
  <si>
    <t>https://d3ls91xgksobn.cloudfront.net/1200x900/etuovimedia/images/property/import/705/2608705/0e76b9541118d347871c0e0e51d244c4/4f087501a53205acefdfdae572ee57c8/ORIGINAL.jpeg</t>
  </si>
  <si>
    <t>https://d3ls91xgksobn.cloudfront.net/1200x900/etuovimedia/images/property/import/705/2608705/0e76b9541118d347871c0e0e51d244c4/483e995274f20bc11fe9690f3de11cbb/ORIGINAL.jpeg</t>
  </si>
  <si>
    <t>2608705</t>
  </si>
  <si>
    <t>https://www.etuovi.com/kohde/80508236</t>
  </si>
  <si>
    <t>2026-06-09</t>
  </si>
  <si>
    <t>4h + k + s + ph + khh + 2wc + 2vh</t>
  </si>
  <si>
    <t>2026-06-10T14:04:25.128Z</t>
  </si>
  <si>
    <t>Detached House (Omakotitalo) — 4h + k + s + ph + khh + 2wc + 2vh — 115 m² — Säästökallio Aura</t>
  </si>
  <si>
    <t>Pursikatu 6 as Ota Rauma</t>
  </si>
  <si>
    <t>Pursikatu 6 as</t>
  </si>
  <si>
    <t>Ota Rauma</t>
  </si>
  <si>
    <t>406</t>
  </si>
  <si>
    <t>OP Koti Länsi-Suomi Oy, Rauma</t>
  </si>
  <si>
    <t>Maarit Pulkkinen</t>
  </si>
  <si>
    <t>Ota</t>
  </si>
  <si>
    <t>621318</t>
  </si>
  <si>
    <t>https://d3ls91xgksobn.cloudfront.net/400x300/etuovimedia/images/property/import/704/2608704/0e76b9541118d347871c0e0e51d244c4/0cd81ba5fb96fba8de995f5b531b24ce/ORIGINAL.jpeg</t>
  </si>
  <si>
    <t>https://d3ls91xgksobn.cloudfront.net/1200x900/etuovimedia/images/property/import/704/2608704/0e76b9541118d347871c0e0e51d244c4/0cd81ba5fb96fba8de995f5b531b24ce/ORIGINAL.jpeg</t>
  </si>
  <si>
    <t>https://d3ls91xgksobn.cloudfront.net/1200x900/etuovimedia/images/property/import/704/2608704/0e76b9541118d347871c0e0e51d244c4/4fb8b48e86679bf6c2e3fffb52d95d75/ORIGINAL.jpeg</t>
  </si>
  <si>
    <t>https://d3ls91xgksobn.cloudfront.net/1200x900/etuovimedia/images/property/import/704/2608704/0e76b9541118d347871c0e0e51d244c4/13facee99a6d0b18d9019336986722c5/ORIGINAL.jpeg</t>
  </si>
  <si>
    <t>2608704</t>
  </si>
  <si>
    <t>https://www.etuovi.com/kohde/621318</t>
  </si>
  <si>
    <t>2026-06-10T14:04:25.151Z</t>
  </si>
  <si>
    <t>Apartment (Kerrostalo) — 2h, k — 57 m² — Ota Rauma</t>
  </si>
  <si>
    <t>Sorsatie 29 D Höyhtyä Oulu</t>
  </si>
  <si>
    <t>Sorsatie 29 D</t>
  </si>
  <si>
    <t>Höyhtyä Oulu</t>
  </si>
  <si>
    <t>Anu Rantasuo</t>
  </si>
  <si>
    <t>Höyhtyä</t>
  </si>
  <si>
    <t>621152</t>
  </si>
  <si>
    <t>https://d3ls91xgksobn.cloudfront.net/400x300/etuovimedia/images/property/import/703/2608703/0e76b9541118d347871c0e0e51d244c4/cc6b64a87ad7cfd163490a7521cbf4da/ORIGINAL.jpeg</t>
  </si>
  <si>
    <t>https://d3ls91xgksobn.cloudfront.net/1200x900/etuovimedia/images/property/import/703/2608703/0e76b9541118d347871c0e0e51d244c4/cc6b64a87ad7cfd163490a7521cbf4da/ORIGINAL.jpeg</t>
  </si>
  <si>
    <t>https://d3ls91xgksobn.cloudfront.net/1200x900/etuovimedia/images/property/import/703/2608703/0e76b9541118d347871c0e0e51d244c4/a1dde738e6a4e4d27ac296f0af0299d2/ORIGINAL.jpeg</t>
  </si>
  <si>
    <t>2608703</t>
  </si>
  <si>
    <t>https://www.etuovi.com/kohde/621152</t>
  </si>
  <si>
    <t>408 000 €</t>
  </si>
  <si>
    <t>3-4h + k</t>
  </si>
  <si>
    <t>2026-06-10T14:04:25.162Z</t>
  </si>
  <si>
    <t>SEPARATE_HOUSE — 3-4h + k — 109 m² — Höyhtyä Oulu</t>
  </si>
  <si>
    <t>Ajurintie 6 as Taatila Lieto</t>
  </si>
  <si>
    <t>Ajurintie 6 as</t>
  </si>
  <si>
    <t>Taatila Lieto</t>
  </si>
  <si>
    <t>Milla Survo</t>
  </si>
  <si>
    <t>Taatila</t>
  </si>
  <si>
    <t>80508573</t>
  </si>
  <si>
    <t>https://d3ls91xgksobn.cloudfront.net/400x300/etuovimedia/images/property/import/701/2608701/0e76b9541118d347871c0e0e51d244c4/fe9c8c1477876f0daf67a32f564e633b/ORIGINAL.jpeg</t>
  </si>
  <si>
    <t>https://d3ls91xgksobn.cloudfront.net/1200x900/etuovimedia/images/property/import/701/2608701/0e76b9541118d347871c0e0e51d244c4/fe9c8c1477876f0daf67a32f564e633b/ORIGINAL.jpeg</t>
  </si>
  <si>
    <t>https://d3ls91xgksobn.cloudfront.net/1200x900/etuovimedia/images/property/import/701/2608701/0e76b9541118d347871c0e0e51d244c4/cc1921326ca404d303742167e78fc336/ORIGINAL.jpeg</t>
  </si>
  <si>
    <t>2608701</t>
  </si>
  <si>
    <t>https://www.etuovi.com/kohde/80508573</t>
  </si>
  <si>
    <t>2h + k + s + vh + lasitettu parveke</t>
  </si>
  <si>
    <t>2026-06-10T14:04:25.183Z</t>
  </si>
  <si>
    <t>Apartment (Kerrostalo) — 2h + k + s + vh + lasitettu parveke — 54 m² — Taatila Lieto</t>
  </si>
  <si>
    <t>Visatie 15 Koivula Pori</t>
  </si>
  <si>
    <t>Visatie 15</t>
  </si>
  <si>
    <t>fs3449</t>
  </si>
  <si>
    <t>https://d3ls91xgksobn.cloudfront.net/400x300/etuovimedia/images/property/import/692/2608692/0e76b9541118d347871c0e0e51d244c4/f6a1812b4053da0f0c40e801c6bca05b/ORIGINAL.jpeg</t>
  </si>
  <si>
    <t>https://d3ls91xgksobn.cloudfront.net/1200x900/etuovimedia/images/property/import/692/2608692/0e76b9541118d347871c0e0e51d244c4/f6a1812b4053da0f0c40e801c6bca05b/ORIGINAL.jpeg</t>
  </si>
  <si>
    <t>2608692</t>
  </si>
  <si>
    <t>https://www.etuovi.com/kohde/fs3449</t>
  </si>
  <si>
    <t>54 900 €</t>
  </si>
  <si>
    <t>Karhukodit Oy</t>
  </si>
  <si>
    <t>1h + k + kph + lasp</t>
  </si>
  <si>
    <t>2026-06-10T14:04:25.264Z</t>
  </si>
  <si>
    <t>Apartment (Kerrostalo) — 1h + k + kph + lasp — 30 m² — Koivula Pori</t>
  </si>
  <si>
    <t>Metsäpurontie 17 F Maunula Helsinki</t>
  </si>
  <si>
    <t>Metsäpurontie 17 F</t>
  </si>
  <si>
    <t>80511247</t>
  </si>
  <si>
    <t>https://d3ls91xgksobn.cloudfront.net/400x300/etuovimedia/images/property/import/691/2608691/0e76b9541118d347871c0e0e51d244c4/d6bddbb981f988d2da667c92bfbea937/ORIGINAL.jpeg</t>
  </si>
  <si>
    <t>https://d3ls91xgksobn.cloudfront.net/1200x900/etuovimedia/images/property/import/691/2608691/0e76b9541118d347871c0e0e51d244c4/d6bddbb981f988d2da667c92bfbea937/ORIGINAL.jpeg</t>
  </si>
  <si>
    <t>2608691</t>
  </si>
  <si>
    <t>https://www.etuovi.com/kohde/80511247</t>
  </si>
  <si>
    <t>94 000 €</t>
  </si>
  <si>
    <t>2 h, kt, kh / wc, vh, p</t>
  </si>
  <si>
    <t>2026-06-10T14:04:25.286Z</t>
  </si>
  <si>
    <t>Apartment (Kerrostalo) — 2 h, kt, kh / wc, vh, p — 40.9 m² — Maunula Helsinki</t>
  </si>
  <si>
    <t>Vasamakatu 4 A Kurkela Kerava</t>
  </si>
  <si>
    <t>Vasamakatu 4 A</t>
  </si>
  <si>
    <t>Kurkela Kerava</t>
  </si>
  <si>
    <t>Sami Kangas</t>
  </si>
  <si>
    <t>Kurkela</t>
  </si>
  <si>
    <t>80514091</t>
  </si>
  <si>
    <t>https://d3ls91xgksobn.cloudfront.net/400x300/etuovimedia/images/property/import/690/2608690/0e76b9541118d347871c0e0e51d244c4/78af8dc32002081a03f5fce0071b7de4/ORIGINAL.jpeg</t>
  </si>
  <si>
    <t>https://d3ls91xgksobn.cloudfront.net/1200x900/etuovimedia/images/property/import/690/2608690/0e76b9541118d347871c0e0e51d244c4/78af8dc32002081a03f5fce0071b7de4/ORIGINAL.jpeg</t>
  </si>
  <si>
    <t>https://d3ls91xgksobn.cloudfront.net/1200x900/etuovimedia/images/property/import/690/2608690/0e76b9541118d347871c0e0e51d244c4/d06d0ddd5bef59ae579a503b7c1a811b/ORIGINAL.jpeg</t>
  </si>
  <si>
    <t>https://d3ls91xgksobn.cloudfront.net/1200x900/etuovimedia/images/property/import/690/2608690/0e76b9541118d347871c0e0e51d244c4/7816136157db6542d32d283a5f90bd08/ORIGINAL.jpeg</t>
  </si>
  <si>
    <t>2608690</t>
  </si>
  <si>
    <t>https://www.etuovi.com/kohde/80514091</t>
  </si>
  <si>
    <t>4-5h, k, 2*wc, vh, kph, s + parveke ja piha</t>
  </si>
  <si>
    <t>2026-06-10T14:04:25.352Z</t>
  </si>
  <si>
    <t>Row House (Rivitalo) — 4-5h, k, 2*wc, vh, kph, s + parveke ja piha — 106 m² — Kurkela Kerava</t>
  </si>
  <si>
    <t>Rauhankatu 9 as Kirjavatolppa Hyvinkää</t>
  </si>
  <si>
    <t>Rauhankatu 9 as</t>
  </si>
  <si>
    <t>4633</t>
  </si>
  <si>
    <t>Roof LKV Keski-Uusimaa Oy | Hyvinkää</t>
  </si>
  <si>
    <t>80513478</t>
  </si>
  <si>
    <t>https://d3ls91xgksobn.cloudfront.net/400x300/etuovimedia/images/property/import/689/2608689/0e76b9541118d347871c0e0e51d244c4/eff3affd94ab8cdcdadc4ce07b1e8017/ORIGINAL.jpeg</t>
  </si>
  <si>
    <t>https://d3ls91xgksobn.cloudfront.net/1200x900/etuovimedia/images/property/import/689/2608689/0e76b9541118d347871c0e0e51d244c4/eff3affd94ab8cdcdadc4ce07b1e8017/ORIGINAL.jpeg</t>
  </si>
  <si>
    <t>2608689</t>
  </si>
  <si>
    <t>https://www.etuovi.com/kohde/80513478</t>
  </si>
  <si>
    <t>5h, k, kph / wc, kph, s, wc, parv, katettu terassi</t>
  </si>
  <si>
    <t>2026-06-10T14:04:25.376Z</t>
  </si>
  <si>
    <t>Row House (Rivitalo) — 5h, k, kph / wc, kph, s, wc, parv, katettu terassi — 108 m² — Kirjavatolppa Hyvinkää</t>
  </si>
  <si>
    <t>Virastotie 5 A Salpakangas Hollola</t>
  </si>
  <si>
    <t>Virastotie 5 A</t>
  </si>
  <si>
    <t>Salpakangas Hollola</t>
  </si>
  <si>
    <t>Salpakangas</t>
  </si>
  <si>
    <t>80515718</t>
  </si>
  <si>
    <t>https://d3ls91xgksobn.cloudfront.net/400x300/etuovimedia/images/property/import/687/2608687/0e76b9541118d347871c0e0e51d244c4/1e26a1f6b6802d2be7b0a3803f1daf6d/ORIGINAL.jpeg</t>
  </si>
  <si>
    <t>https://d3ls91xgksobn.cloudfront.net/1200x900/etuovimedia/images/property/import/687/2608687/0e76b9541118d347871c0e0e51d244c4/1e26a1f6b6802d2be7b0a3803f1daf6d/ORIGINAL.jpeg</t>
  </si>
  <si>
    <t>https://d3ls91xgksobn.cloudfront.net/1200x900/etuovimedia/images/property/import/687/2608687/0e76b9541118d347871c0e0e51d244c4/a229decfc9e92f5d0a214fc794e58176/ORIGINAL.jpeg</t>
  </si>
  <si>
    <t>2608687</t>
  </si>
  <si>
    <t>https://www.etuovi.com/kohde/80515718</t>
  </si>
  <si>
    <t>2h, k, kph / khh, s, p</t>
  </si>
  <si>
    <t>2026-06-10T14:04:25.397Z</t>
  </si>
  <si>
    <t>Apartment (Kerrostalo) — 2h, k, kph / khh, s, p — 57 m² — Salpakangas Hollola</t>
  </si>
  <si>
    <t>Pitkäkatu 1 A Mustola Lappeenranta</t>
  </si>
  <si>
    <t>Pitkäkatu 1 A</t>
  </si>
  <si>
    <t>Mustola Lappeenranta</t>
  </si>
  <si>
    <t>4634</t>
  </si>
  <si>
    <t>Aitoasunnot Lappeenranta | Palhomaa Oy</t>
  </si>
  <si>
    <t>Arja Vaittinen</t>
  </si>
  <si>
    <t>Mustola</t>
  </si>
  <si>
    <t>67471447</t>
  </si>
  <si>
    <t>https://d3ls91xgksobn.cloudfront.net/400x300/etuovimedia/images/property/import/686/2608686/0e76b9541118d347871c0e0e51d244c4/1d90dcb839f9cb4f0066f92c665408ef/ORIGINAL.png</t>
  </si>
  <si>
    <t>https://d3ls91xgksobn.cloudfront.net/1200x900/etuovimedia/images/property/import/686/2608686/0e76b9541118d347871c0e0e51d244c4/1d90dcb839f9cb4f0066f92c665408ef/ORIGINAL.png</t>
  </si>
  <si>
    <t>https://d3ls91xgksobn.cloudfront.net/1200x900/etuovimedia/images/property/import/686/2608686/0e76b9541118d347871c0e0e51d244c4/962d5197326209d0b49d80699d48b9c3/ORIGINAL.jpeg</t>
  </si>
  <si>
    <t>https://d3ls91xgksobn.cloudfront.net/1200x900/etuovimedia/images/property/import/686/2608686/0e76b9541118d347871c0e0e51d244c4/ae7d4ea3ec86a4f018a71cb145256d38/ORIGINAL.jpeg</t>
  </si>
  <si>
    <t>2608686</t>
  </si>
  <si>
    <t>https://www.etuovi.com/kohde/67471447</t>
  </si>
  <si>
    <t>125 000 €</t>
  </si>
  <si>
    <t>4h, k, s, wc, khh, ak, var,</t>
  </si>
  <si>
    <t>2026-06-10T14:04:25.454Z</t>
  </si>
  <si>
    <t>Detached House (Omakotitalo) — 4h, k, s, wc, khh, ak, var,  — 119 m² — Mustola Lappeenranta</t>
  </si>
  <si>
    <t>Pulkkilantie 1293 Pulkkila Asikkala</t>
  </si>
  <si>
    <t>Pulkkilantie 1293</t>
  </si>
  <si>
    <t>Pulkkila Asikkala</t>
  </si>
  <si>
    <t>Pulkkila</t>
  </si>
  <si>
    <t>21256539</t>
  </si>
  <si>
    <t>https://d3ls91xgksobn.cloudfront.net/400x300/etuovimedia/images/property/import/683/2608683/0e76b9541118d347871c0e0e51d244c4/5e8659af6f798a950123ea277c7250a8/ORIGINAL.jpeg</t>
  </si>
  <si>
    <t>https://d3ls91xgksobn.cloudfront.net/1200x900/etuovimedia/images/property/import/683/2608683/0e76b9541118d347871c0e0e51d244c4/5e8659af6f798a950123ea277c7250a8/ORIGINAL.jpeg</t>
  </si>
  <si>
    <t>https://d3ls91xgksobn.cloudfront.net/1200x900/etuovimedia/images/property/import/683/2608683/0e76b9541118d347871c0e0e51d244c4/c4ac0f20aa1abc0bf04e3e5e6325b4c9/ORIGINAL.jpeg</t>
  </si>
  <si>
    <t>2608683</t>
  </si>
  <si>
    <t>https://www.etuovi.com/kohde/21256539</t>
  </si>
  <si>
    <t>540 000 €</t>
  </si>
  <si>
    <t>oh / k, s, kph / wc, aula, 2mh, khh, wc, tk</t>
  </si>
  <si>
    <t>2026-06-10T14:04:25.481Z</t>
  </si>
  <si>
    <t>Detached House (Omakotitalo) — oh / k, s, kph / wc, aula, 2mh, khh, wc, tk — 88 m² — Pulkkila Asikkala</t>
  </si>
  <si>
    <t>Matintie 12-14 As Koskenranta Mäntsälä</t>
  </si>
  <si>
    <t>Matintie 12-14 As</t>
  </si>
  <si>
    <t>Koskenranta Mäntsälä</t>
  </si>
  <si>
    <t>499</t>
  </si>
  <si>
    <t>REMAX Eximas | Eximas Oy LKV</t>
  </si>
  <si>
    <t>Minna Berglund</t>
  </si>
  <si>
    <t>Koskenranta</t>
  </si>
  <si>
    <t>80511220</t>
  </si>
  <si>
    <t>https://d3ls91xgksobn.cloudfront.net/400x300/etuovimedia/images/property/import/680/2608680/0e76b9541118d347871c0e0e51d244c4/17c9974446c5b1a69cc21c7b6f90f8ba/ORIGINAL.jpeg</t>
  </si>
  <si>
    <t>https://d3ls91xgksobn.cloudfront.net/1200x900/etuovimedia/images/property/import/680/2608680/0e76b9541118d347871c0e0e51d244c4/17c9974446c5b1a69cc21c7b6f90f8ba/ORIGINAL.jpeg</t>
  </si>
  <si>
    <t>https://d3ls91xgksobn.cloudfront.net/1200x900/etuovimedia/images/property/import/680/2608680/0e76b9541118d347871c0e0e51d244c4/39e903d0a38100d3986f25358331631c/ORIGINAL.jpeg</t>
  </si>
  <si>
    <t>https://d3ls91xgksobn.cloudfront.net/1200x900/etuovimedia/images/property/import/680/2608680/0e76b9541118d347871c0e0e51d244c4/b6323d4b14e54c63fc1844f7483e25b6/ORIGINAL.jpeg</t>
  </si>
  <si>
    <t>2608680</t>
  </si>
  <si>
    <t>https://www.etuovi.com/kohde/80511220</t>
  </si>
  <si>
    <t>2026-06-10T14:04:25.551Z</t>
  </si>
  <si>
    <t>Row House (Rivitalo) — 3h, k, s — 79 m² — Koskenranta Mäntsälä</t>
  </si>
  <si>
    <t>Tukholmankatu 13 Meilahti Helsinki</t>
  </si>
  <si>
    <t>Tukholmankatu 13</t>
  </si>
  <si>
    <t>Meilahti Helsinki</t>
  </si>
  <si>
    <t>Meilahti</t>
  </si>
  <si>
    <t>21901332</t>
  </si>
  <si>
    <t>https://d3ls91xgksobn.cloudfront.net/400x300/etuovimedia/images/property/import/675/2608675/0e76b9541118d347871c0e0e51d244c4/e7ecaf3ac3f0c07a1b6516bc1603cf4e/ORIGINAL.jpeg</t>
  </si>
  <si>
    <t>https://d3ls91xgksobn.cloudfront.net/1200x900/etuovimedia/images/property/import/675/2608675/0e76b9541118d347871c0e0e51d244c4/e7ecaf3ac3f0c07a1b6516bc1603cf4e/ORIGINAL.jpeg</t>
  </si>
  <si>
    <t>2608675</t>
  </si>
  <si>
    <t>https://www.etuovi.com/kohde/21901332</t>
  </si>
  <si>
    <t>4h + k + kph + erillinen wc + parveke (yhtiöjärjestyksen mukaan 3 h + palv.h. + k + kph)</t>
  </si>
  <si>
    <t>2026-06-10T14:04:25.578Z</t>
  </si>
  <si>
    <t>Apartment (Kerrostalo) — 4h + k + kph + erillinen wc + parveke (yhtiöjärjestyksen mukaan 3 h + palv.h. + k + kph) — 76 m² — Meilahti Helsinki</t>
  </si>
  <si>
    <t>Pitkäkatu 49 Keskusta Vaasa</t>
  </si>
  <si>
    <t>Pitkäkatu 49</t>
  </si>
  <si>
    <t>3658</t>
  </si>
  <si>
    <t>Kiinteistömaailma Vaasa | Merenkurkun Välittäjät Oy</t>
  </si>
  <si>
    <t>Jarmo Matikainen</t>
  </si>
  <si>
    <t>36882702</t>
  </si>
  <si>
    <t>https://d3ls91xgksobn.cloudfront.net/400x300/etuovimedia/images/property/import/674/2608674/0e76b9541118d347871c0e0e51d244c4/8a2d9fe62858f1608ebb52fc88a42a07/ORIGINAL.jpeg</t>
  </si>
  <si>
    <t>https://d3ls91xgksobn.cloudfront.net/1200x900/etuovimedia/images/property/import/674/2608674/0e76b9541118d347871c0e0e51d244c4/8a2d9fe62858f1608ebb52fc88a42a07/ORIGINAL.jpeg</t>
  </si>
  <si>
    <t>https://d3ls91xgksobn.cloudfront.net/1200x900/etuovimedia/images/property/import/674/2608674/0e76b9541118d347871c0e0e51d244c4/3e2fa591c76a4e43d53077bcdbe55320/ORIGINAL.jpeg</t>
  </si>
  <si>
    <t>2608674</t>
  </si>
  <si>
    <t>https://www.etuovi.com/kohde/36882702</t>
  </si>
  <si>
    <t>178 000 €</t>
  </si>
  <si>
    <t>2h + kt, las.p</t>
  </si>
  <si>
    <t>2026-06-10T14:04:25.654Z</t>
  </si>
  <si>
    <t>Apartment (Kerrostalo) — 2h + kt, las.p — 37 m² — Keskusta Vaasa</t>
  </si>
  <si>
    <t>Haukkaranta 18 Haukkala Jyväskylä</t>
  </si>
  <si>
    <t>Haukkaranta 18</t>
  </si>
  <si>
    <t>Haukkala Jyväskylä</t>
  </si>
  <si>
    <t>Markus Tammiruusu</t>
  </si>
  <si>
    <t>Haukkala</t>
  </si>
  <si>
    <t>80496612</t>
  </si>
  <si>
    <t>https://d3ls91xgksobn.cloudfront.net/400x300/etuovimedia/images/property/import/673/2608673/0e76b9541118d347871c0e0e51d244c4/ccb47d9d8d18c71bcfb69b1d2fcac1f1/ORIGINAL.jpeg</t>
  </si>
  <si>
    <t>https://d3ls91xgksobn.cloudfront.net/1200x900/etuovimedia/images/property/import/673/2608673/0e76b9541118d347871c0e0e51d244c4/ccb47d9d8d18c71bcfb69b1d2fcac1f1/ORIGINAL.jpeg</t>
  </si>
  <si>
    <t>https://d3ls91xgksobn.cloudfront.net/1200x900/etuovimedia/images/property/import/673/2608673/0e76b9541118d347871c0e0e51d244c4/8176761c4b2dc4cc86c7617c2db59575/ORIGINAL.jpeg</t>
  </si>
  <si>
    <t>https://d3ls91xgksobn.cloudfront.net/1200x900/etuovimedia/images/property/import/673/2608673/0e76b9541118d347871c0e0e51d244c4/69d4e3ce7cdb5b7c080a1273d1f7f13a/ORIGINAL.jpeg</t>
  </si>
  <si>
    <t>2608673</t>
  </si>
  <si>
    <t>https://www.etuovi.com/kohde/80496612</t>
  </si>
  <si>
    <t>549 000 €</t>
  </si>
  <si>
    <t>5mh + 2oh + k + rt + khh + 2kh + s + 3wc + parvi + at</t>
  </si>
  <si>
    <t>2026-06-10T14:04:25.676Z</t>
  </si>
  <si>
    <t>Detached House (Omakotitalo) — 5mh + 2oh + k + rt + khh + 2kh + s + 3wc + parvi + at — 197 m² — Haukkala Jyväskylä</t>
  </si>
  <si>
    <t>Ilmijärventie 64 Tuomaala Kokemäki</t>
  </si>
  <si>
    <t>Ilmijärventie 64</t>
  </si>
  <si>
    <t>Tuomaala Kokemäki</t>
  </si>
  <si>
    <t>Tuomaala</t>
  </si>
  <si>
    <t>80513315</t>
  </si>
  <si>
    <t>https://d3ls91xgksobn.cloudfront.net/400x300/etuovimedia/images/property/import/672/2608672/0e76b9541118d347871c0e0e51d244c4/f1cb313c895f90da3caf8ebd036acfdf/ORIGINAL.jpeg</t>
  </si>
  <si>
    <t>https://d3ls91xgksobn.cloudfront.net/1200x900/etuovimedia/images/property/import/672/2608672/0e76b9541118d347871c0e0e51d244c4/f1cb313c895f90da3caf8ebd036acfdf/ORIGINAL.jpeg</t>
  </si>
  <si>
    <t>2608672</t>
  </si>
  <si>
    <t>https://www.etuovi.com/kohde/80513315</t>
  </si>
  <si>
    <t>4mh + oh + takkah + k + aula + ph + s + wc + 2vh + 2eteistä</t>
  </si>
  <si>
    <t>2026-06-10T14:04:25.793Z</t>
  </si>
  <si>
    <t>Detached House (Omakotitalo) — 4mh + oh + takkah + k + aula + ph + s + wc + 2vh + 2eteistä — 150 m² — Tuomaala Kokemäki</t>
  </si>
  <si>
    <t>Rosalankuja 2 Kruunuvuorenranta Helsinki</t>
  </si>
  <si>
    <t>Rosalankuja 2</t>
  </si>
  <si>
    <t>1013</t>
  </si>
  <si>
    <t>Kiinteistömaailma Helsinki Pakila-Paloheinä | LKV Autero Oy</t>
  </si>
  <si>
    <t>38146070</t>
  </si>
  <si>
    <t>https://d3ls91xgksobn.cloudfront.net/400x300/etuovimedia/images/property/import/670/2608670/0e76b9541118d347871c0e0e51d244c4/ff660b57ab8e582412467b405a1cb57b/ORIGINAL.jpeg</t>
  </si>
  <si>
    <t>https://d3ls91xgksobn.cloudfront.net/1200x900/etuovimedia/images/property/import/670/2608670/0e76b9541118d347871c0e0e51d244c4/ff660b57ab8e582412467b405a1cb57b/ORIGINAL.jpeg</t>
  </si>
  <si>
    <t>2608670</t>
  </si>
  <si>
    <t>https://www.etuovi.com/kohde/38146070</t>
  </si>
  <si>
    <t>1h, avok, lasitettu parveke</t>
  </si>
  <si>
    <t>2026-06-10T14:04:25.815Z</t>
  </si>
  <si>
    <t>Apartment (Kerrostalo) — 1h, avok, lasitettu parveke — 33.5 m² — Kruunuvuorenranta Helsinki</t>
  </si>
  <si>
    <t>Kangaskatu 16 Pitkäjärvi Mikkeli</t>
  </si>
  <si>
    <t>Kangaskatu 16</t>
  </si>
  <si>
    <t>51964484</t>
  </si>
  <si>
    <t>https://d3ls91xgksobn.cloudfront.net/400x300/etuovimedia/images/property/import/660/2608660/0e76b9541118d347871c0e0e51d244c4/bb485917c06b4057856388470d141dec/ORIGINAL.jpeg</t>
  </si>
  <si>
    <t>https://d3ls91xgksobn.cloudfront.net/1200x900/etuovimedia/images/property/import/660/2608660/0e76b9541118d347871c0e0e51d244c4/bb485917c06b4057856388470d141dec/ORIGINAL.jpeg</t>
  </si>
  <si>
    <t>https://d3ls91xgksobn.cloudfront.net/1200x900/etuovimedia/images/property/import/660/2608660/0e76b9541118d347871c0e0e51d244c4/6578a4fa88bb9a259711db5aa1a7eb3d/ORIGINAL.jpeg</t>
  </si>
  <si>
    <t>https://d3ls91xgksobn.cloudfront.net/1200x900/etuovimedia/images/property/import/660/2608660/0e76b9541118d347871c0e0e51d244c4/af01d5b70a4a6b2483536655fa0e4337/ORIGINAL.jpeg</t>
  </si>
  <si>
    <t>2608660</t>
  </si>
  <si>
    <t>https://www.etuovi.com/kohde/51964484</t>
  </si>
  <si>
    <t>Oh, k, 3mh, khh, kph, 2x eril.wc, ter + rantasauna</t>
  </si>
  <si>
    <t>2026-06-10T14:04:25.887Z</t>
  </si>
  <si>
    <t>Detached House (Omakotitalo) — Oh, k, 3mh, khh, kph, 2x eril.wc, ter + rantasauna — 139 m² — Pitkäjärvi Mikkeli</t>
  </si>
  <si>
    <t>Suvilahdenkatu 1 Sörnäinen Helsinki</t>
  </si>
  <si>
    <t>Suvilahdenkatu 1</t>
  </si>
  <si>
    <t>Sörnäinen Helsinki</t>
  </si>
  <si>
    <t>Sörnäinen</t>
  </si>
  <si>
    <t>46961695</t>
  </si>
  <si>
    <t>https://d3ls91xgksobn.cloudfront.net/400x300/etuovimedia/images/property/import/659/2608659/0e76b9541118d347871c0e0e51d244c4/5cef1db71705049d126b0c53eedb8dc4/ORIGINAL.jpeg</t>
  </si>
  <si>
    <t>https://d3ls91xgksobn.cloudfront.net/1200x900/etuovimedia/images/property/import/659/2608659/0e76b9541118d347871c0e0e51d244c4/5cef1db71705049d126b0c53eedb8dc4/ORIGINAL.jpeg</t>
  </si>
  <si>
    <t>2608659</t>
  </si>
  <si>
    <t>https://www.etuovi.com/kohde/46961695</t>
  </si>
  <si>
    <t>2026-06-10T14:04:25.904Z</t>
  </si>
  <si>
    <t>Apartment (Kerrostalo) — 2h + avok + kph — 43 m² — Sörnäinen Helsinki</t>
  </si>
  <si>
    <t>Kaksostentie 6 L Siltamäki Helsinki</t>
  </si>
  <si>
    <t>Kaksostentie 6 L</t>
  </si>
  <si>
    <t>Siltamäki Helsinki</t>
  </si>
  <si>
    <t>Siltamäki</t>
  </si>
  <si>
    <t>80509196</t>
  </si>
  <si>
    <t>https://d3ls91xgksobn.cloudfront.net/400x300/etuovimedia/images/property/import/658/2608658/0e76b9541118d347871c0e0e51d244c4/9e95c74310128482a9106413f5f613fc/ORIGINAL.jpeg</t>
  </si>
  <si>
    <t>https://d3ls91xgksobn.cloudfront.net/1200x900/etuovimedia/images/property/import/658/2608658/0e76b9541118d347871c0e0e51d244c4/9e95c74310128482a9106413f5f613fc/ORIGINAL.jpeg</t>
  </si>
  <si>
    <t>2608658</t>
  </si>
  <si>
    <t>https://www.etuovi.com/kohde/80509196</t>
  </si>
  <si>
    <t>2h + kk + kph + vh + lasit.parveke + piha</t>
  </si>
  <si>
    <t>2026-06-10T14:04:27.902Z</t>
  </si>
  <si>
    <t>Apartment (Kerrostalo) — 2h + kk + kph + vh + lasit.parveke + piha — 50 m² — Siltamäki Helsinki</t>
  </si>
  <si>
    <t>Vaahterakuja 3 Tikkakoski Jyväskylä</t>
  </si>
  <si>
    <t>Vaahterakuja 3</t>
  </si>
  <si>
    <t>Saleva Antti</t>
  </si>
  <si>
    <t>1996</t>
  </si>
  <si>
    <t>21916433</t>
  </si>
  <si>
    <t>https://d3ls91xgksobn.cloudfront.net/400x300/etuovimedia/images/property/import/657/2608657/0e76b9541118d347871c0e0e51d244c4/4563d811491f429845cb01b0bdd42cf7/ORIGINAL.jpeg</t>
  </si>
  <si>
    <t>https://d3ls91xgksobn.cloudfront.net/1200x900/etuovimedia/images/property/import/657/2608657/0e76b9541118d347871c0e0e51d244c4/4563d811491f429845cb01b0bdd42cf7/ORIGINAL.jpeg</t>
  </si>
  <si>
    <t>https://d3ls91xgksobn.cloudfront.net/1200x900/etuovimedia/images/property/import/657/2608657/0e76b9541118d347871c0e0e51d244c4/83a490bf3173cfe2178654a6e4df55d7/ORIGINAL.jpeg</t>
  </si>
  <si>
    <t>2608657</t>
  </si>
  <si>
    <t>https://www.etuovi.com/kohde/21916433</t>
  </si>
  <si>
    <t>5 mh, oh, vierashuone, oleskeluhuone, k, rt, kph, s, 2 wc, vh, var., at, ak, tekn.</t>
  </si>
  <si>
    <t>2026-06-10T14:04:27.933Z</t>
  </si>
  <si>
    <t>Detached House (Omakotitalo) — 5 mh, oh, vierashuone, oleskeluhuone, k, rt, kph, s, 2 wc, vh, var., at, ak, tekn. — 186.2 m² — Tikkakoski Jyväskylä</t>
  </si>
  <si>
    <t>Sala-ampujankatu 8 C 28 Ristinummi Vaasa</t>
  </si>
  <si>
    <t>Sala-ampujankatu 8 C 28</t>
  </si>
  <si>
    <t>Ristinummi Vaasa</t>
  </si>
  <si>
    <t>748</t>
  </si>
  <si>
    <t>Kiinteistömeklarit Vaasa Oy LKV</t>
  </si>
  <si>
    <t>http://www.kiinteistomeklarit.fi/</t>
  </si>
  <si>
    <t>Ristinummi</t>
  </si>
  <si>
    <t>20946810</t>
  </si>
  <si>
    <t>https://d3ls91xgksobn.cloudfront.net/400x300/etuovimedia/images/property/import/656/2608656/0e76b9541118d347871c0e0e51d244c4/9267ddd8096aefd1aebea379710d30c2/ORIGINAL.jpeg</t>
  </si>
  <si>
    <t>https://d3ls91xgksobn.cloudfront.net/1200x900/etuovimedia/images/property/import/656/2608656/0e76b9541118d347871c0e0e51d244c4/9267ddd8096aefd1aebea379710d30c2/ORIGINAL.jpeg</t>
  </si>
  <si>
    <t>2608656</t>
  </si>
  <si>
    <t>https://www.etuovi.com/kohde/20946810</t>
  </si>
  <si>
    <t>2h + k + parv.</t>
  </si>
  <si>
    <t>2026-06-10T14:04:27.987Z</t>
  </si>
  <si>
    <t>Apartment (Kerrostalo) — 2h + k + parv. — 54.5 m² — Ristinummi Vaasa</t>
  </si>
  <si>
    <t>Pihlajatie 46 Meilahti Helsinki</t>
  </si>
  <si>
    <t>Pihlajatie 46</t>
  </si>
  <si>
    <t>21616105</t>
  </si>
  <si>
    <t>https://d3ls91xgksobn.cloudfront.net/400x300/etuovimedia/images/property/import/655/2608655/0e76b9541118d347871c0e0e51d244c4/e9cb92dae5c28f536ce497024bb1ed8f/ORIGINAL.jpeg</t>
  </si>
  <si>
    <t>https://d3ls91xgksobn.cloudfront.net/1200x900/etuovimedia/images/property/import/655/2608655/0e76b9541118d347871c0e0e51d244c4/e9cb92dae5c28f536ce497024bb1ed8f/ORIGINAL.jpeg</t>
  </si>
  <si>
    <t>2608655</t>
  </si>
  <si>
    <t>https://www.etuovi.com/kohde/21616105</t>
  </si>
  <si>
    <t>2h + avok + kph (yhtiöjärjestyksen mukaan 2h + halli + kk)</t>
  </si>
  <si>
    <t>2026-06-10T14:04:27.999Z</t>
  </si>
  <si>
    <t>Apartment (Kerrostalo) — 2h + avok + kph (yhtiöjärjestyksen mukaan 2h + halli + kk) — 61.6 m² — Meilahti Helsinki</t>
  </si>
  <si>
    <t>Vainiontie 104 Lyöttilä Iitti</t>
  </si>
  <si>
    <t>Vainiontie 104</t>
  </si>
  <si>
    <t>Lyöttilä Iitti</t>
  </si>
  <si>
    <t>1937</t>
  </si>
  <si>
    <t>Lyöttilä</t>
  </si>
  <si>
    <t>65047148</t>
  </si>
  <si>
    <t>https://d3ls91xgksobn.cloudfront.net/400x300/etuovimedia/images/property/import/654/2608654/0e76b9541118d347871c0e0e51d244c4/ef7bd386725444f840cf3b600e4e60ba/ORIGINAL.jpeg</t>
  </si>
  <si>
    <t>https://d3ls91xgksobn.cloudfront.net/1200x900/etuovimedia/images/property/import/654/2608654/0e76b9541118d347871c0e0e51d244c4/ef7bd386725444f840cf3b600e4e60ba/ORIGINAL.jpeg</t>
  </si>
  <si>
    <t>2608654</t>
  </si>
  <si>
    <t>https://www.etuovi.com/kohde/65047148</t>
  </si>
  <si>
    <t>4h, k, aula, kph, wc, khh, s</t>
  </si>
  <si>
    <t>2026-06-10T14:04:28.017Z</t>
  </si>
  <si>
    <t>Detached House (Omakotitalo) — 4h, k, aula, kph, wc, khh, s — 149 m² — Lyöttilä Iitti</t>
  </si>
  <si>
    <t>Sammalniementie 2 B Särkiniemi Kuopio</t>
  </si>
  <si>
    <t>Sammalniementie 2 B</t>
  </si>
  <si>
    <t>621130</t>
  </si>
  <si>
    <t>https://d3ls91xgksobn.cloudfront.net/400x300/etuovimedia/images/property/import/652/2608652/0e76b9541118d347871c0e0e51d244c4/50a6eea8d124d8b43244b363808cc5f4/ORIGINAL.jpeg</t>
  </si>
  <si>
    <t>https://d3ls91xgksobn.cloudfront.net/1200x900/etuovimedia/images/property/import/652/2608652/0e76b9541118d347871c0e0e51d244c4/50a6eea8d124d8b43244b363808cc5f4/ORIGINAL.jpeg</t>
  </si>
  <si>
    <t>https://d3ls91xgksobn.cloudfront.net/1200x900/etuovimedia/images/property/import/652/2608652/0e76b9541118d347871c0e0e51d244c4/63c9c55b307c2aff6634ddf0ec7cd6d9/ORIGINAL.jpeg</t>
  </si>
  <si>
    <t>2608652</t>
  </si>
  <si>
    <t>https://www.etuovi.com/kohde/621130</t>
  </si>
  <si>
    <t>2026-06-10T14:04:28.064Z</t>
  </si>
  <si>
    <t>Row House (Rivitalo) — 5h, k, s — 107 m² — Särkiniemi Kuopio</t>
  </si>
  <si>
    <t>Markulantie 119 E Nättinummi Turku</t>
  </si>
  <si>
    <t>Markulantie 119 E</t>
  </si>
  <si>
    <t>Nättinummi Turku</t>
  </si>
  <si>
    <t>Kirsi Kivimäki</t>
  </si>
  <si>
    <t>620927</t>
  </si>
  <si>
    <t>https://d3ls91xgksobn.cloudfront.net/400x300/etuovimedia/images/property/import/651/2608651/0e76b9541118d347871c0e0e51d244c4/b6938d4eaa0f44a61bf323e35fc6d48f/ORIGINAL.jpeg</t>
  </si>
  <si>
    <t>https://d3ls91xgksobn.cloudfront.net/1200x900/etuovimedia/images/property/import/651/2608651/0e76b9541118d347871c0e0e51d244c4/b6938d4eaa0f44a61bf323e35fc6d48f/ORIGINAL.jpeg</t>
  </si>
  <si>
    <t>https://d3ls91xgksobn.cloudfront.net/1200x900/etuovimedia/images/property/import/651/2608651/0e76b9541118d347871c0e0e51d244c4/df8702cba91e6eacb5737d77781db6f2/ORIGINAL.jpeg</t>
  </si>
  <si>
    <t>2608651</t>
  </si>
  <si>
    <t>https://www.etuovi.com/kohde/620927</t>
  </si>
  <si>
    <t>2026-06-10T14:04:28.083Z</t>
  </si>
  <si>
    <t>Apartment (Kerrostalo) — 4h + k — 87.5 m² — Nättinummi Turku</t>
  </si>
  <si>
    <t>Peltolantie 1 A Keskusta Mäntsälä</t>
  </si>
  <si>
    <t>Peltolantie 1 A</t>
  </si>
  <si>
    <t>Keskusta Mäntsälä</t>
  </si>
  <si>
    <t>620921</t>
  </si>
  <si>
    <t>https://d3ls91xgksobn.cloudfront.net/400x300/etuovimedia/images/property/import/650/2608650/0e76b9541118d347871c0e0e51d244c4/a08173998081f01fb53f10cd01d862df/ORIGINAL.jpeg</t>
  </si>
  <si>
    <t>https://d3ls91xgksobn.cloudfront.net/1200x900/etuovimedia/images/property/import/650/2608650/0e76b9541118d347871c0e0e51d244c4/a08173998081f01fb53f10cd01d862df/ORIGINAL.jpeg</t>
  </si>
  <si>
    <t>https://d3ls91xgksobn.cloudfront.net/1200x900/etuovimedia/images/property/import/650/2608650/0e76b9541118d347871c0e0e51d244c4/856fac13ac75f9b413fc25724ae77627/ORIGINAL.jpeg</t>
  </si>
  <si>
    <t>2608650</t>
  </si>
  <si>
    <t>https://www.etuovi.com/kohde/620921</t>
  </si>
  <si>
    <t>3h + k + kph + vh + lasitettu parveke (yj.3h + k)</t>
  </si>
  <si>
    <t>2026-06-10T14:04:28.183Z</t>
  </si>
  <si>
    <t>Apartment (Kerrostalo) — 3h + k + kph + vh + lasitettu parveke (yj.3h + k) — 72 m² — Keskusta Mäntsälä</t>
  </si>
  <si>
    <t>Haapalahdentie 18 Paavalinvuori Muurame</t>
  </si>
  <si>
    <t>Haapalahdentie 18</t>
  </si>
  <si>
    <t>Paavalinvuori Muurame</t>
  </si>
  <si>
    <t>4612</t>
  </si>
  <si>
    <t>OP Koti Sisä-Suomi Oy LKV, Jyväskylä Taulumäki</t>
  </si>
  <si>
    <t>Hannele Aro</t>
  </si>
  <si>
    <t>Paavalinvuori</t>
  </si>
  <si>
    <t>620899</t>
  </si>
  <si>
    <t>https://d3ls91xgksobn.cloudfront.net/400x300/etuovimedia/images/property/import/649/2608649/0e76b9541118d347871c0e0e51d244c4/8132dfeacb55e04c067cb21258791b29/ORIGINAL.jpeg</t>
  </si>
  <si>
    <t>https://d3ls91xgksobn.cloudfront.net/1200x900/etuovimedia/images/property/import/649/2608649/0e76b9541118d347871c0e0e51d244c4/8132dfeacb55e04c067cb21258791b29/ORIGINAL.jpeg</t>
  </si>
  <si>
    <t>https://d3ls91xgksobn.cloudfront.net/1200x900/etuovimedia/images/property/import/649/2608649/0e76b9541118d347871c0e0e51d244c4/3bcead584084b3819868704ba244e282/ORIGINAL.jpeg</t>
  </si>
  <si>
    <t>2608649</t>
  </si>
  <si>
    <t>https://www.etuovi.com/kohde/620899</t>
  </si>
  <si>
    <t>6 h, k, kph, 2 wc, s, vh,</t>
  </si>
  <si>
    <t>2026-06-10T14:04:28.266Z</t>
  </si>
  <si>
    <t>Detached House (Omakotitalo) — 6 h, k, kph, 2 wc, s, vh,  — 161 m² — Paavalinvuori Muurame</t>
  </si>
  <si>
    <t>Suutarinkatu 27 A Messukylä Tampere</t>
  </si>
  <si>
    <t>Suutarinkatu 27 A</t>
  </si>
  <si>
    <t>Messukylä Tampere</t>
  </si>
  <si>
    <t>Jari Tammilehto</t>
  </si>
  <si>
    <t>Messukylä</t>
  </si>
  <si>
    <t>620747</t>
  </si>
  <si>
    <t>https://d3ls91xgksobn.cloudfront.net/400x300/etuovimedia/images/property/import/648/2608648/0e76b9541118d347871c0e0e51d244c4/5fb9c3eedcd3118f8a66a7fb4ca6f335/ORIGINAL.jpeg</t>
  </si>
  <si>
    <t>https://d3ls91xgksobn.cloudfront.net/1200x900/etuovimedia/images/property/import/648/2608648/0e76b9541118d347871c0e0e51d244c4/5fb9c3eedcd3118f8a66a7fb4ca6f335/ORIGINAL.jpeg</t>
  </si>
  <si>
    <t>https://d3ls91xgksobn.cloudfront.net/1200x900/etuovimedia/images/property/import/648/2608648/0e76b9541118d347871c0e0e51d244c4/107579448d5a141a4beaebcafb9c5297/ORIGINAL.jpeg</t>
  </si>
  <si>
    <t>2608648</t>
  </si>
  <si>
    <t>https://www.etuovi.com/kohde/620747</t>
  </si>
  <si>
    <t>3h + k + s + kph + wc + vhh</t>
  </si>
  <si>
    <t>2026-06-10T14:04:28.362Z</t>
  </si>
  <si>
    <t>Row House (Rivitalo) — 3h + k + s + kph + wc + vhh — 74.5 m² — Messukylä Tampere</t>
  </si>
  <si>
    <t>Ajojahdintie 18 Lippajärvi Espoo</t>
  </si>
  <si>
    <t>Ajojahdintie 18</t>
  </si>
  <si>
    <t>House Company LKV Oy</t>
  </si>
  <si>
    <t>20206332</t>
  </si>
  <si>
    <t>https://d3ls91xgksobn.cloudfront.net/400x300/etuovimedia/images/property/import/647/2608647/0e76b9541118d347871c0e0e51d244c4/1e68719dde7339ede693517f26e99ffb/ORIGINAL.jpeg</t>
  </si>
  <si>
    <t>https://d3ls91xgksobn.cloudfront.net/1200x900/etuovimedia/images/property/import/647/2608647/0e76b9541118d347871c0e0e51d244c4/1e68719dde7339ede693517f26e99ffb/ORIGINAL.jpeg</t>
  </si>
  <si>
    <t>2608647</t>
  </si>
  <si>
    <t>https://www.etuovi.com/kohde/20206332</t>
  </si>
  <si>
    <t>3h + k + kph + s</t>
  </si>
  <si>
    <t>2026-06-10T14:04:28.451Z</t>
  </si>
  <si>
    <t>Row House (Rivitalo) — 3h + k + kph + s — 80 m² — Lippajärvi Espoo</t>
  </si>
  <si>
    <t>Sammonkatu 26 Pohja Seinäjoki</t>
  </si>
  <si>
    <t>Sammonkatu 26</t>
  </si>
  <si>
    <t>2189</t>
  </si>
  <si>
    <t>LKV Asuntoekonomitoimisto Oy</t>
  </si>
  <si>
    <t>http://www.asuntoekonomi.fi</t>
  </si>
  <si>
    <t>21701716</t>
  </si>
  <si>
    <t>https://d3ls91xgksobn.cloudfront.net/400x300/etuovimedia/images/property/import/646/2608646/0e76b9541118d347871c0e0e51d244c4/4b6371e0bbe71472bcdb1697f78ef5e1/ORIGINAL.jpeg</t>
  </si>
  <si>
    <t>https://d3ls91xgksobn.cloudfront.net/1200x900/etuovimedia/images/property/import/646/2608646/0e76b9541118d347871c0e0e51d244c4/4b6371e0bbe71472bcdb1697f78ef5e1/ORIGINAL.jpeg</t>
  </si>
  <si>
    <t>2608646</t>
  </si>
  <si>
    <t>https://www.etuovi.com/kohde/21701716</t>
  </si>
  <si>
    <t>4h, k, kph, erill. wc, lasit. parveke</t>
  </si>
  <si>
    <t>2026-06-10T14:04:28.463Z</t>
  </si>
  <si>
    <t>Apartment (Kerrostalo) — 4h, k, kph, erill. wc, lasit. parveke — 83.5 m² — Pohja Seinäjoki</t>
  </si>
  <si>
    <t>Ailakinkatu 18 A Tourula Jyväskylä</t>
  </si>
  <si>
    <t>Ailakinkatu 18 A</t>
  </si>
  <si>
    <t>620039</t>
  </si>
  <si>
    <t>https://d3ls91xgksobn.cloudfront.net/400x300/etuovimedia/images/property/import/645/2608645/0e76b9541118d347871c0e0e51d244c4/456071eb15334c702126b3804f88c0e8/ORIGINAL.jpeg</t>
  </si>
  <si>
    <t>https://d3ls91xgksobn.cloudfront.net/1200x900/etuovimedia/images/property/import/645/2608645/0e76b9541118d347871c0e0e51d244c4/456071eb15334c702126b3804f88c0e8/ORIGINAL.jpeg</t>
  </si>
  <si>
    <t>https://d3ls91xgksobn.cloudfront.net/1200x900/etuovimedia/images/property/import/645/2608645/0e76b9541118d347871c0e0e51d244c4/22b8656cf1a848930c072d1d5b37f669/ORIGINAL.jpeg</t>
  </si>
  <si>
    <t>2608645</t>
  </si>
  <si>
    <t>https://www.etuovi.com/kohde/620039</t>
  </si>
  <si>
    <t>4h, k, kh, s, erill.wc, lasit.p.</t>
  </si>
  <si>
    <t>2026-06-10T14:04:28.478Z</t>
  </si>
  <si>
    <t>Apartment (Kerrostalo) — 4h, k, kh, s, erill.wc, lasit.p. — 85 m² — Tourula Jyväskylä</t>
  </si>
  <si>
    <t>Pistalantie 235 Raikuu Savonlinna</t>
  </si>
  <si>
    <t>Pistalantie 235</t>
  </si>
  <si>
    <t>Raikuu Savonlinna</t>
  </si>
  <si>
    <t>Raikuu</t>
  </si>
  <si>
    <t>fs3428</t>
  </si>
  <si>
    <t>https://d3ls91xgksobn.cloudfront.net/400x300/etuovimedia/images/property/import/643/2608643/0e76b9541118d347871c0e0e51d244c4/9c55759f2e7ad2b12301c702332c7c79/ORIGINAL.jpeg</t>
  </si>
  <si>
    <t>https://d3ls91xgksobn.cloudfront.net/1200x900/etuovimedia/images/property/import/643/2608643/0e76b9541118d347871c0e0e51d244c4/9c55759f2e7ad2b12301c702332c7c79/ORIGINAL.jpeg</t>
  </si>
  <si>
    <t>2608643</t>
  </si>
  <si>
    <t>https://www.etuovi.com/kohde/fs3428</t>
  </si>
  <si>
    <t>Jarkko Turunen</t>
  </si>
  <si>
    <t>4h + k + wc + s</t>
  </si>
  <si>
    <t>2026-06-10T14:04:28.576Z</t>
  </si>
  <si>
    <t>Detached House (Omakotitalo) — 4h + k + wc + s — 120 m² — Raikuu Savonlinna</t>
  </si>
  <si>
    <t>Liikemiehenpolku 5 A Raadelma Kaarina</t>
  </si>
  <si>
    <t>Liikemiehenpolku 5 A</t>
  </si>
  <si>
    <t>Raadelma Kaarina</t>
  </si>
  <si>
    <t>Raadelma</t>
  </si>
  <si>
    <t>80513201</t>
  </si>
  <si>
    <t>https://d3ls91xgksobn.cloudfront.net/400x300/etuovimedia/images/property/import/642/2608642/0e76b9541118d347871c0e0e51d244c4/b107910536d1466fa82eb5cb0fe967b8/ORIGINAL.jpeg</t>
  </si>
  <si>
    <t>https://d3ls91xgksobn.cloudfront.net/1200x900/etuovimedia/images/property/import/642/2608642/0e76b9541118d347871c0e0e51d244c4/b107910536d1466fa82eb5cb0fe967b8/ORIGINAL.jpeg</t>
  </si>
  <si>
    <t>2608642</t>
  </si>
  <si>
    <t>https://www.etuovi.com/kohde/80513201</t>
  </si>
  <si>
    <t>343 000 €</t>
  </si>
  <si>
    <t>3h + avok + 2wc + khh + kph + s + varasto</t>
  </si>
  <si>
    <t>2026-06-10T14:04:28.633Z</t>
  </si>
  <si>
    <t>Row House (Rivitalo) — 3h + avok + 2wc + khh + kph + s + varasto — 97 m² — Raadelma Kaarina</t>
  </si>
  <si>
    <t>Rakennusmestarintie 52 B Mälikkälä Turku</t>
  </si>
  <si>
    <t>Rakennusmestarintie 52 B</t>
  </si>
  <si>
    <t>Mälikkälä Turku</t>
  </si>
  <si>
    <t>Mälikkälä</t>
  </si>
  <si>
    <t>80514482</t>
  </si>
  <si>
    <t>https://d3ls91xgksobn.cloudfront.net/400x300/etuovimedia/images/property/import/641/2608641/0e76b9541118d347871c0e0e51d244c4/fbcc831882ded3c0b7cbcbfd77d94d76/ORIGINAL.jpeg</t>
  </si>
  <si>
    <t>https://d3ls91xgksobn.cloudfront.net/1200x900/etuovimedia/images/property/import/641/2608641/0e76b9541118d347871c0e0e51d244c4/fbcc831882ded3c0b7cbcbfd77d94d76/ORIGINAL.jpeg</t>
  </si>
  <si>
    <t>https://d3ls91xgksobn.cloudfront.net/1200x900/etuovimedia/images/property/import/641/2608641/0e76b9541118d347871c0e0e51d244c4/11fa4919c425b85c207a49196f8f76fd/ORIGINAL.jpeg</t>
  </si>
  <si>
    <t>2608641</t>
  </si>
  <si>
    <t>https://www.etuovi.com/kohde/80514482</t>
  </si>
  <si>
    <t>4h + k + th + vh + khh + kph + s + 2xwc + var + ak</t>
  </si>
  <si>
    <t>2026-06-10T14:04:28.672Z</t>
  </si>
  <si>
    <t>Row House (Rivitalo) — 4h + k + th + vh + khh + kph + s + 2xwc + var + ak — 128 m² — Mälikkälä Turku</t>
  </si>
  <si>
    <t>Taaplaajantie 7 Ojakkala Vihti</t>
  </si>
  <si>
    <t>Taaplaajantie 7</t>
  </si>
  <si>
    <t>Ojakkala Vihti</t>
  </si>
  <si>
    <t>Ojakkala</t>
  </si>
  <si>
    <t>21740017</t>
  </si>
  <si>
    <t>https://d3ls91xgksobn.cloudfront.net/400x300/etuovimedia/images/property/import/640/2608640/0e76b9541118d347871c0e0e51d244c4/8c53dbc015dbd65b73d264cf7ac80722/ORIGINAL.jpeg</t>
  </si>
  <si>
    <t>https://d3ls91xgksobn.cloudfront.net/1200x900/etuovimedia/images/property/import/640/2608640/0e76b9541118d347871c0e0e51d244c4/8c53dbc015dbd65b73d264cf7ac80722/ORIGINAL.jpeg</t>
  </si>
  <si>
    <t>2608640</t>
  </si>
  <si>
    <t>https://www.etuovi.com/kohde/21740017</t>
  </si>
  <si>
    <t>3 h, k, ruokailuh., kph, s, wc, vh x 3, veranta</t>
  </si>
  <si>
    <t>2026-06-10T14:04:28.687Z</t>
  </si>
  <si>
    <t>Detached House (Omakotitalo) — 3 h, k, ruokailuh., kph, s, wc, vh x 3, veranta — 100 m² — Ojakkala Vihti</t>
  </si>
  <si>
    <t>Palomäenkatu 26 a Kouvola</t>
  </si>
  <si>
    <t>Palomäenkatu 26 a</t>
  </si>
  <si>
    <t>Matti Nurmikari</t>
  </si>
  <si>
    <t>80512199</t>
  </si>
  <si>
    <t>https://d3ls91xgksobn.cloudfront.net/400x300/etuovimedia/images/property/import/639/2608639/0e76b9541118d347871c0e0e51d244c4/b410cc05c766a277a08946833b884933/ORIGINAL.jpeg</t>
  </si>
  <si>
    <t>https://d3ls91xgksobn.cloudfront.net/1200x900/etuovimedia/images/property/import/639/2608639/0e76b9541118d347871c0e0e51d244c4/b410cc05c766a277a08946833b884933/ORIGINAL.jpeg</t>
  </si>
  <si>
    <t>https://d3ls91xgksobn.cloudfront.net/1200x900/etuovimedia/images/property/import/639/2608639/0e76b9541118d347871c0e0e51d244c4/b71afef38e1c1c440ce62aac78f36795/ORIGINAL.jpeg</t>
  </si>
  <si>
    <t>https://d3ls91xgksobn.cloudfront.net/1200x900/etuovimedia/images/property/import/639/2608639/0e76b9541118d347871c0e0e51d244c4/e0dc5fa1febbb3209fe39413f558ba31/ORIGINAL.jpeg</t>
  </si>
  <si>
    <t>2608639</t>
  </si>
  <si>
    <t>https://www.etuovi.com/kohde/80512199</t>
  </si>
  <si>
    <t>2026-06-10T14:04:28.728Z</t>
  </si>
  <si>
    <t>Apartment (Kerrostalo) — 1h, kk, kph — 32 m² — Kouvola</t>
  </si>
  <si>
    <t>Sahankatu 1 as 6 Keskusta Oulainen</t>
  </si>
  <si>
    <t>Sahankatu 1 as 6</t>
  </si>
  <si>
    <t>Keskusta Oulainen</t>
  </si>
  <si>
    <t>fs3426</t>
  </si>
  <si>
    <t>https://d3ls91xgksobn.cloudfront.net/400x300/etuovimedia/images/property/import/637/2608637/0e76b9541118d347871c0e0e51d244c4/e2bb4365d99d83da7242104e87e36d49/ORIGINAL.jpeg</t>
  </si>
  <si>
    <t>https://d3ls91xgksobn.cloudfront.net/1200x900/etuovimedia/images/property/import/637/2608637/0e76b9541118d347871c0e0e51d244c4/e2bb4365d99d83da7242104e87e36d49/ORIGINAL.jpeg</t>
  </si>
  <si>
    <t>2608637</t>
  </si>
  <si>
    <t>https://www.etuovi.com/kohde/fs3426</t>
  </si>
  <si>
    <t>22 500 €</t>
  </si>
  <si>
    <t>Mia Penttilä</t>
  </si>
  <si>
    <t>2h + k + vh + kph + at</t>
  </si>
  <si>
    <t>2026-06-10T14:04:28.767Z</t>
  </si>
  <si>
    <t>Row House (Rivitalo) — 2h + k + vh + kph + at — 56 m² — Keskusta Oulainen</t>
  </si>
  <si>
    <t>Piipputori 5 Kangas Jyväskylä</t>
  </si>
  <si>
    <t>Piipputori 5</t>
  </si>
  <si>
    <t>Marko Jalkanen</t>
  </si>
  <si>
    <t>42103918</t>
  </si>
  <si>
    <t>https://d3ls91xgksobn.cloudfront.net/400x300/etuovimedia/images/property/import/635/2608635/0e76b9541118d347871c0e0e51d244c4/97458c61d0440df4ec236699071787cd/ORIGINAL.jpeg</t>
  </si>
  <si>
    <t>https://d3ls91xgksobn.cloudfront.net/1200x900/etuovimedia/images/property/import/635/2608635/0e76b9541118d347871c0e0e51d244c4/97458c61d0440df4ec236699071787cd/ORIGINAL.jpeg</t>
  </si>
  <si>
    <t>https://d3ls91xgksobn.cloudfront.net/1200x900/etuovimedia/images/property/import/635/2608635/0e76b9541118d347871c0e0e51d244c4/56824f1edcff6d6d34eeb5dda4102a9d/ORIGINAL.jpeg</t>
  </si>
  <si>
    <t>2608635</t>
  </si>
  <si>
    <t>https://www.etuovi.com/kohde/42103918</t>
  </si>
  <si>
    <t>2h, kt, kph, las.p</t>
  </si>
  <si>
    <t>2026-06-10T14:04:28.788Z</t>
  </si>
  <si>
    <t>Apartment (Kerrostalo) — 2h, kt, kph, las.p — 42.5 m² — Kangas Jyväskylä</t>
  </si>
  <si>
    <t>Koulutie 10 A Jämsänkoski, Myllymäki Jämsä</t>
  </si>
  <si>
    <t>Koulutie 10 A</t>
  </si>
  <si>
    <t>Jämsänkoski, Myllymäki Jämsä</t>
  </si>
  <si>
    <t>1881</t>
  </si>
  <si>
    <t>Sp-Koti | Kiinteistönvälitys Tanja Heinonen Oy LKV</t>
  </si>
  <si>
    <t>Jämsänkoski, Myllymäki</t>
  </si>
  <si>
    <t>80427155</t>
  </si>
  <si>
    <t>https://d3ls91xgksobn.cloudfront.net/400x300/etuovimedia/images/property/import/226/2217226/0e76b9541118d347871c0e0e51d244c4/9c4ca8aa05617614907548b1498c08e1/ORIGINAL.jpeg</t>
  </si>
  <si>
    <t>https://d3ls91xgksobn.cloudfront.net/1200x900/etuovimedia/images/property/import/226/2217226/0e76b9541118d347871c0e0e51d244c4/9c4ca8aa05617614907548b1498c08e1/ORIGINAL.jpeg</t>
  </si>
  <si>
    <t>2217226</t>
  </si>
  <si>
    <t>https://www.etuovi.com/kohde/80427155</t>
  </si>
  <si>
    <t>2025-06-25</t>
  </si>
  <si>
    <t>4h, k, parveke</t>
  </si>
  <si>
    <t>2026-06-10T14:04:28.805Z</t>
  </si>
  <si>
    <t>Apartment (Kerrostalo) — 4h, k, parveke — 75 m² — Jämsänkoski, Myllymäki Jämsä</t>
  </si>
  <si>
    <t>Laajaniitynkuja 13 A Martinlaakso Vantaa</t>
  </si>
  <si>
    <t>Laajaniitynkuja 13 A</t>
  </si>
  <si>
    <t>3429</t>
  </si>
  <si>
    <t>Oma Koti LKV Oy</t>
  </si>
  <si>
    <t>https://www.hp-housing.com/</t>
  </si>
  <si>
    <t>80515588</t>
  </si>
  <si>
    <t>https://d3ls91xgksobn.cloudfront.net/400x300/etuovimedia/images/property/import/633/2608633/0e76b9541118d347871c0e0e51d244c4/06f09ebc26b34d5aabb3c752665509d8/ORIGINAL.jpeg</t>
  </si>
  <si>
    <t>https://d3ls91xgksobn.cloudfront.net/1200x900/etuovimedia/images/property/import/633/2608633/0e76b9541118d347871c0e0e51d244c4/06f09ebc26b34d5aabb3c752665509d8/ORIGINAL.jpeg</t>
  </si>
  <si>
    <t>2608633</t>
  </si>
  <si>
    <t>https://www.etuovi.com/kohde/80515588</t>
  </si>
  <si>
    <t>3h + k + kph + vh + las.p</t>
  </si>
  <si>
    <t>2026-06-10T14:04:28.851Z</t>
  </si>
  <si>
    <t>Apartment (Kerrostalo) — 3h + k + kph + vh + las.p — 52 m² — Martinlaakso Vantaa</t>
  </si>
  <si>
    <t>Soidintie 6 B Ala-Malmi, Malmi Helsinki</t>
  </si>
  <si>
    <t>Soidintie 6 B</t>
  </si>
  <si>
    <t>Ala-Malmi, Malmi Helsinki</t>
  </si>
  <si>
    <t>2817</t>
  </si>
  <si>
    <t>Alcovi LKV</t>
  </si>
  <si>
    <t>https://www.alcovi.fi/</t>
  </si>
  <si>
    <t>Ala-Malmi, Malmi</t>
  </si>
  <si>
    <t>80514440</t>
  </si>
  <si>
    <t>https://d3ls91xgksobn.cloudfront.net/400x300/etuovimedia/images/property/import/631/2608631/0e76b9541118d347871c0e0e51d244c4/d375b3982e062139da3685c360fa72ed/ORIGINAL.jpeg</t>
  </si>
  <si>
    <t>https://d3ls91xgksobn.cloudfront.net/1200x900/etuovimedia/images/property/import/631/2608631/0e76b9541118d347871c0e0e51d244c4/d375b3982e062139da3685c360fa72ed/ORIGINAL.jpeg</t>
  </si>
  <si>
    <t>2608631</t>
  </si>
  <si>
    <t>https://www.etuovi.com/kohde/80514440</t>
  </si>
  <si>
    <t>192 000 €</t>
  </si>
  <si>
    <t>3h + avok + kph + s + las.parveke</t>
  </si>
  <si>
    <t>2026-06-10T14:04:28.950Z</t>
  </si>
  <si>
    <t>Apartment (Kerrostalo) — 3h + avok + kph + s + las.parveke — 68.5 m² — Ala-Malmi, Malmi Helsinki</t>
  </si>
  <si>
    <t>Kuusitie Taavetti Luumäki</t>
  </si>
  <si>
    <t>Kuusitie</t>
  </si>
  <si>
    <t>Taavetti Luumäki</t>
  </si>
  <si>
    <t>1156</t>
  </si>
  <si>
    <t>Kiinteistönvälitys  Ilpo Parkkonen LKV</t>
  </si>
  <si>
    <t>Taavetti</t>
  </si>
  <si>
    <t>37103360</t>
  </si>
  <si>
    <t>https://d3ls91xgksobn.cloudfront.net/400x300/etuovimedia/images/property/import/630/2608630/0e76b9541118d347871c0e0e51d244c4/0c5d1788baf66b3bccf6151679fa3717/ORIGINAL.jpeg</t>
  </si>
  <si>
    <t>https://d3ls91xgksobn.cloudfront.net/1200x900/etuovimedia/images/property/import/630/2608630/0e76b9541118d347871c0e0e51d244c4/0c5d1788baf66b3bccf6151679fa3717/ORIGINAL.jpeg</t>
  </si>
  <si>
    <t>2608630</t>
  </si>
  <si>
    <t>https://www.etuovi.com/kohde/37103360</t>
  </si>
  <si>
    <t>4h, k, khh, s, pesuh, . pukuh.</t>
  </si>
  <si>
    <t>2026-06-10T14:04:28.972Z</t>
  </si>
  <si>
    <t>Detached House (Omakotitalo) — 4h, k, khh, s, pesuh, . pukuh. — 102.7 m² — Taavetti Luumäki</t>
  </si>
  <si>
    <t>Paimiontie 328 Vaskio Salo</t>
  </si>
  <si>
    <t>Paimiontie 328</t>
  </si>
  <si>
    <t>Vaskio Salo</t>
  </si>
  <si>
    <t>Raino Laakso</t>
  </si>
  <si>
    <t>Vaskio</t>
  </si>
  <si>
    <t>80513756</t>
  </si>
  <si>
    <t>https://d3ls91xgksobn.cloudfront.net/400x300/etuovimedia/images/property/import/629/2608629/0e76b9541118d347871c0e0e51d244c4/8402a91bc0e5e78f549e2efec0a08641/ORIGINAL.jpeg</t>
  </si>
  <si>
    <t>https://d3ls91xgksobn.cloudfront.net/1200x900/etuovimedia/images/property/import/629/2608629/0e76b9541118d347871c0e0e51d244c4/8402a91bc0e5e78f549e2efec0a08641/ORIGINAL.jpeg</t>
  </si>
  <si>
    <t>https://d3ls91xgksobn.cloudfront.net/1200x900/etuovimedia/images/property/import/629/2608629/0e76b9541118d347871c0e0e51d244c4/3f5259623dccb713311549ef4df3ae06/ORIGINAL.jpeg</t>
  </si>
  <si>
    <t>2608629</t>
  </si>
  <si>
    <t>https://www.etuovi.com/kohde/80513756</t>
  </si>
  <si>
    <t>2 h + k + eteinen + veranta + wc + käyttöullakko</t>
  </si>
  <si>
    <t>2026-06-10T14:04:29.051Z</t>
  </si>
  <si>
    <t>Detached House (Omakotitalo) — 2 h + k + eteinen + veranta + wc + käyttöullakko — 65 m² — Vaskio Salo</t>
  </si>
  <si>
    <t>Mansikkakuja 3 Kannus</t>
  </si>
  <si>
    <t>Mansikkakuja 3</t>
  </si>
  <si>
    <t>80511260</t>
  </si>
  <si>
    <t>https://d3ls91xgksobn.cloudfront.net/400x300/etuovimedia/images/property/import/628/2608628/0e76b9541118d347871c0e0e51d244c4/2a4882f76a6ea602d2a0690852fd36e6/ORIGINAL.jpeg</t>
  </si>
  <si>
    <t>https://d3ls91xgksobn.cloudfront.net/1200x900/etuovimedia/images/property/import/628/2608628/0e76b9541118d347871c0e0e51d244c4/2a4882f76a6ea602d2a0690852fd36e6/ORIGINAL.jpeg</t>
  </si>
  <si>
    <t>2608628</t>
  </si>
  <si>
    <t>https://www.etuovi.com/kohde/80511260</t>
  </si>
  <si>
    <t>2h + k + kph + s</t>
  </si>
  <si>
    <t>2026-06-10T14:04:29.064Z</t>
  </si>
  <si>
    <t>Row House (Rivitalo) — 2h + k + kph + s — 60 m² — Kannus</t>
  </si>
  <si>
    <t>Rinnekatu 4 A Niinvaara Joensuu</t>
  </si>
  <si>
    <t>Rinnekatu 4 A</t>
  </si>
  <si>
    <t>Niinvaara Joensuu</t>
  </si>
  <si>
    <t>4619</t>
  </si>
  <si>
    <t>Huoneistokeskus Joensuu | Karelia Kiinteistönvälitys Oy</t>
  </si>
  <si>
    <t>Jarmo Hytti</t>
  </si>
  <si>
    <t>Niinvaara</t>
  </si>
  <si>
    <t>80512931</t>
  </si>
  <si>
    <t>https://d3ls91xgksobn.cloudfront.net/400x300/etuovimedia/images/property/import/627/2608627/0e76b9541118d347871c0e0e51d244c4/a31c84d32f0bcadace424eab75070856/ORIGINAL.jpeg</t>
  </si>
  <si>
    <t>https://d3ls91xgksobn.cloudfront.net/1200x900/etuovimedia/images/property/import/627/2608627/0e76b9541118d347871c0e0e51d244c4/a31c84d32f0bcadace424eab75070856/ORIGINAL.jpeg</t>
  </si>
  <si>
    <t>https://d3ls91xgksobn.cloudfront.net/1200x900/etuovimedia/images/property/import/627/2608627/0e76b9541118d347871c0e0e51d244c4/8de68436ce24dd369dff1fd1adba1099/ORIGINAL.jpeg</t>
  </si>
  <si>
    <t>https://d3ls91xgksobn.cloudfront.net/1200x900/etuovimedia/images/property/import/627/2608627/0e76b9541118d347871c0e0e51d244c4/ccce267a512d5a1fc4e5ec6925cb1fad/ORIGINAL.jpeg</t>
  </si>
  <si>
    <t>2608627</t>
  </si>
  <si>
    <t>https://www.etuovi.com/kohde/80512931</t>
  </si>
  <si>
    <t>2026-06-10T14:04:29.096Z</t>
  </si>
  <si>
    <t>Apartment (Kerrostalo) — 2h + kt + s — 40.5 m² — Niinvaara Joensuu</t>
  </si>
  <si>
    <t>Pajusirkuntie 4 A Lintuvaara Espoo</t>
  </si>
  <si>
    <t>Pajusirkuntie 4 A</t>
  </si>
  <si>
    <t>Lintuvaara Espoo</t>
  </si>
  <si>
    <t>Myllylä Veli</t>
  </si>
  <si>
    <t>Lintuvaara</t>
  </si>
  <si>
    <t>20181583</t>
  </si>
  <si>
    <t>https://d3ls91xgksobn.cloudfront.net/400x300/etuovimedia/images/property/import/463/2543463/0e76b9541118d347871c0e0e51d244c4/1f39c2d74ac6c0c98a329e0419f47a7d/ORIGINAL.jpeg</t>
  </si>
  <si>
    <t>https://d3ls91xgksobn.cloudfront.net/1200x900/etuovimedia/images/property/import/463/2543463/0e76b9541118d347871c0e0e51d244c4/1f39c2d74ac6c0c98a329e0419f47a7d/ORIGINAL.jpeg</t>
  </si>
  <si>
    <t>https://d3ls91xgksobn.cloudfront.net/1200x900/etuovimedia/images/property/import/463/2543463/0e76b9541118d347871c0e0e51d244c4/b3d25f4537edb8c0fd2204634aee235c/ORIGINAL.jpeg</t>
  </si>
  <si>
    <t>https://d3ls91xgksobn.cloudfront.net/1200x900/etuovimedia/images/property/import/463/2543463/0e76b9541118d347871c0e0e51d244c4/26899c1067e722d1361d217a527abe9e/ORIGINAL.jpeg</t>
  </si>
  <si>
    <t>2543463</t>
  </si>
  <si>
    <t>https://www.etuovi.com/kohde/20181583</t>
  </si>
  <si>
    <t>935 000 €</t>
  </si>
  <si>
    <t>5-6h + k + 2kph + khh + s + studio + 2wc + at (398 m2)</t>
  </si>
  <si>
    <t>2026-06-10T14:04:29.150Z</t>
  </si>
  <si>
    <t>Detached House (Omakotitalo) — 5-6h + k + 2kph + khh + s + studio + 2wc + at (398 m2) — 227 m² — Lintuvaara Espoo</t>
  </si>
  <si>
    <t>Mäkipellonkuja 4 B Koivula Turku</t>
  </si>
  <si>
    <t>Mäkipellonkuja 4 B</t>
  </si>
  <si>
    <t>Koivula Turku</t>
  </si>
  <si>
    <t>4706</t>
  </si>
  <si>
    <t>Lehtinen LKV Oy</t>
  </si>
  <si>
    <t>fs3422</t>
  </si>
  <si>
    <t>https://d3ls91xgksobn.cloudfront.net/400x300/etuovimedia/images/property/import/624/2608624/0e76b9541118d347871c0e0e51d244c4/061f9e266104d594e45d34c12d019e5a/ORIGINAL.jpeg</t>
  </si>
  <si>
    <t>https://d3ls91xgksobn.cloudfront.net/1200x900/etuovimedia/images/property/import/624/2608624/0e76b9541118d347871c0e0e51d244c4/061f9e266104d594e45d34c12d019e5a/ORIGINAL.jpeg</t>
  </si>
  <si>
    <t>2608624</t>
  </si>
  <si>
    <t>https://www.etuovi.com/kohde/fs3422</t>
  </si>
  <si>
    <t>2h + k + s + kph + wc + 2vh + ulkovarasto + ak</t>
  </si>
  <si>
    <t>2026-06-10T14:04:29.252Z</t>
  </si>
  <si>
    <t>Row House (Rivitalo) — 2h + k + s + kph + wc + 2vh + ulkovarasto + ak — 70 m² — Koivula Turku</t>
  </si>
  <si>
    <t>Uranuksentie 2 Suutarila Helsinki</t>
  </si>
  <si>
    <t>Uranuksentie 2</t>
  </si>
  <si>
    <t>Suutarila Helsinki</t>
  </si>
  <si>
    <t>3882</t>
  </si>
  <si>
    <t>Bo LKV Helsinki, Ullanlinna | Ville Erola LKV Oy</t>
  </si>
  <si>
    <t>Erola Ville</t>
  </si>
  <si>
    <t>Suutarila</t>
  </si>
  <si>
    <t>20568241</t>
  </si>
  <si>
    <t>https://d3ls91xgksobn.cloudfront.net/400x300/etuovimedia/images/property/import/729/2504729/0e76b9541118d347871c0e0e51d244c4/0ccf64ad29b596bbb14f24f5c24db998/ORIGINAL.jpeg</t>
  </si>
  <si>
    <t>https://d3ls91xgksobn.cloudfront.net/1200x900/etuovimedia/images/property/import/729/2504729/0e76b9541118d347871c0e0e51d244c4/0ccf64ad29b596bbb14f24f5c24db998/ORIGINAL.jpeg</t>
  </si>
  <si>
    <t>https://d3ls91xgksobn.cloudfront.net/1200x900/etuovimedia/images/property/import/729/2504729/0e76b9541118d347871c0e0e51d244c4/f5ff848776c1e396ac712992d86ea970/ORIGINAL.jpeg</t>
  </si>
  <si>
    <t>2504729</t>
  </si>
  <si>
    <t>https://www.etuovi.com/kohde/20568241</t>
  </si>
  <si>
    <t>530 000 €</t>
  </si>
  <si>
    <t>2026-03-13</t>
  </si>
  <si>
    <t>4h, avok, kph, 2wc, khh, s, ah, var (Yj:n mukaan 4h + k + s + ah + var)</t>
  </si>
  <si>
    <t>2026-06-10T14:04:29.263Z</t>
  </si>
  <si>
    <t>SEPARATE_HOUSE — 4h, avok, kph, 2wc, khh, s, ah, var (Yj:n mukaan 4h + k + s + ah + var) — 107.5 m² — Suutarila Helsinki</t>
  </si>
  <si>
    <t>Palokärjenkuja 1 A21 Leppävaara Espoo</t>
  </si>
  <si>
    <t>Palokärjenkuja 1 A21</t>
  </si>
  <si>
    <t>Leppävaara Espoo</t>
  </si>
  <si>
    <t>Leppävaara</t>
  </si>
  <si>
    <t>52742180</t>
  </si>
  <si>
    <t>https://d3ls91xgksobn.cloudfront.net/400x300/etuovimedia/images/property/import/747/2573747/0e76b9541118d347871c0e0e51d244c4/7e0cacb89b29d1468d0a89f83ee6b2c3/ORIGINAL.jpeg</t>
  </si>
  <si>
    <t>https://d3ls91xgksobn.cloudfront.net/1200x900/etuovimedia/images/property/import/747/2573747/0e76b9541118d347871c0e0e51d244c4/7e0cacb89b29d1468d0a89f83ee6b2c3/ORIGINAL.jpeg</t>
  </si>
  <si>
    <t>2573747</t>
  </si>
  <si>
    <t>https://www.etuovi.com/kohde/52742180</t>
  </si>
  <si>
    <t>314 093 €</t>
  </si>
  <si>
    <t>3h + kt + s + parvi + parveke - Upea loft-koti!</t>
  </si>
  <si>
    <t>2026-06-10T14:04:30.892Z</t>
  </si>
  <si>
    <t>Apartment (Kerrostalo) — 3h + kt + s + parvi + parveke - Upea loft-koti! — 61 m² — Leppävaara Espoo</t>
  </si>
  <si>
    <t>Marinportti 2 Kivenlahti Espoo</t>
  </si>
  <si>
    <t>Marinportti 2</t>
  </si>
  <si>
    <t>21331928</t>
  </si>
  <si>
    <t>https://d3ls91xgksobn.cloudfront.net/400x300/etuovimedia/images/property/import/620/2608620/0e76b9541118d347871c0e0e51d244c4/68fe9b719d765f1a6c116cb0e719261e/ORIGINAL.jpeg</t>
  </si>
  <si>
    <t>https://d3ls91xgksobn.cloudfront.net/1200x900/etuovimedia/images/property/import/620/2608620/0e76b9541118d347871c0e0e51d244c4/68fe9b719d765f1a6c116cb0e719261e/ORIGINAL.jpeg</t>
  </si>
  <si>
    <t>2608620</t>
  </si>
  <si>
    <t>https://www.etuovi.com/kohde/21331928</t>
  </si>
  <si>
    <t>3h + avok + s + las.p + MERINÄKÖALA</t>
  </si>
  <si>
    <t>2026-06-10T14:04:30.909Z</t>
  </si>
  <si>
    <t>Apartment (Kerrostalo) — 3h + avok + s + las.p + MERINÄKÖALA — 64.5 m² — Kivenlahti Espoo</t>
  </si>
  <si>
    <t>Kalevankatu 39a A Keskusta Joensuu</t>
  </si>
  <si>
    <t>Kalevankatu 39a A</t>
  </si>
  <si>
    <t>Perttu Hämäläinen</t>
  </si>
  <si>
    <t>80510571</t>
  </si>
  <si>
    <t>https://d3ls91xgksobn.cloudfront.net/400x300/etuovimedia/images/property/import/614/2608614/0e76b9541118d347871c0e0e51d244c4/ad8758537125088f0b2b9148cf934f4e/ORIGINAL.jpeg</t>
  </si>
  <si>
    <t>https://d3ls91xgksobn.cloudfront.net/1200x900/etuovimedia/images/property/import/614/2608614/0e76b9541118d347871c0e0e51d244c4/ad8758537125088f0b2b9148cf934f4e/ORIGINAL.jpeg</t>
  </si>
  <si>
    <t>https://d3ls91xgksobn.cloudfront.net/1200x900/etuovimedia/images/property/import/614/2608614/0e76b9541118d347871c0e0e51d244c4/471600a92a9c876669c24d117f77ca8a/ORIGINAL.jpeg</t>
  </si>
  <si>
    <t>https://d3ls91xgksobn.cloudfront.net/1200x900/etuovimedia/images/property/import/614/2608614/0e76b9541118d347871c0e0e51d244c4/ed9a4f600713ca9263b2c59cc96603df/ORIGINAL.jpeg</t>
  </si>
  <si>
    <t>2608614</t>
  </si>
  <si>
    <t>https://www.etuovi.com/kohde/80510571</t>
  </si>
  <si>
    <t>1 h + kk</t>
  </si>
  <si>
    <t>2026-06-10T14:04:30.967Z</t>
  </si>
  <si>
    <t>Apartment (Kerrostalo) — 1 h + kk — 32 m² — Keskusta Joensuu</t>
  </si>
  <si>
    <t>Tasbyntie 54-56 B Söderkulla Sipoo</t>
  </si>
  <si>
    <t>Tasbyntie 54-56 B</t>
  </si>
  <si>
    <t>124</t>
  </si>
  <si>
    <t>Huoneistokeskus Sipoo</t>
  </si>
  <si>
    <t>80511799</t>
  </si>
  <si>
    <t>https://d3ls91xgksobn.cloudfront.net/400x300/etuovimedia/images/property/import/613/2608613/0e76b9541118d347871c0e0e51d244c4/246c7533e5a47d356b76a85acd6993dd/ORIGINAL.jpeg</t>
  </si>
  <si>
    <t>https://d3ls91xgksobn.cloudfront.net/1200x900/etuovimedia/images/property/import/613/2608613/0e76b9541118d347871c0e0e51d244c4/246c7533e5a47d356b76a85acd6993dd/ORIGINAL.jpeg</t>
  </si>
  <si>
    <t>2608613</t>
  </si>
  <si>
    <t>https://www.etuovi.com/kohde/80511799</t>
  </si>
  <si>
    <t>3 h, k, s, parveke + varasto</t>
  </si>
  <si>
    <t>2026-06-10T14:04:31.051Z</t>
  </si>
  <si>
    <t>Balcony Access Block (Luhtitalo) — 3 h, k, s, parveke + varasto — 53 m² — Söderkulla Sipoo</t>
  </si>
  <si>
    <t>1951</t>
  </si>
  <si>
    <t>239 900 €</t>
  </si>
  <si>
    <t>Kirkkoesplanadi 15 Tiilihaka Parainen</t>
  </si>
  <si>
    <t>Kirkkoesplanadi 15</t>
  </si>
  <si>
    <t>Tiilihaka Parainen</t>
  </si>
  <si>
    <t>1832</t>
  </si>
  <si>
    <t>Bo LKV Turku</t>
  </si>
  <si>
    <t>Palin Saija</t>
  </si>
  <si>
    <t>1890</t>
  </si>
  <si>
    <t>Tiilihaka</t>
  </si>
  <si>
    <t>21053236</t>
  </si>
  <si>
    <t>https://d3ls91xgksobn.cloudfront.net/400x300/etuovimedia/images/property/import/594/2608594/0e76b9541118d347871c0e0e51d244c4/742e549c6e97cb7eb3a51d00bf494a8f/ORIGINAL.jpeg</t>
  </si>
  <si>
    <t>https://d3ls91xgksobn.cloudfront.net/1200x900/etuovimedia/images/property/import/594/2608594/0e76b9541118d347871c0e0e51d244c4/742e549c6e97cb7eb3a51d00bf494a8f/ORIGINAL.jpeg</t>
  </si>
  <si>
    <t>https://d3ls91xgksobn.cloudfront.net/1200x900/etuovimedia/images/property/import/594/2608594/0e76b9541118d347871c0e0e51d244c4/0acde332673310fff0912b9cfc1f664a/ORIGINAL.jpeg</t>
  </si>
  <si>
    <t>https://d3ls91xgksobn.cloudfront.net/1200x900/etuovimedia/images/property/import/594/2608594/0e76b9541118d347871c0e0e51d244c4/61cf210a4fba67e82575c40b0b365c04/ORIGINAL.jpeg</t>
  </si>
  <si>
    <t>2608594</t>
  </si>
  <si>
    <t>https://www.etuovi.com/kohde/21053236</t>
  </si>
  <si>
    <t>2h, tupa, ph / wc, ullakko + pihasauna</t>
  </si>
  <si>
    <t>2026-06-10T14:04:31.363Z</t>
  </si>
  <si>
    <t>Detached House (Omakotitalo) — 2h, tupa, ph / wc, ullakko + pihasauna — 41 m² — Tiilihaka Parainen</t>
  </si>
  <si>
    <t>173 000 €</t>
  </si>
  <si>
    <t>399 900 €</t>
  </si>
  <si>
    <t>224 900 €</t>
  </si>
  <si>
    <t>209 900 €</t>
  </si>
  <si>
    <t>254 900 €</t>
  </si>
  <si>
    <t>269 900 €</t>
  </si>
  <si>
    <t>Heinisuontie 6 B Ylinen Ylöjärvi</t>
  </si>
  <si>
    <t>Heinisuontie 6 B</t>
  </si>
  <si>
    <t>Ylinen Ylöjärvi</t>
  </si>
  <si>
    <t>Ylinen</t>
  </si>
  <si>
    <t>80502360</t>
  </si>
  <si>
    <t>https://d3ls91xgksobn.cloudfront.net/400x300/etuovimedia/images/property/import/959/2590959/0e76b9541118d347871c0e0e51d244c4/834988421bf22d840f52b03d6e66e99b/ORIGINAL.jpeg</t>
  </si>
  <si>
    <t>https://d3ls91xgksobn.cloudfront.net/1200x900/etuovimedia/images/property/import/959/2590959/0e76b9541118d347871c0e0e51d244c4/834988421bf22d840f52b03d6e66e99b/ORIGINAL.jpeg</t>
  </si>
  <si>
    <t>https://d3ls91xgksobn.cloudfront.net/1200x900/etuovimedia/images/property/import/959/2590959/0e76b9541118d347871c0e0e51d244c4/375d12fe96ee375ad95359eac521070e/ORIGINAL.jpeg</t>
  </si>
  <si>
    <t>https://d3ls91xgksobn.cloudfront.net/1200x900/etuovimedia/images/property/import/959/2590959/0e76b9541118d347871c0e0e51d244c4/ec612cd67c094b5c075fa2aa3523cc7b/ORIGINAL.jpeg</t>
  </si>
  <si>
    <t>2590959</t>
  </si>
  <si>
    <t>https://www.etuovi.com/kohde/80502360</t>
  </si>
  <si>
    <t>2026-05-27</t>
  </si>
  <si>
    <t>3h, k, khh, kph, s, erill.wc, vh</t>
  </si>
  <si>
    <t>2026-06-10T14:04:34.960Z</t>
  </si>
  <si>
    <t>Row House (Rivitalo) — 3h, k, khh, kph, s, erill.wc, vh — 67 m² — Ylinen Ylöjärvi</t>
  </si>
  <si>
    <t>Kaarikuja 2 C 15 Kontula Helsinki</t>
  </si>
  <si>
    <t>Kaarikuja 2 C 15</t>
  </si>
  <si>
    <t>Kontula Helsinki</t>
  </si>
  <si>
    <t>4616</t>
  </si>
  <si>
    <t>REMAX Elegance | LKV HomeWay Oy</t>
  </si>
  <si>
    <t>Pekka Puustinen</t>
  </si>
  <si>
    <t>Kontula</t>
  </si>
  <si>
    <t>80507278</t>
  </si>
  <si>
    <t>https://d3ls91xgksobn.cloudfront.net/400x300/etuovimedia/images/property/import/563/2608563/0e76b9541118d347871c0e0e51d244c4/6f2dfc9a633d1e8c828299ccf675d4d5/ORIGINAL.jpeg</t>
  </si>
  <si>
    <t>https://d3ls91xgksobn.cloudfront.net/1200x900/etuovimedia/images/property/import/563/2608563/0e76b9541118d347871c0e0e51d244c4/6f2dfc9a633d1e8c828299ccf675d4d5/ORIGINAL.jpeg</t>
  </si>
  <si>
    <t>https://d3ls91xgksobn.cloudfront.net/1200x900/etuovimedia/images/property/import/563/2608563/0e76b9541118d347871c0e0e51d244c4/b94d3e37dea3a9b813d782822c007534/ORIGINAL.jpeg</t>
  </si>
  <si>
    <t>https://d3ls91xgksobn.cloudfront.net/1200x900/etuovimedia/images/property/import/563/2608563/0e76b9541118d347871c0e0e51d244c4/47a7c02bc1aabaeb17682050656be51d/ORIGINAL.jpeg</t>
  </si>
  <si>
    <t>2608563</t>
  </si>
  <si>
    <t>https://www.etuovi.com/kohde/80507278</t>
  </si>
  <si>
    <t>128 500 €</t>
  </si>
  <si>
    <t>3h + k + kph + wc + lasitettu parveke</t>
  </si>
  <si>
    <t>2026-06-10T14:04:35.051Z</t>
  </si>
  <si>
    <t>Apartment (Kerrostalo) — 3h + k + kph + wc + lasitettu parveke — 73 m² — Kontula Helsinki</t>
  </si>
  <si>
    <t>Lorentzinkuja 3 D Kruunuvuorenranta Helsinki</t>
  </si>
  <si>
    <t>Lorentzinkuja 3 D</t>
  </si>
  <si>
    <t>80512409</t>
  </si>
  <si>
    <t>https://d3ls91xgksobn.cloudfront.net/400x300/etuovimedia/images/property/import/562/2608562/0e76b9541118d347871c0e0e51d244c4/ced2bba56c8d69f7d6861792e2d21bfc/ORIGINAL.jpeg</t>
  </si>
  <si>
    <t>https://d3ls91xgksobn.cloudfront.net/1200x900/etuovimedia/images/property/import/562/2608562/0e76b9541118d347871c0e0e51d244c4/ced2bba56c8d69f7d6861792e2d21bfc/ORIGINAL.jpeg</t>
  </si>
  <si>
    <t>2608562</t>
  </si>
  <si>
    <t>https://www.etuovi.com/kohde/80512409</t>
  </si>
  <si>
    <t>4h, avokeittiö, kph, s, eril.wc, vh, las.parveke</t>
  </si>
  <si>
    <t>2026-06-10T14:04:35.083Z</t>
  </si>
  <si>
    <t>Apartment (Kerrostalo) — 4h, avokeittiö, kph, s, eril.wc, vh, las.parveke — 86 m² — Kruunuvuorenranta Helsinki</t>
  </si>
  <si>
    <t>Matalaraiviontie 160 Leppäkaarre Siilinjärvi</t>
  </si>
  <si>
    <t>Matalaraiviontie 160</t>
  </si>
  <si>
    <t>Leppäkaarre Siilinjärvi</t>
  </si>
  <si>
    <t>Leppäkaarre</t>
  </si>
  <si>
    <t>20768918</t>
  </si>
  <si>
    <t>https://d3ls91xgksobn.cloudfront.net/400x300/etuovimedia/images/property/import/889/2373889/0e76b9541118d347871c0e0e51d244c4/9fd8c9b9abb63cffe66790cdb7da43aa/ORIGINAL.jpeg</t>
  </si>
  <si>
    <t>https://d3ls91xgksobn.cloudfront.net/1200x900/etuovimedia/images/property/import/889/2373889/0e76b9541118d347871c0e0e51d244c4/9fd8c9b9abb63cffe66790cdb7da43aa/ORIGINAL.jpeg</t>
  </si>
  <si>
    <t>2373889</t>
  </si>
  <si>
    <t>https://www.etuovi.com/kohde/20768918</t>
  </si>
  <si>
    <t>336 000 €</t>
  </si>
  <si>
    <t>2025-10-28</t>
  </si>
  <si>
    <t>5h + k + s + khh + kph + s + 2 wc</t>
  </si>
  <si>
    <t>2026-06-10T14:04:35.105Z</t>
  </si>
  <si>
    <t>Detached House (Omakotitalo) — 5h + k + s + khh + kph + s + 2 wc — 146.5 m² — Leppäkaarre Siilinjärvi</t>
  </si>
  <si>
    <t>Iidankuja 1 Harjunpää Ulvila</t>
  </si>
  <si>
    <t>Iidankuja 1</t>
  </si>
  <si>
    <t>Harjunpää Ulvila</t>
  </si>
  <si>
    <t>Harjunpää</t>
  </si>
  <si>
    <t>617145</t>
  </si>
  <si>
    <t>https://d3ls91xgksobn.cloudfront.net/400x300/etuovimedia/images/property/import/691/2529691/0e76b9541118d347871c0e0e51d244c4/b421bbf9d49c2a3d58005e221bf89f46/ORIGINAL.jpeg</t>
  </si>
  <si>
    <t>https://d3ls91xgksobn.cloudfront.net/1200x900/etuovimedia/images/property/import/691/2529691/0e76b9541118d347871c0e0e51d244c4/b421bbf9d49c2a3d58005e221bf89f46/ORIGINAL.jpeg</t>
  </si>
  <si>
    <t>https://d3ls91xgksobn.cloudfront.net/1200x900/etuovimedia/images/property/import/691/2529691/0e76b9541118d347871c0e0e51d244c4/43691c6029dc324ab9eead2e3907cc19/ORIGINAL.jpeg</t>
  </si>
  <si>
    <t>2529691</t>
  </si>
  <si>
    <t>https://www.etuovi.com/kohde/617145</t>
  </si>
  <si>
    <t>2026-04-02</t>
  </si>
  <si>
    <t>4h, oh, k, rh, khh, 2xvh, 2xwc, takkahuone</t>
  </si>
  <si>
    <t>2026-06-10T14:04:35.190Z</t>
  </si>
  <si>
    <t>Detached House (Omakotitalo) — 4h, oh, k, rh, khh, 2xvh, 2xwc, takkahuone — 197 m² — Harjunpää Ulvila</t>
  </si>
  <si>
    <t>Hanhenkuja 4 Lukkarinmäki Salo</t>
  </si>
  <si>
    <t>Hanhenkuja 4</t>
  </si>
  <si>
    <t>3815</t>
  </si>
  <si>
    <t>UMMO LKV Salo</t>
  </si>
  <si>
    <t>80504258</t>
  </si>
  <si>
    <t>https://d3ls91xgksobn.cloudfront.net/400x300/etuovimedia/images/property/import/851/2574851/0e76b9541118d347871c0e0e51d244c4/910ae5a5f161b3bd60eed1ab9bea93ff/ORIGINAL.jpeg</t>
  </si>
  <si>
    <t>https://d3ls91xgksobn.cloudfront.net/1200x900/etuovimedia/images/property/import/851/2574851/0e76b9541118d347871c0e0e51d244c4/910ae5a5f161b3bd60eed1ab9bea93ff/ORIGINAL.jpeg</t>
  </si>
  <si>
    <t>2574851</t>
  </si>
  <si>
    <t>https://www.etuovi.com/kohde/80504258</t>
  </si>
  <si>
    <t>5h + k + kph + 2 erill.wc + autotalli + ulkosauna / pkh + varasto + kesähuone</t>
  </si>
  <si>
    <t>2026-06-10T14:04:35.251Z</t>
  </si>
  <si>
    <t>Detached House (Omakotitalo) — 5h + k + kph + 2 erill.wc + autotalli + ulkosauna / pkh + varasto + kesähuone — 100 m² — Lukkarinmäki Salo</t>
  </si>
  <si>
    <t>Kihvelkuja 3 Vallinkallio Uusikaupunki</t>
  </si>
  <si>
    <t>Kihvelkuja 3</t>
  </si>
  <si>
    <t>Vallinkallio Uusikaupunki</t>
  </si>
  <si>
    <t>4443</t>
  </si>
  <si>
    <t>Bo LKV Pori, Uusikaupunki</t>
  </si>
  <si>
    <t>Ketoniemi Piia</t>
  </si>
  <si>
    <t>Vallinkallio</t>
  </si>
  <si>
    <t>20295017</t>
  </si>
  <si>
    <t>https://d3ls91xgksobn.cloudfront.net/400x300/etuovimedia/images/property/import/559/2608559/0e76b9541118d347871c0e0e51d244c4/cfd787436bfd37c24346368e69c13f86/ORIGINAL.jpeg</t>
  </si>
  <si>
    <t>https://d3ls91xgksobn.cloudfront.net/1200x900/etuovimedia/images/property/import/559/2608559/0e76b9541118d347871c0e0e51d244c4/cfd787436bfd37c24346368e69c13f86/ORIGINAL.jpeg</t>
  </si>
  <si>
    <t>https://d3ls91xgksobn.cloudfront.net/1200x900/etuovimedia/images/property/import/559/2608559/0e76b9541118d347871c0e0e51d244c4/b98791f65ba4afd5eea2ab224572a621/ORIGINAL.jpeg</t>
  </si>
  <si>
    <t>2608559</t>
  </si>
  <si>
    <t>https://www.etuovi.com/kohde/20295017</t>
  </si>
  <si>
    <t>149 500 €</t>
  </si>
  <si>
    <t>4h + k + khh + kph + s</t>
  </si>
  <si>
    <t>2026-06-10T14:04:35.351Z</t>
  </si>
  <si>
    <t>Detached House (Omakotitalo) — 4h + k + khh + kph + s — 118 m² — Vallinkallio Uusikaupunki</t>
  </si>
  <si>
    <t>Ratakistonkatu 29 Villilä Tampere</t>
  </si>
  <si>
    <t>Ratakistonkatu 29</t>
  </si>
  <si>
    <t>Villilä Tampere</t>
  </si>
  <si>
    <t>775</t>
  </si>
  <si>
    <t>Glik Tampere Oy LKV</t>
  </si>
  <si>
    <t>http://www.glik.fi/</t>
  </si>
  <si>
    <t>Juulia Ferm</t>
  </si>
  <si>
    <t>Villilä</t>
  </si>
  <si>
    <t>39189168</t>
  </si>
  <si>
    <t>https://d3ls91xgksobn.cloudfront.net/400x300/etuovimedia/images/property/import/888/2570888/0e76b9541118d347871c0e0e51d244c4/ecff2a4bdf79fb74486f4c73651208fb/ORIGINAL.jpeg</t>
  </si>
  <si>
    <t>https://d3ls91xgksobn.cloudfront.net/1200x900/etuovimedia/images/property/import/888/2570888/0e76b9541118d347871c0e0e51d244c4/ecff2a4bdf79fb74486f4c73651208fb/ORIGINAL.jpeg</t>
  </si>
  <si>
    <t>https://d3ls91xgksobn.cloudfront.net/1200x900/etuovimedia/images/property/import/888/2570888/0e76b9541118d347871c0e0e51d244c4/028616555d038ff082aebecb0bf47260/ORIGINAL.jpeg</t>
  </si>
  <si>
    <t>https://d3ls91xgksobn.cloudfront.net/1200x900/etuovimedia/images/property/import/888/2570888/0e76b9541118d347871c0e0e51d244c4/c1f5008fc96dc488c63867a85552547b/ORIGINAL.jpeg</t>
  </si>
  <si>
    <t>2570888</t>
  </si>
  <si>
    <t>https://www.etuovi.com/kohde/39189168</t>
  </si>
  <si>
    <t>2026-05-08</t>
  </si>
  <si>
    <t>4h, k, kph, s, wc, p, terassi</t>
  </si>
  <si>
    <t>2026-06-10T14:04:35.423Z</t>
  </si>
  <si>
    <t>Row House (Rivitalo) — 4h, k, kph, s, wc, p, terassi — 105.5 m² — Villilä Tampere</t>
  </si>
  <si>
    <t>Rantaniityntie 8 Vaajakoski Jyväskylä</t>
  </si>
  <si>
    <t>Rantaniityntie 8</t>
  </si>
  <si>
    <t>Vaajakoski Jyväskylä</t>
  </si>
  <si>
    <t>Visa Suojanen</t>
  </si>
  <si>
    <t>Vaajakoski</t>
  </si>
  <si>
    <t>51453805</t>
  </si>
  <si>
    <t>https://d3ls91xgksobn.cloudfront.net/400x300/etuovimedia/images/property/import/558/2608558/0e76b9541118d347871c0e0e51d244c4/214573b41827e9c6c97824b586e7a672/ORIGINAL.jpeg</t>
  </si>
  <si>
    <t>https://d3ls91xgksobn.cloudfront.net/1200x900/etuovimedia/images/property/import/558/2608558/0e76b9541118d347871c0e0e51d244c4/214573b41827e9c6c97824b586e7a672/ORIGINAL.jpeg</t>
  </si>
  <si>
    <t>https://d3ls91xgksobn.cloudfront.net/1200x900/etuovimedia/images/property/import/558/2608558/0e76b9541118d347871c0e0e51d244c4/7d4673972512869706b9bb94f98d32c6/ORIGINAL.jpeg</t>
  </si>
  <si>
    <t>2608558</t>
  </si>
  <si>
    <t>https://www.etuovi.com/kohde/51453805</t>
  </si>
  <si>
    <t>689 000 €</t>
  </si>
  <si>
    <t>7h, k, kph, khh, s, pkh, 3wc, at, ter</t>
  </si>
  <si>
    <t>2026-06-10T14:04:35.439Z</t>
  </si>
  <si>
    <t>Detached House (Omakotitalo) — 7h, k, kph, khh, s, pkh, 3wc, at, ter — 220 m² — Vaajakoski Jyväskylä</t>
  </si>
  <si>
    <t>Alikyläntie 85 Ruosniemi Pori</t>
  </si>
  <si>
    <t>Alikyläntie 85</t>
  </si>
  <si>
    <t>Ruosniemi Pori</t>
  </si>
  <si>
    <t>3836</t>
  </si>
  <si>
    <t>Tilanne LKV | Lännen Kiinteistönvälitys Oy</t>
  </si>
  <si>
    <t>https://www.tilannelkv.fi/</t>
  </si>
  <si>
    <t>Ville Kippasto</t>
  </si>
  <si>
    <t>Ruosniemi</t>
  </si>
  <si>
    <t>55774473</t>
  </si>
  <si>
    <t>https://d3ls91xgksobn.cloudfront.net/400x300/etuovimedia/images/property/import/557/2608557/0e76b9541118d347871c0e0e51d244c4/1c967f7c9fab3b069107b9368c2eac41/ORIGINAL.jpeg</t>
  </si>
  <si>
    <t>https://d3ls91xgksobn.cloudfront.net/1200x900/etuovimedia/images/property/import/557/2608557/0e76b9541118d347871c0e0e51d244c4/1c967f7c9fab3b069107b9368c2eac41/ORIGINAL.jpeg</t>
  </si>
  <si>
    <t>https://d3ls91xgksobn.cloudfront.net/1200x900/etuovimedia/images/property/import/557/2608557/0e76b9541118d347871c0e0e51d244c4/46a292b69e36d2e8f6257785f77e7b8d/ORIGINAL.jpeg</t>
  </si>
  <si>
    <t>2608557</t>
  </si>
  <si>
    <t>https://www.etuovi.com/kohde/55774473</t>
  </si>
  <si>
    <t>4h, tupak, kph, s, khh, wc, vh, terassi, var, ak</t>
  </si>
  <si>
    <t>2026-06-10T14:04:35.464Z</t>
  </si>
  <si>
    <t>Detached House (Omakotitalo) — 4h, tupak, kph, s, khh, wc, vh, terassi, var, ak — 106 m² — Ruosniemi Pori</t>
  </si>
  <si>
    <t>Nuolikuja 3 Vanhatalo Hollola</t>
  </si>
  <si>
    <t>Nuolikuja 3</t>
  </si>
  <si>
    <t>Vanhatalo Hollola</t>
  </si>
  <si>
    <t>Marko Sykkö</t>
  </si>
  <si>
    <t>Vanhatalo</t>
  </si>
  <si>
    <t>80481170</t>
  </si>
  <si>
    <t>https://d3ls91xgksobn.cloudfront.net/400x300/etuovimedia/images/property/import/269/2514269/0e76b9541118d347871c0e0e51d244c4/c2935aed6a0484d9c6280351a30c4c78/ORIGINAL.jpeg</t>
  </si>
  <si>
    <t>https://d3ls91xgksobn.cloudfront.net/1200x900/etuovimedia/images/property/import/269/2514269/0e76b9541118d347871c0e0e51d244c4/c2935aed6a0484d9c6280351a30c4c78/ORIGINAL.jpeg</t>
  </si>
  <si>
    <t>https://d3ls91xgksobn.cloudfront.net/1200x900/etuovimedia/images/property/import/269/2514269/0e76b9541118d347871c0e0e51d244c4/db862d5967592c324c599fadcaf5fa8e/ORIGINAL.jpeg</t>
  </si>
  <si>
    <t>https://d3ls91xgksobn.cloudfront.net/1200x900/etuovimedia/images/property/import/269/2514269/0e76b9541118d347871c0e0e51d244c4/db0f8a62fd5990bfe895c29b550d4105/ORIGINAL.jpeg</t>
  </si>
  <si>
    <t>2514269</t>
  </si>
  <si>
    <t>https://www.etuovi.com/kohde/80481170</t>
  </si>
  <si>
    <t>4h, k, th, 2vh, 2wc, kph, s, varasto, at</t>
  </si>
  <si>
    <t>2026-06-10T14:04:35.482Z</t>
  </si>
  <si>
    <t>Detached House (Omakotitalo) — 4h, k, th, 2vh, 2wc, kph, s, varasto, at — 199 m² — Vanhatalo Hollola</t>
  </si>
  <si>
    <t>Laivaniementie 941 Laivaniemi Tornio</t>
  </si>
  <si>
    <t>Laivaniementie 941</t>
  </si>
  <si>
    <t>Laivaniemi Tornio</t>
  </si>
  <si>
    <t>1775</t>
  </si>
  <si>
    <t>Habita Tornio | Rajakoti Oy</t>
  </si>
  <si>
    <t>Laivaniemi</t>
  </si>
  <si>
    <t>2275591</t>
  </si>
  <si>
    <t>https://d3ls91xgksobn.cloudfront.net/400x300/etuovimedia/images/property/import/555/2608555/0e76b9541118d347871c0e0e51d244c4/9440c26a59de7b34ee3c96cd8821b270/ORIGINAL.jpeg</t>
  </si>
  <si>
    <t>https://d3ls91xgksobn.cloudfront.net/1200x900/etuovimedia/images/property/import/555/2608555/0e76b9541118d347871c0e0e51d244c4/9440c26a59de7b34ee3c96cd8821b270/ORIGINAL.jpeg</t>
  </si>
  <si>
    <t>2608555</t>
  </si>
  <si>
    <t>https://www.etuovi.com/kohde/2275591</t>
  </si>
  <si>
    <t>2026-06-10T14:04:35.559Z</t>
  </si>
  <si>
    <t>Detached House (Omakotitalo) — 5h + k + s — 110 m² — Laivaniemi Tornio</t>
  </si>
  <si>
    <t>Junkalantie 869 Välikannus Kannus</t>
  </si>
  <si>
    <t>Junkalantie 869</t>
  </si>
  <si>
    <t>Välikannus Kannus</t>
  </si>
  <si>
    <t>Välikannus</t>
  </si>
  <si>
    <t>21055397</t>
  </si>
  <si>
    <t>https://d3ls91xgksobn.cloudfront.net/400x300/etuovimedia/images/property/import/552/2608552/0e76b9541118d347871c0e0e51d244c4/7d5a291d66ea603073e1b4ca4dd6d863/ORIGINAL.jpeg</t>
  </si>
  <si>
    <t>https://d3ls91xgksobn.cloudfront.net/1200x900/etuovimedia/images/property/import/552/2608552/0e76b9541118d347871c0e0e51d244c4/7d5a291d66ea603073e1b4ca4dd6d863/ORIGINAL.jpeg</t>
  </si>
  <si>
    <t>2608552</t>
  </si>
  <si>
    <t>https://www.etuovi.com/kohde/21055397</t>
  </si>
  <si>
    <t>3h + k + s + ph + pyykkihuone</t>
  </si>
  <si>
    <t>2026-06-10T14:04:35.584Z</t>
  </si>
  <si>
    <t>Detached House (Omakotitalo) — 3h + k + s + ph + pyykkihuone — 165 m² — Välikannus Kannus</t>
  </si>
  <si>
    <t>Kourujärventie 2 Kotkamaa Kokkola</t>
  </si>
  <si>
    <t>Kourujärventie 2</t>
  </si>
  <si>
    <t>Kotkamaa Kokkola</t>
  </si>
  <si>
    <t>Kotkamaa</t>
  </si>
  <si>
    <t>80510505</t>
  </si>
  <si>
    <t>https://d3ls91xgksobn.cloudfront.net/400x300/etuovimedia/images/property/import/546/2608546/0e76b9541118d347871c0e0e51d244c4/0e2a399f825578d7c309c7a1e06b5ec9/ORIGINAL.jpeg</t>
  </si>
  <si>
    <t>https://d3ls91xgksobn.cloudfront.net/1200x900/etuovimedia/images/property/import/546/2608546/0e76b9541118d347871c0e0e51d244c4/0e2a399f825578d7c309c7a1e06b5ec9/ORIGINAL.jpeg</t>
  </si>
  <si>
    <t>2608546</t>
  </si>
  <si>
    <t>https://www.etuovi.com/kohde/80510505</t>
  </si>
  <si>
    <t>omakotitalo 3h + k + kph + s + ullakkotilat ja iso navettarakennus</t>
  </si>
  <si>
    <t>2026-06-10T14:04:35.599Z</t>
  </si>
  <si>
    <t>Detached House (Omakotitalo) — omakotitalo 3h + k + kph + s + ullakkotilat ja iso navettarakennus — Kotkamaa Kokkola</t>
  </si>
  <si>
    <t>Tilanhoitajankaari 14 Viikki Helsinki</t>
  </si>
  <si>
    <t>Tilanhoitajankaari 14</t>
  </si>
  <si>
    <t>3159</t>
  </si>
  <si>
    <t>Kiinteistömaailma Helsinki Viikki | Amuletti Asunnot Oy</t>
  </si>
  <si>
    <t>32454707</t>
  </si>
  <si>
    <t>https://d3ls91xgksobn.cloudfront.net/400x300/etuovimedia/images/property/import/545/2608545/0e76b9541118d347871c0e0e51d244c4/4de8b9d9035fb1f00de50da1b1329eea/ORIGINAL.jpeg</t>
  </si>
  <si>
    <t>https://d3ls91xgksobn.cloudfront.net/1200x900/etuovimedia/images/property/import/545/2608545/0e76b9541118d347871c0e0e51d244c4/4de8b9d9035fb1f00de50da1b1329eea/ORIGINAL.jpeg</t>
  </si>
  <si>
    <t>2608545</t>
  </si>
  <si>
    <t>https://www.etuovi.com/kohde/32454707</t>
  </si>
  <si>
    <t>2h, k, s, kph, vh, lasit. parveke</t>
  </si>
  <si>
    <t>2026-06-10T14:04:35.651Z</t>
  </si>
  <si>
    <t>Apartment (Kerrostalo) — 2h, k, s, kph, vh, lasit. parveke — 58 m² — Viikki Helsinki</t>
  </si>
  <si>
    <t>Metsolantie 7 Korso Vantaa</t>
  </si>
  <si>
    <t>Metsolantie 7</t>
  </si>
  <si>
    <t>fs3283</t>
  </si>
  <si>
    <t>https://d3ls91xgksobn.cloudfront.net/400x300/etuovimedia/images/property/import/542/2608542/0e76b9541118d347871c0e0e51d244c4/a4e4a8e9e7d1e46f3fd550189b55eaab/ORIGINAL.jpeg</t>
  </si>
  <si>
    <t>https://d3ls91xgksobn.cloudfront.net/1200x900/etuovimedia/images/property/import/542/2608542/0e76b9541118d347871c0e0e51d244c4/a4e4a8e9e7d1e46f3fd550189b55eaab/ORIGINAL.jpeg</t>
  </si>
  <si>
    <t>2608542</t>
  </si>
  <si>
    <t>https://www.etuovi.com/kohde/fs3283</t>
  </si>
  <si>
    <t>24 647,8 €</t>
  </si>
  <si>
    <t>2026-06-10T14:04:35.661Z</t>
  </si>
  <si>
    <t>Apartment (Kerrostalo) — 2H + KT + S — 52.5 m² — Korso Vantaa</t>
  </si>
  <si>
    <t>Viidakkopolku 4 Rekola Vantaa</t>
  </si>
  <si>
    <t>Viidakkopolku 4</t>
  </si>
  <si>
    <t>Rekola Vantaa</t>
  </si>
  <si>
    <t>Rekola</t>
  </si>
  <si>
    <t>fs3282</t>
  </si>
  <si>
    <t>https://d3ls91xgksobn.cloudfront.net/400x300/etuovimedia/images/property/import/541/2608541/0e76b9541118d347871c0e0e51d244c4/0fa143a104db7c192fd95b36b1f57533/ORIGINAL.jpeg</t>
  </si>
  <si>
    <t>https://d3ls91xgksobn.cloudfront.net/1200x900/etuovimedia/images/property/import/541/2608541/0e76b9541118d347871c0e0e51d244c4/0fa143a104db7c192fd95b36b1f57533/ORIGINAL.jpeg</t>
  </si>
  <si>
    <t>2608541</t>
  </si>
  <si>
    <t>https://www.etuovi.com/kohde/fs3282</t>
  </si>
  <si>
    <t>35 009,02 €</t>
  </si>
  <si>
    <t>2026-06-10T14:04:35.687Z</t>
  </si>
  <si>
    <t>Apartment (Kerrostalo) — 4H + K + S — 88 m² — Rekola Vantaa</t>
  </si>
  <si>
    <t>fs3279</t>
  </si>
  <si>
    <t>https://d3ls91xgksobn.cloudfront.net/400x300/etuovimedia/images/property/import/540/2608540/0e76b9541118d347871c0e0e51d244c4/0fa143a104db7c192fd95b36b1f57533/ORIGINAL.jpeg</t>
  </si>
  <si>
    <t>https://d3ls91xgksobn.cloudfront.net/1200x900/etuovimedia/images/property/import/540/2608540/0e76b9541118d347871c0e0e51d244c4/0fa143a104db7c192fd95b36b1f57533/ORIGINAL.jpeg</t>
  </si>
  <si>
    <t>2608540</t>
  </si>
  <si>
    <t>https://www.etuovi.com/kohde/fs3279</t>
  </si>
  <si>
    <t>25 845,24 €</t>
  </si>
  <si>
    <t>2026-06-10T14:04:35.765Z</t>
  </si>
  <si>
    <t>Apartment (Kerrostalo) — 2H + K + S — 58 m² — Rekola Vantaa</t>
  </si>
  <si>
    <t>Nissaksentie 3 Nissas Vantaa</t>
  </si>
  <si>
    <t>Nissaksentie 3</t>
  </si>
  <si>
    <t>Nissas Vantaa</t>
  </si>
  <si>
    <t>Nissas</t>
  </si>
  <si>
    <t>fs3278</t>
  </si>
  <si>
    <t>https://d3ls91xgksobn.cloudfront.net/400x300/etuovimedia/images/property/import/539/2608539/0e76b9541118d347871c0e0e51d244c4/fbc131b0b4c30fe75e59208c28a8f268/ORIGINAL.jpeg</t>
  </si>
  <si>
    <t>https://d3ls91xgksobn.cloudfront.net/1200x900/etuovimedia/images/property/import/539/2608539/0e76b9541118d347871c0e0e51d244c4/fbc131b0b4c30fe75e59208c28a8f268/ORIGINAL.jpeg</t>
  </si>
  <si>
    <t>2608539</t>
  </si>
  <si>
    <t>https://www.etuovi.com/kohde/fs3278</t>
  </si>
  <si>
    <t>40 937,52 €</t>
  </si>
  <si>
    <t>2026-06-10T14:04:35.783Z</t>
  </si>
  <si>
    <t>Row House (Rivitalo) — 5H + K + S — 99.5 m² — Nissas Vantaa</t>
  </si>
  <si>
    <t>Haapakuja 3 Koivukylä Vantaa</t>
  </si>
  <si>
    <t>Haapakuja 3</t>
  </si>
  <si>
    <t>Koivukylä Vantaa</t>
  </si>
  <si>
    <t>Koivukylä</t>
  </si>
  <si>
    <t>fs3277</t>
  </si>
  <si>
    <t>https://d3ls91xgksobn.cloudfront.net/400x300/etuovimedia/images/property/import/538/2608538/0e76b9541118d347871c0e0e51d244c4/9fcdffd6204e17a01c516e0c63d88c7c/ORIGINAL.jpeg</t>
  </si>
  <si>
    <t>https://d3ls91xgksobn.cloudfront.net/1200x900/etuovimedia/images/property/import/538/2608538/0e76b9541118d347871c0e0e51d244c4/9fcdffd6204e17a01c516e0c63d88c7c/ORIGINAL.jpeg</t>
  </si>
  <si>
    <t>2608538</t>
  </si>
  <si>
    <t>https://www.etuovi.com/kohde/fs3277</t>
  </si>
  <si>
    <t>11 685,1 €</t>
  </si>
  <si>
    <t>2026-06-10T14:04:35.803Z</t>
  </si>
  <si>
    <t>Apartment (Kerrostalo) — 2H + KK + S — 48 m² — Koivukylä Vantaa</t>
  </si>
  <si>
    <t>Kesätuulentie 7 Huhtinen Porvoo</t>
  </si>
  <si>
    <t>Kesätuulentie 7</t>
  </si>
  <si>
    <t>Huhtinen Porvoo</t>
  </si>
  <si>
    <t>Huhtinen</t>
  </si>
  <si>
    <t>fs3276</t>
  </si>
  <si>
    <t>https://d3ls91xgksobn.cloudfront.net/400x300/etuovimedia/images/property/import/537/2608537/0e76b9541118d347871c0e0e51d244c4/e4e30d71fa252d9f9fab8e6b960fe552/ORIGINAL.jpeg</t>
  </si>
  <si>
    <t>https://d3ls91xgksobn.cloudfront.net/1200x900/etuovimedia/images/property/import/537/2608537/0e76b9541118d347871c0e0e51d244c4/e4e30d71fa252d9f9fab8e6b960fe552/ORIGINAL.jpeg</t>
  </si>
  <si>
    <t>2608537</t>
  </si>
  <si>
    <t>https://www.etuovi.com/kohde/fs3276</t>
  </si>
  <si>
    <t>13 538,18 €</t>
  </si>
  <si>
    <t>2026-06-10T14:04:35.861Z</t>
  </si>
  <si>
    <t>Apartment (Kerrostalo) — 2H + K + S — 62 m² — Huhtinen Porvoo</t>
  </si>
  <si>
    <t>Linnanrakentajantie 11 ja Rouvienpolku 11 Herttoniemenranta Helsinki</t>
  </si>
  <si>
    <t>Linnanrakentajantie 11 ja Rouvienpolku 11</t>
  </si>
  <si>
    <t>fs3274</t>
  </si>
  <si>
    <t>https://d3ls91xgksobn.cloudfront.net/400x300/etuovimedia/images/property/import/536/2608536/0e76b9541118d347871c0e0e51d244c4/88e22fa14731dd57c8648319ea0e117a/ORIGINAL.jpeg</t>
  </si>
  <si>
    <t>https://d3ls91xgksobn.cloudfront.net/1200x900/etuovimedia/images/property/import/536/2608536/0e76b9541118d347871c0e0e51d244c4/88e22fa14731dd57c8648319ea0e117a/ORIGINAL.jpeg</t>
  </si>
  <si>
    <t>2608536</t>
  </si>
  <si>
    <t>https://www.etuovi.com/kohde/fs3274</t>
  </si>
  <si>
    <t>16 093,3 €</t>
  </si>
  <si>
    <t>2026-06-10T14:04:41.855Z</t>
  </si>
  <si>
    <t>Apartment (Kerrostalo) — 2H + KK + S — 44 m² — Herttoniemenranta Helsinki</t>
  </si>
  <si>
    <t>Tapulikaupungintie 15 Suutarila Helsinki</t>
  </si>
  <si>
    <t>Tapulikaupungintie 15</t>
  </si>
  <si>
    <t>fs3273</t>
  </si>
  <si>
    <t>https://d3ls91xgksobn.cloudfront.net/400x300/etuovimedia/images/property/import/535/2608535/0e76b9541118d347871c0e0e51d244c4/925b1cbce707e123a4779611b91d8322/ORIGINAL.jpeg</t>
  </si>
  <si>
    <t>https://d3ls91xgksobn.cloudfront.net/1200x900/etuovimedia/images/property/import/535/2608535/0e76b9541118d347871c0e0e51d244c4/925b1cbce707e123a4779611b91d8322/ORIGINAL.jpeg</t>
  </si>
  <si>
    <t>2608535</t>
  </si>
  <si>
    <t>https://www.etuovi.com/kohde/fs3273</t>
  </si>
  <si>
    <t>27 368,58 €</t>
  </si>
  <si>
    <t>2026-06-10T14:04:41.868Z</t>
  </si>
  <si>
    <t>Apartment (Kerrostalo) — 2H + KK + S — 52 m² — Suutarila Helsinki</t>
  </si>
  <si>
    <t>Aleksintie 1 As Kärsämäki</t>
  </si>
  <si>
    <t>Aleksintie 1 As</t>
  </si>
  <si>
    <t>982</t>
  </si>
  <si>
    <t>Kiinteistönvälitys Keidas LKV Oy / Nivala</t>
  </si>
  <si>
    <t>80509181</t>
  </si>
  <si>
    <t>https://d3ls91xgksobn.cloudfront.net/400x300/etuovimedia/images/property/import/533/2608533/0e76b9541118d347871c0e0e51d244c4/7fdee3d0ba3d50f677fb5bf338e77104/ORIGINAL.jpeg</t>
  </si>
  <si>
    <t>https://d3ls91xgksobn.cloudfront.net/1200x900/etuovimedia/images/property/import/533/2608533/0e76b9541118d347871c0e0e51d244c4/7fdee3d0ba3d50f677fb5bf338e77104/ORIGINAL.jpeg</t>
  </si>
  <si>
    <t>2608533</t>
  </si>
  <si>
    <t>https://www.etuovi.com/kohde/80509181</t>
  </si>
  <si>
    <t>16 000 €</t>
  </si>
  <si>
    <t>Oh + k + mh + ph + s + et + tk + vh</t>
  </si>
  <si>
    <t>2026-06-10T14:04:41.950Z</t>
  </si>
  <si>
    <t>Apartment (Kerrostalo) — Oh + k + mh + ph + s + et + tk + vh — 65 m² — Kärsämäki</t>
  </si>
  <si>
    <t>Taulumäentie 51 A Taulumäki Jyväskylä</t>
  </si>
  <si>
    <t>Taulumäentie 51 A</t>
  </si>
  <si>
    <t>Taulumäki Jyväskylä</t>
  </si>
  <si>
    <t>Ossi Louhivaara</t>
  </si>
  <si>
    <t>Taulumäki</t>
  </si>
  <si>
    <t>80513310</t>
  </si>
  <si>
    <t>https://d3ls91xgksobn.cloudfront.net/400x300/etuovimedia/images/property/import/532/2608532/0e76b9541118d347871c0e0e51d244c4/ff10b2fb4b228f560406cc65b72dfa7f/ORIGINAL.jpeg</t>
  </si>
  <si>
    <t>https://d3ls91xgksobn.cloudfront.net/1200x900/etuovimedia/images/property/import/532/2608532/0e76b9541118d347871c0e0e51d244c4/ff10b2fb4b228f560406cc65b72dfa7f/ORIGINAL.jpeg</t>
  </si>
  <si>
    <t>https://d3ls91xgksobn.cloudfront.net/1200x900/etuovimedia/images/property/import/532/2608532/0e76b9541118d347871c0e0e51d244c4/15fdd451cd4c2c9dd4e782df16ad3555/ORIGINAL.jpeg</t>
  </si>
  <si>
    <t>https://d3ls91xgksobn.cloudfront.net/1200x900/etuovimedia/images/property/import/532/2608532/0e76b9541118d347871c0e0e51d244c4/a50d3c1c2a8e1b3890ce38d2dae34e40/ORIGINAL.jpeg</t>
  </si>
  <si>
    <t>2608532</t>
  </si>
  <si>
    <t>https://www.etuovi.com/kohde/80513310</t>
  </si>
  <si>
    <t>174 000 €</t>
  </si>
  <si>
    <t>2h, k, kph, las.par.</t>
  </si>
  <si>
    <t>2026-06-10T14:04:42.252Z</t>
  </si>
  <si>
    <t>Apartment (Kerrostalo) — 2h, k, kph, las.par. — 49.5 m² — Taulumäki Jyväskylä</t>
  </si>
  <si>
    <t>Bifrostinkuja 1 A Karhusuo Espoo</t>
  </si>
  <si>
    <t>Bifrostinkuja 1 A</t>
  </si>
  <si>
    <t>Karhusuo Espoo</t>
  </si>
  <si>
    <t>Karhusuo</t>
  </si>
  <si>
    <t>80515430</t>
  </si>
  <si>
    <t>https://d3ls91xgksobn.cloudfront.net/400x300/etuovimedia/images/property/import/531/2608531/0e76b9541118d347871c0e0e51d244c4/621f90a810a16883156e42ecff477b9c/ORIGINAL.jpeg</t>
  </si>
  <si>
    <t>https://d3ls91xgksobn.cloudfront.net/1200x900/etuovimedia/images/property/import/531/2608531/0e76b9541118d347871c0e0e51d244c4/621f90a810a16883156e42ecff477b9c/ORIGINAL.jpeg</t>
  </si>
  <si>
    <t>2608531</t>
  </si>
  <si>
    <t>https://www.etuovi.com/kohde/80515430</t>
  </si>
  <si>
    <t>4h + avok + kph + s + khh + wc + var + ak</t>
  </si>
  <si>
    <t>2026-06-10T14:04:42.551Z</t>
  </si>
  <si>
    <t>Semi-detached (Paritalo) — 4h + avok + kph + s + khh + wc + var + ak — 77.5 m² — Karhusuo Espoo</t>
  </si>
  <si>
    <t>Mehiläisentie 5 as Toejoki Pori</t>
  </si>
  <si>
    <t>Mehiläisentie 5 as</t>
  </si>
  <si>
    <t>Toejoki Pori</t>
  </si>
  <si>
    <t>Olli Tuumi</t>
  </si>
  <si>
    <t>Toejoki</t>
  </si>
  <si>
    <t>621153</t>
  </si>
  <si>
    <t>https://d3ls91xgksobn.cloudfront.net/400x300/etuovimedia/images/property/import/527/2608527/0e76b9541118d347871c0e0e51d244c4/9096b9877fc0b25481bfab2bc3e9c44b/ORIGINAL.jpeg</t>
  </si>
  <si>
    <t>https://d3ls91xgksobn.cloudfront.net/1200x900/etuovimedia/images/property/import/527/2608527/0e76b9541118d347871c0e0e51d244c4/9096b9877fc0b25481bfab2bc3e9c44b/ORIGINAL.jpeg</t>
  </si>
  <si>
    <t>https://d3ls91xgksobn.cloudfront.net/1200x900/etuovimedia/images/property/import/527/2608527/0e76b9541118d347871c0e0e51d244c4/abaefd38f43b923a2a8f9990fc2efb4e/ORIGINAL.jpeg</t>
  </si>
  <si>
    <t>https://d3ls91xgksobn.cloudfront.net/1200x900/etuovimedia/images/property/import/527/2608527/0e76b9541118d347871c0e0e51d244c4/304ed3dffadbf7f3e81db9fee552b3ba/ORIGINAL.jpeg</t>
  </si>
  <si>
    <t>2608527</t>
  </si>
  <si>
    <t>https://www.etuovi.com/kohde/621153</t>
  </si>
  <si>
    <t>3h + k + vh + wc + kph + s</t>
  </si>
  <si>
    <t>2026-06-10T14:04:42.566Z</t>
  </si>
  <si>
    <t>Row House (Rivitalo) — 3h + k + vh + wc + kph + s — 80.5 m² — Toejoki Pori</t>
  </si>
  <si>
    <t>Teuvo Pakkalankatu 16 B Raksila Oulu</t>
  </si>
  <si>
    <t>Teuvo Pakkalankatu 16 B</t>
  </si>
  <si>
    <t>Raksila Oulu</t>
  </si>
  <si>
    <t>Raksila</t>
  </si>
  <si>
    <t>620642</t>
  </si>
  <si>
    <t>https://d3ls91xgksobn.cloudfront.net/400x300/etuovimedia/images/property/import/526/2608526/0e76b9541118d347871c0e0e51d244c4/4c1d000e9aa7f9d09bc20454ea9ad267/ORIGINAL.jpeg</t>
  </si>
  <si>
    <t>https://d3ls91xgksobn.cloudfront.net/1200x900/etuovimedia/images/property/import/526/2608526/0e76b9541118d347871c0e0e51d244c4/4c1d000e9aa7f9d09bc20454ea9ad267/ORIGINAL.jpeg</t>
  </si>
  <si>
    <t>https://d3ls91xgksobn.cloudfront.net/1200x900/etuovimedia/images/property/import/526/2608526/0e76b9541118d347871c0e0e51d244c4/9142020af509dc7cb93cad92f1e8f95b/ORIGINAL.jpeg</t>
  </si>
  <si>
    <t>2608526</t>
  </si>
  <si>
    <t>https://www.etuovi.com/kohde/620642</t>
  </si>
  <si>
    <t>68 000 €</t>
  </si>
  <si>
    <t>2026-06-10T14:04:42.664Z</t>
  </si>
  <si>
    <t>Apartment (Kerrostalo) — 2h + k — 43 m² — Raksila Oulu</t>
  </si>
  <si>
    <t>Jontikka 8 A Lutakko Jyväskylä</t>
  </si>
  <si>
    <t>Jontikka 8 A</t>
  </si>
  <si>
    <t>Lutakko Jyväskylä</t>
  </si>
  <si>
    <t>Kristiina Kallio</t>
  </si>
  <si>
    <t>Lutakko</t>
  </si>
  <si>
    <t>620486</t>
  </si>
  <si>
    <t>https://d3ls91xgksobn.cloudfront.net/400x300/etuovimedia/images/property/import/525/2608525/0e76b9541118d347871c0e0e51d244c4/9367d06b0f611bc34696680b6cce3470/ORIGINAL.jpeg</t>
  </si>
  <si>
    <t>https://d3ls91xgksobn.cloudfront.net/1200x900/etuovimedia/images/property/import/525/2608525/0e76b9541118d347871c0e0e51d244c4/9367d06b0f611bc34696680b6cce3470/ORIGINAL.jpeg</t>
  </si>
  <si>
    <t>https://d3ls91xgksobn.cloudfront.net/1200x900/etuovimedia/images/property/import/525/2608525/0e76b9541118d347871c0e0e51d244c4/020bd40fe06f1cad1e218b62fe7e5fd2/ORIGINAL.jpeg</t>
  </si>
  <si>
    <t>https://d3ls91xgksobn.cloudfront.net/1200x900/etuovimedia/images/property/import/525/2608525/0e76b9541118d347871c0e0e51d244c4/cf18b4d72cbf6f797e3bf13a895349f1/ORIGINAL.jpeg</t>
  </si>
  <si>
    <t>2608525</t>
  </si>
  <si>
    <t>https://www.etuovi.com/kohde/620486</t>
  </si>
  <si>
    <t>2026-06-10T14:04:42.687Z</t>
  </si>
  <si>
    <t>Apartment (Kerrostalo) — 2h + kk + s — 44.5 m² — Lutakko Jyväskylä</t>
  </si>
  <si>
    <t>Syrjäkatu 10 as Raksila Oulu</t>
  </si>
  <si>
    <t>Syrjäkatu 10 as</t>
  </si>
  <si>
    <t>620014</t>
  </si>
  <si>
    <t>https://d3ls91xgksobn.cloudfront.net/400x300/etuovimedia/images/property/import/524/2608524/0e76b9541118d347871c0e0e51d244c4/359d7442ee8196d96e7b9d1ae64e09e9/ORIGINAL.jpeg</t>
  </si>
  <si>
    <t>https://d3ls91xgksobn.cloudfront.net/1200x900/etuovimedia/images/property/import/524/2608524/0e76b9541118d347871c0e0e51d244c4/359d7442ee8196d96e7b9d1ae64e09e9/ORIGINAL.jpeg</t>
  </si>
  <si>
    <t>https://d3ls91xgksobn.cloudfront.net/1200x900/etuovimedia/images/property/import/524/2608524/0e76b9541118d347871c0e0e51d244c4/df59856e2219947ca4dcafd206098997/ORIGINAL.jpeg</t>
  </si>
  <si>
    <t>2608524</t>
  </si>
  <si>
    <t>https://www.etuovi.com/kohde/620014</t>
  </si>
  <si>
    <t>2h, k, parv</t>
  </si>
  <si>
    <t>2026-06-10T14:04:42.704Z</t>
  </si>
  <si>
    <t>Apartment (Kerrostalo) — 2h, k, parv — 51 m² — Raksila Oulu</t>
  </si>
  <si>
    <t>Suksitie 24 C Ylivieska</t>
  </si>
  <si>
    <t>Suksitie 24 C</t>
  </si>
  <si>
    <t>3683</t>
  </si>
  <si>
    <t>OP Koti Pohjoinen Oy LKV, Ylivieska</t>
  </si>
  <si>
    <t>619299</t>
  </si>
  <si>
    <t>https://d3ls91xgksobn.cloudfront.net/400x300/etuovimedia/images/property/import/523/2608523/0e76b9541118d347871c0e0e51d244c4/5cd015a508accea7e8ea8339e24b34a2/ORIGINAL.jpeg</t>
  </si>
  <si>
    <t>https://d3ls91xgksobn.cloudfront.net/1200x900/etuovimedia/images/property/import/523/2608523/0e76b9541118d347871c0e0e51d244c4/5cd015a508accea7e8ea8339e24b34a2/ORIGINAL.jpeg</t>
  </si>
  <si>
    <t>2608523</t>
  </si>
  <si>
    <t>https://www.etuovi.com/kohde/619299</t>
  </si>
  <si>
    <t>2026-06-10T14:04:42.774Z</t>
  </si>
  <si>
    <t>Row House (Rivitalo) — 3h, k, s — 75 m² — Ylivieska</t>
  </si>
  <si>
    <t>Juustenintie 2 Malminkartano Helsinki</t>
  </si>
  <si>
    <t>Juustenintie 2</t>
  </si>
  <si>
    <t>Rautio Mari</t>
  </si>
  <si>
    <t>21130975</t>
  </si>
  <si>
    <t>https://d3ls91xgksobn.cloudfront.net/400x300/etuovimedia/images/property/import/522/2608522/0e76b9541118d347871c0e0e51d244c4/31f37db7b829836c89265133701f33bb/ORIGINAL.jpeg</t>
  </si>
  <si>
    <t>https://d3ls91xgksobn.cloudfront.net/1200x900/etuovimedia/images/property/import/522/2608522/0e76b9541118d347871c0e0e51d244c4/31f37db7b829836c89265133701f33bb/ORIGINAL.jpeg</t>
  </si>
  <si>
    <t>https://d3ls91xgksobn.cloudfront.net/1200x900/etuovimedia/images/property/import/522/2608522/0e76b9541118d347871c0e0e51d244c4/4d0d80b053b299f4d4683cc5d58b3153/ORIGINAL.jpeg</t>
  </si>
  <si>
    <t>2608522</t>
  </si>
  <si>
    <t>https://www.etuovi.com/kohde/21130975</t>
  </si>
  <si>
    <t>3h, avokeittiö, kph, s, lasitettu parveke (yj. 3h + kt + s)</t>
  </si>
  <si>
    <t>2026-06-10T14:04:42.795Z</t>
  </si>
  <si>
    <t>Apartment (Kerrostalo) — 3h, avokeittiö, kph, s, lasitettu parveke (yj. 3h + kt + s) — 60.5 m² — Malminkartano Helsinki</t>
  </si>
  <si>
    <t>Kålantie 21 Kålabacken Kokkola</t>
  </si>
  <si>
    <t>Kålantie 21</t>
  </si>
  <si>
    <t>Kålabacken Kokkola</t>
  </si>
  <si>
    <t>Kålabacken</t>
  </si>
  <si>
    <t>32475425</t>
  </si>
  <si>
    <t>https://d3ls91xgksobn.cloudfront.net/400x300/etuovimedia/images/property/import/521/2608521/0e76b9541118d347871c0e0e51d244c4/c176914c0391f064a432fbc2bf4a09d1/ORIGINAL.jpeg</t>
  </si>
  <si>
    <t>https://d3ls91xgksobn.cloudfront.net/1200x900/etuovimedia/images/property/import/521/2608521/0e76b9541118d347871c0e0e51d244c4/c176914c0391f064a432fbc2bf4a09d1/ORIGINAL.jpeg</t>
  </si>
  <si>
    <t>2608521</t>
  </si>
  <si>
    <t>https://www.etuovi.com/kohde/32475425</t>
  </si>
  <si>
    <t>4h + k + wc + kph + s + eteinen + kuisti + tekn.t + ulkorakennus</t>
  </si>
  <si>
    <t>2026-06-10T14:04:42.815Z</t>
  </si>
  <si>
    <t>Detached House (Omakotitalo) — 4h + k + wc + kph + s + eteinen + kuisti + tekn.t + ulkorakennus — 85 m² — Kålabacken Kokkola</t>
  </si>
  <si>
    <t>Laiturikatu 11 A 10 Keskusta Lohja</t>
  </si>
  <si>
    <t>Laiturikatu 11 A 10</t>
  </si>
  <si>
    <t>fs3268</t>
  </si>
  <si>
    <t>https://d3ls91xgksobn.cloudfront.net/400x300/etuovimedia/images/property/import/516/2608516/0e76b9541118d347871c0e0e51d244c4/e6a56a62dedf1db8414a19e005b632a6/ORIGINAL.jpeg</t>
  </si>
  <si>
    <t>https://d3ls91xgksobn.cloudfront.net/1200x900/etuovimedia/images/property/import/516/2608516/0e76b9541118d347871c0e0e51d244c4/e6a56a62dedf1db8414a19e005b632a6/ORIGINAL.jpeg</t>
  </si>
  <si>
    <t>2608516</t>
  </si>
  <si>
    <t>https://www.etuovi.com/kohde/fs3268</t>
  </si>
  <si>
    <t>Terhi McDougall</t>
  </si>
  <si>
    <t>2026-06-10T14:04:42.864Z</t>
  </si>
  <si>
    <t>Apartment (Kerrostalo) — 2h + k + s — 51 m² — Keskusta Lohja</t>
  </si>
  <si>
    <t>Kapteeninkatu 8 A 11 Palosaari Vaasa</t>
  </si>
  <si>
    <t>Kapteeninkatu 8 A 11</t>
  </si>
  <si>
    <t>1936</t>
  </si>
  <si>
    <t>20511550</t>
  </si>
  <si>
    <t>https://d3ls91xgksobn.cloudfront.net/400x300/etuovimedia/images/property/import/515/2608515/0e76b9541118d347871c0e0e51d244c4/2d53b7034d2d29ba2858d942693e7e64/ORIGINAL.jpeg</t>
  </si>
  <si>
    <t>https://d3ls91xgksobn.cloudfront.net/1200x900/etuovimedia/images/property/import/515/2608515/0e76b9541118d347871c0e0e51d244c4/2d53b7034d2d29ba2858d942693e7e64/ORIGINAL.jpeg</t>
  </si>
  <si>
    <t>2608515</t>
  </si>
  <si>
    <t>https://www.etuovi.com/kohde/20511550</t>
  </si>
  <si>
    <t>1h + kk + kh</t>
  </si>
  <si>
    <t>2026-06-10T14:04:42.978Z</t>
  </si>
  <si>
    <t>WOODEN_HOUSE_APARTMENT — 1h + kk + kh — 24 m² — Palosaari Vaasa</t>
  </si>
  <si>
    <t>Tarmontie 40 Välivainio Oulu</t>
  </si>
  <si>
    <t>Tarmontie 40</t>
  </si>
  <si>
    <t>Välivainio Oulu</t>
  </si>
  <si>
    <t>Paula Kaarre</t>
  </si>
  <si>
    <t>Välivainio</t>
  </si>
  <si>
    <t>42739608</t>
  </si>
  <si>
    <t>https://d3ls91xgksobn.cloudfront.net/400x300/etuovimedia/images/property/import/511/2608511/0e76b9541118d347871c0e0e51d244c4/faf23bd91624ecc4873493c2477ad988/ORIGINAL.jpeg</t>
  </si>
  <si>
    <t>https://d3ls91xgksobn.cloudfront.net/1200x900/etuovimedia/images/property/import/511/2608511/0e76b9541118d347871c0e0e51d244c4/faf23bd91624ecc4873493c2477ad988/ORIGINAL.jpeg</t>
  </si>
  <si>
    <t>https://d3ls91xgksobn.cloudfront.net/1200x900/etuovimedia/images/property/import/511/2608511/0e76b9541118d347871c0e0e51d244c4/cae1d9c1aedab63b103a530f87ec2a7b/ORIGINAL.jpeg</t>
  </si>
  <si>
    <t>2608511</t>
  </si>
  <si>
    <t>https://www.etuovi.com/kohde/42739608</t>
  </si>
  <si>
    <t>5h, k, khh, kph, s, 2*wc, var, ak</t>
  </si>
  <si>
    <t>2026-06-10T14:04:42.999Z</t>
  </si>
  <si>
    <t>Row House (Rivitalo) — 5h, k, khh, kph, s, 2*wc, var, ak — 140 m² — Välivainio Oulu</t>
  </si>
  <si>
    <t>Aittatie 6b Konala Helsinki</t>
  </si>
  <si>
    <t>Aittatie 6b</t>
  </si>
  <si>
    <t>Konala Helsinki</t>
  </si>
  <si>
    <t>Konala</t>
  </si>
  <si>
    <t>62764927</t>
  </si>
  <si>
    <t>https://d3ls91xgksobn.cloudfront.net/400x300/etuovimedia/images/property/import/510/2608510/0e76b9541118d347871c0e0e51d244c4/5bede7d52b2398b74851d8eb54509731/ORIGINAL.jpeg</t>
  </si>
  <si>
    <t>https://d3ls91xgksobn.cloudfront.net/1200x900/etuovimedia/images/property/import/510/2608510/0e76b9541118d347871c0e0e51d244c4/5bede7d52b2398b74851d8eb54509731/ORIGINAL.jpeg</t>
  </si>
  <si>
    <t>2608510</t>
  </si>
  <si>
    <t>https://www.etuovi.com/kohde/62764927</t>
  </si>
  <si>
    <t>468 000 €</t>
  </si>
  <si>
    <t>5h, avok, 2xkph, s, khh</t>
  </si>
  <si>
    <t>2026-06-10T14:04:43.014Z</t>
  </si>
  <si>
    <t>Semi-detached (Paritalo) — 5h, avok, 2xkph, s, khh — 142 m² — Konala Helsinki</t>
  </si>
  <si>
    <t>Nisse Kavon katu 6 B Varissuo Turku</t>
  </si>
  <si>
    <t>Nisse Kavon katu 6 B</t>
  </si>
  <si>
    <t>80502822</t>
  </si>
  <si>
    <t>https://d3ls91xgksobn.cloudfront.net/400x300/etuovimedia/images/property/import/955/2560955/0e76b9541118d347871c0e0e51d244c4/46d63e7a4995e0da411a470eaa1014e0/ORIGINAL.jpeg</t>
  </si>
  <si>
    <t>https://d3ls91xgksobn.cloudfront.net/1200x900/etuovimedia/images/property/import/955/2560955/0e76b9541118d347871c0e0e51d244c4/46d63e7a4995e0da411a470eaa1014e0/ORIGINAL.jpeg</t>
  </si>
  <si>
    <t>https://d3ls91xgksobn.cloudfront.net/1200x900/etuovimedia/images/property/import/955/2560955/0e76b9541118d347871c0e0e51d244c4/fe9f8e1461c065be3c32a1756bf15255/ORIGINAL.jpeg</t>
  </si>
  <si>
    <t>https://d3ls91xgksobn.cloudfront.net/1200x900/etuovimedia/images/property/import/955/2560955/0e76b9541118d347871c0e0e51d244c4/039a478ade38c8982b98dc42cc30d532/ORIGINAL.jpeg</t>
  </si>
  <si>
    <t>2560955</t>
  </si>
  <si>
    <t>https://www.etuovi.com/kohde/80502822</t>
  </si>
  <si>
    <t>45 500 €</t>
  </si>
  <si>
    <t>2026-06-10T14:04:43.063Z</t>
  </si>
  <si>
    <t>Apartment (Kerrostalo) — 1h + kk — 30 m² — Varissuo Turku</t>
  </si>
  <si>
    <t>Taka-Niipperin tie 8 Kalajärvi Espoo</t>
  </si>
  <si>
    <t>Taka-Niipperin tie 8</t>
  </si>
  <si>
    <t>Kalajärvi Espoo</t>
  </si>
  <si>
    <t>867</t>
  </si>
  <si>
    <t>Uudenmaan Viva Oy Lkv, Suur-Helsinki</t>
  </si>
  <si>
    <t>http://www.vivalkv.fi/</t>
  </si>
  <si>
    <t>Kalajärvi</t>
  </si>
  <si>
    <t>80511084</t>
  </si>
  <si>
    <t>https://d3ls91xgksobn.cloudfront.net/400x300/etuovimedia/images/property/import/509/2608509/0e76b9541118d347871c0e0e51d244c4/1494d700acbb6e3cbfba611c386cca6a/ORIGINAL.jpeg</t>
  </si>
  <si>
    <t>https://d3ls91xgksobn.cloudfront.net/1200x900/etuovimedia/images/property/import/509/2608509/0e76b9541118d347871c0e0e51d244c4/1494d700acbb6e3cbfba611c386cca6a/ORIGINAL.jpeg</t>
  </si>
  <si>
    <t>2608509</t>
  </si>
  <si>
    <t>https://www.etuovi.com/kohde/80511084</t>
  </si>
  <si>
    <t>495 000 €</t>
  </si>
  <si>
    <t>5h, k, s, ph, khh, 3wc, var, at, ask, at, ak</t>
  </si>
  <si>
    <t>2026-06-10T14:04:43.077Z</t>
  </si>
  <si>
    <t>Detached House (Omakotitalo) — 5h, k, s, ph, khh, 3wc, var, at, ask, at, ak — 170 m² — Kalajärvi Espoo</t>
  </si>
  <si>
    <t>Sarvikatu 8 F Jalkaranta Lahti</t>
  </si>
  <si>
    <t>Sarvikatu 8 F</t>
  </si>
  <si>
    <t>Jalkaranta Lahti</t>
  </si>
  <si>
    <t>Jalkaranta</t>
  </si>
  <si>
    <t>80509537</t>
  </si>
  <si>
    <t>https://d3ls91xgksobn.cloudfront.net/400x300/etuovimedia/images/property/import/508/2608508/0e76b9541118d347871c0e0e51d244c4/216e05d9c646117218f574df46842ff2/ORIGINAL.jpeg</t>
  </si>
  <si>
    <t>https://d3ls91xgksobn.cloudfront.net/1200x900/etuovimedia/images/property/import/508/2608508/0e76b9541118d347871c0e0e51d244c4/216e05d9c646117218f574df46842ff2/ORIGINAL.jpeg</t>
  </si>
  <si>
    <t>2608508</t>
  </si>
  <si>
    <t>https://www.etuovi.com/kohde/80509537</t>
  </si>
  <si>
    <t>2h, k, kph, lasitettu parveke</t>
  </si>
  <si>
    <t>2026-06-10T14:04:43.164Z</t>
  </si>
  <si>
    <t>Apartment (Kerrostalo) — 2h, k, kph, lasitettu parveke — 57.5 m² — Jalkaranta Lahti</t>
  </si>
  <si>
    <t>Väinölänkatu 28 as Peltola Lappeenranta</t>
  </si>
  <si>
    <t>Väinölänkatu 28 as</t>
  </si>
  <si>
    <t>Peltola Lappeenranta</t>
  </si>
  <si>
    <t>3936</t>
  </si>
  <si>
    <t>PRIME LKV</t>
  </si>
  <si>
    <t>https://www.primelkv.fi/</t>
  </si>
  <si>
    <t>Iines Suninen</t>
  </si>
  <si>
    <t>Peltola</t>
  </si>
  <si>
    <t>80512619</t>
  </si>
  <si>
    <t>https://d3ls91xgksobn.cloudfront.net/400x300/etuovimedia/images/property/import/507/2608507/0e76b9541118d347871c0e0e51d244c4/3f768086033d5190bfa0fd45c7638d51/ORIGINAL.jpeg</t>
  </si>
  <si>
    <t>https://d3ls91xgksobn.cloudfront.net/1200x900/etuovimedia/images/property/import/507/2608507/0e76b9541118d347871c0e0e51d244c4/3f768086033d5190bfa0fd45c7638d51/ORIGINAL.jpeg</t>
  </si>
  <si>
    <t>https://d3ls91xgksobn.cloudfront.net/1200x900/etuovimedia/images/property/import/507/2608507/0e76b9541118d347871c0e0e51d244c4/f35a28a3dfba48aa0adce9385ef3bd45/ORIGINAL.jpeg</t>
  </si>
  <si>
    <t>https://d3ls91xgksobn.cloudfront.net/1200x900/etuovimedia/images/property/import/507/2608507/0e76b9541118d347871c0e0e51d244c4/c61c1940074b4200d2d9a2a8746ac1b8/ORIGINAL.jpeg</t>
  </si>
  <si>
    <t>2608507</t>
  </si>
  <si>
    <t>https://www.etuovi.com/kohde/80512619</t>
  </si>
  <si>
    <t>2h + k + p</t>
  </si>
  <si>
    <t>2026-06-10T14:04:43.251Z</t>
  </si>
  <si>
    <t>Apartment (Kerrostalo) — 2h + k + p — 52.5 m² — Peltola Lappeenranta</t>
  </si>
  <si>
    <t>Lamminahontie 2 Pyhäjärvi</t>
  </si>
  <si>
    <t>Lamminahontie 2</t>
  </si>
  <si>
    <t>80513357</t>
  </si>
  <si>
    <t>https://d3ls91xgksobn.cloudfront.net/400x300/etuovimedia/images/property/import/506/2608506/0e76b9541118d347871c0e0e51d244c4/974a93a27ccca19c5213b3ace75fb33a/ORIGINAL.jpeg</t>
  </si>
  <si>
    <t>https://d3ls91xgksobn.cloudfront.net/1200x900/etuovimedia/images/property/import/506/2608506/0e76b9541118d347871c0e0e51d244c4/974a93a27ccca19c5213b3ace75fb33a/ORIGINAL.jpeg</t>
  </si>
  <si>
    <t>2608506</t>
  </si>
  <si>
    <t>https://www.etuovi.com/kohde/80513357</t>
  </si>
  <si>
    <t>Oh + k + 2mh + kph + s + wc + et</t>
  </si>
  <si>
    <t>2026-06-10T14:04:43.272Z</t>
  </si>
  <si>
    <t>Detached House (Omakotitalo) — Oh + k + 2mh + kph + s + wc + et — 70 m² — Pyhäjärvi</t>
  </si>
  <si>
    <t>Toukolankatu 38 Kaerla Turku</t>
  </si>
  <si>
    <t>Toukolankatu 38</t>
  </si>
  <si>
    <t>Kaerla Turku</t>
  </si>
  <si>
    <t>110</t>
  </si>
  <si>
    <t>Huoneistokeskus Turku</t>
  </si>
  <si>
    <t>Kaerla</t>
  </si>
  <si>
    <t>80509407</t>
  </si>
  <si>
    <t>https://d3ls91xgksobn.cloudfront.net/400x300/etuovimedia/images/property/import/505/2608505/0e76b9541118d347871c0e0e51d244c4/3b76adfa6d8addad88c5f7f049adc614/ORIGINAL.jpeg</t>
  </si>
  <si>
    <t>https://d3ls91xgksobn.cloudfront.net/1200x900/etuovimedia/images/property/import/505/2608505/0e76b9541118d347871c0e0e51d244c4/3b76adfa6d8addad88c5f7f049adc614/ORIGINAL.jpeg</t>
  </si>
  <si>
    <t>2608505</t>
  </si>
  <si>
    <t>https://www.etuovi.com/kohde/80509407</t>
  </si>
  <si>
    <t>4h + avok + kph + wc + khh + vh</t>
  </si>
  <si>
    <t>2026-06-10T14:04:43.284Z</t>
  </si>
  <si>
    <t>Detached House (Omakotitalo) — 4h + avok + kph + wc + khh + vh — 121 m² — Kaerla Turku</t>
  </si>
  <si>
    <t>Koirasaarentie 37 Laajasalo Helsinki</t>
  </si>
  <si>
    <t>Koirasaarentie 37</t>
  </si>
  <si>
    <t>4622</t>
  </si>
  <si>
    <t>Haso | Helsingin Asumisoikeus Oy</t>
  </si>
  <si>
    <t>https://haso.fi/</t>
  </si>
  <si>
    <t>fs3263</t>
  </si>
  <si>
    <t>https://d3ls91xgksobn.cloudfront.net/400x300/etuovimedia/images/property/import/503/2608503/0e76b9541118d347871c0e0e51d244c4/42654fbed9a9c775998b1dcdad82e351/ORIGINAL.jpeg</t>
  </si>
  <si>
    <t>https://d3ls91xgksobn.cloudfront.net/1200x900/etuovimedia/images/property/import/503/2608503/0e76b9541118d347871c0e0e51d244c4/42654fbed9a9c775998b1dcdad82e351/ORIGINAL.jpeg</t>
  </si>
  <si>
    <t>2608503</t>
  </si>
  <si>
    <t>https://www.etuovi.com/kohde/fs3263</t>
  </si>
  <si>
    <t>58 191,56 €</t>
  </si>
  <si>
    <t>2026-06-10T14:04:43.296Z</t>
  </si>
  <si>
    <t>Apartment (Kerrostalo) — 4h + kt + s — 92 m² — Laajasalo Helsinki</t>
  </si>
  <si>
    <t>Johtokiventie 1b Pihlajamäki Helsinki</t>
  </si>
  <si>
    <t>Johtokiventie 1b</t>
  </si>
  <si>
    <t>Pihlajamäki Helsinki</t>
  </si>
  <si>
    <t>Pihlajamäki</t>
  </si>
  <si>
    <t>fs3262</t>
  </si>
  <si>
    <t>https://d3ls91xgksobn.cloudfront.net/400x300/etuovimedia/images/property/import/502/2608502/0e76b9541118d347871c0e0e51d244c4/7174680e3c35418e2fef457415bdba68/ORIGINAL.jpeg</t>
  </si>
  <si>
    <t>https://d3ls91xgksobn.cloudfront.net/1200x900/etuovimedia/images/property/import/502/2608502/0e76b9541118d347871c0e0e51d244c4/7174680e3c35418e2fef457415bdba68/ORIGINAL.jpeg</t>
  </si>
  <si>
    <t>2608502</t>
  </si>
  <si>
    <t>https://www.etuovi.com/kohde/fs3262</t>
  </si>
  <si>
    <t>67 105,43 €</t>
  </si>
  <si>
    <t>4h + k + s + piha + var.</t>
  </si>
  <si>
    <t>2026-06-10T14:04:43.365Z</t>
  </si>
  <si>
    <t>Row House (Rivitalo) — 4h + k + s + piha + var. — 109.5 m² — Pihlajamäki Helsinki</t>
  </si>
  <si>
    <t>KIVITELTANPORRAS 3 Viikinmäki Helsinki</t>
  </si>
  <si>
    <t>KIVITELTANPORRAS 3</t>
  </si>
  <si>
    <t>Viikinmäki Helsinki</t>
  </si>
  <si>
    <t>Viikinmäki</t>
  </si>
  <si>
    <t>fs3249</t>
  </si>
  <si>
    <t>https://d3ls91xgksobn.cloudfront.net/400x300/etuovimedia/images/property/import/501/2608501/0e76b9541118d347871c0e0e51d244c4/24247c0b6061179cbae87577ead66593/ORIGINAL.jpeg</t>
  </si>
  <si>
    <t>https://d3ls91xgksobn.cloudfront.net/1200x900/etuovimedia/images/property/import/501/2608501/0e76b9541118d347871c0e0e51d244c4/24247c0b6061179cbae87577ead66593/ORIGINAL.jpeg</t>
  </si>
  <si>
    <t>2608501</t>
  </si>
  <si>
    <t>https://www.etuovi.com/kohde/fs3249</t>
  </si>
  <si>
    <t>24 069,65 €</t>
  </si>
  <si>
    <t>2026-06-10T14:04:43.386Z</t>
  </si>
  <si>
    <t>Apartment (Kerrostalo) — 2H + K + S — 58.5 m² — Viikinmäki Helsinki</t>
  </si>
  <si>
    <t>KEINUTIE 1 Kontula Helsinki</t>
  </si>
  <si>
    <t>KEINUTIE 1</t>
  </si>
  <si>
    <t>fs3248</t>
  </si>
  <si>
    <t>https://d3ls91xgksobn.cloudfront.net/400x300/etuovimedia/images/property/import/500/2608500/0e76b9541118d347871c0e0e51d244c4/104b05e428e5b6d01ac943c3b8d9dafa/ORIGINAL.jpeg</t>
  </si>
  <si>
    <t>https://d3ls91xgksobn.cloudfront.net/1200x900/etuovimedia/images/property/import/500/2608500/0e76b9541118d347871c0e0e51d244c4/104b05e428e5b6d01ac943c3b8d9dafa/ORIGINAL.jpeg</t>
  </si>
  <si>
    <t>2608500</t>
  </si>
  <si>
    <t>https://www.etuovi.com/kohde/fs3248</t>
  </si>
  <si>
    <t>24 120,2 €</t>
  </si>
  <si>
    <t>2h + avok</t>
  </si>
  <si>
    <t>2026-06-10T14:04:43.467Z</t>
  </si>
  <si>
    <t>Apartment (Kerrostalo) — 2h + avok — 43 m² — Kontula Helsinki</t>
  </si>
  <si>
    <t>Ukkostie 8 Metelinkangas Oulu</t>
  </si>
  <si>
    <t>Ukkostie 8</t>
  </si>
  <si>
    <t>Metelinkangas Oulu</t>
  </si>
  <si>
    <t>Metelinkangas</t>
  </si>
  <si>
    <t>21432966</t>
  </si>
  <si>
    <t>https://d3ls91xgksobn.cloudfront.net/400x300/etuovimedia/images/property/import/490/2608490/0e76b9541118d347871c0e0e51d244c4/f95e9d21375d68818ae2a044d1450eff/ORIGINAL.jpeg</t>
  </si>
  <si>
    <t>https://d3ls91xgksobn.cloudfront.net/1200x900/etuovimedia/images/property/import/490/2608490/0e76b9541118d347871c0e0e51d244c4/f95e9d21375d68818ae2a044d1450eff/ORIGINAL.jpeg</t>
  </si>
  <si>
    <t>2608490</t>
  </si>
  <si>
    <t>https://www.etuovi.com/kohde/21432966</t>
  </si>
  <si>
    <t>328 000 €</t>
  </si>
  <si>
    <t>6h, k, s</t>
  </si>
  <si>
    <t>2026-06-10T14:04:43.479Z</t>
  </si>
  <si>
    <t>Detached House (Omakotitalo) — 6h, k, s — 191 m² — Metelinkangas Oulu</t>
  </si>
  <si>
    <t>Pihlajanmarjatie 22 Herukka Oulu</t>
  </si>
  <si>
    <t>Pihlajanmarjatie 22</t>
  </si>
  <si>
    <t>Elina Heiskari</t>
  </si>
  <si>
    <t>68170215</t>
  </si>
  <si>
    <t>https://d3ls91xgksobn.cloudfront.net/400x300/etuovimedia/images/property/import/489/2608489/0e76b9541118d347871c0e0e51d244c4/5b235f73048b7086e4dd17569f107dce/ORIGINAL.jpeg</t>
  </si>
  <si>
    <t>https://d3ls91xgksobn.cloudfront.net/1200x900/etuovimedia/images/property/import/489/2608489/0e76b9541118d347871c0e0e51d244c4/5b235f73048b7086e4dd17569f107dce/ORIGINAL.jpeg</t>
  </si>
  <si>
    <t>https://d3ls91xgksobn.cloudfront.net/1200x900/etuovimedia/images/property/import/489/2608489/0e76b9541118d347871c0e0e51d244c4/37d9777594e85b83fc5c673fd6fb8fdd/ORIGINAL.jpeg</t>
  </si>
  <si>
    <t>2608489</t>
  </si>
  <si>
    <t>https://www.etuovi.com/kohde/68170215</t>
  </si>
  <si>
    <t>4-5h, k, kph / s, wc*2, khh, vh, 2*lasit. ter, ter, at, var</t>
  </si>
  <si>
    <t>2026-06-10T14:04:43.551Z</t>
  </si>
  <si>
    <t>Detached House (Omakotitalo) — 4-5h, k, kph / s, wc*2, khh, vh, 2*lasit. ter, ter, at, var — 130 m² — Herukka Oulu</t>
  </si>
  <si>
    <t>Rauhankatu 10 Otanlahti Rauma</t>
  </si>
  <si>
    <t>Rauhankatu 10</t>
  </si>
  <si>
    <t>Otanlahti Rauma</t>
  </si>
  <si>
    <t>2453</t>
  </si>
  <si>
    <t>Real LKV</t>
  </si>
  <si>
    <t>https://reallkv.fi/</t>
  </si>
  <si>
    <t>Otanlahti</t>
  </si>
  <si>
    <t>48465399</t>
  </si>
  <si>
    <t>https://d3ls91xgksobn.cloudfront.net/400x300/etuovimedia/images/property/import/488/2608488/0e76b9541118d347871c0e0e51d244c4/9f3885fca1c749ea1e7e2f4e72f71ecc/ORIGINAL.jpeg</t>
  </si>
  <si>
    <t>https://d3ls91xgksobn.cloudfront.net/1200x900/etuovimedia/images/property/import/488/2608488/0e76b9541118d347871c0e0e51d244c4/9f3885fca1c749ea1e7e2f4e72f71ecc/ORIGINAL.jpeg</t>
  </si>
  <si>
    <t>2608488</t>
  </si>
  <si>
    <t>https://www.etuovi.com/kohde/48465399</t>
  </si>
  <si>
    <t>2h + k + kph + parveke</t>
  </si>
  <si>
    <t>2026-06-10T14:04:43.565Z</t>
  </si>
  <si>
    <t>Apartment (Kerrostalo) — 2h + k + kph + parveke — 63 m² — Otanlahti Rauma</t>
  </si>
  <si>
    <t>Pohjanrinteentie 10 Palokka Jyväskylä</t>
  </si>
  <si>
    <t>Pohjanrinteentie 10</t>
  </si>
  <si>
    <t>fs3227</t>
  </si>
  <si>
    <t>https://d3ls91xgksobn.cloudfront.net/400x300/etuovimedia/images/property/import/482/2608482/0e76b9541118d347871c0e0e51d244c4/2ca71e7f1de5f0c5681b74322b555850/ORIGINAL.jpeg</t>
  </si>
  <si>
    <t>https://d3ls91xgksobn.cloudfront.net/1200x900/etuovimedia/images/property/import/482/2608482/0e76b9541118d347871c0e0e51d244c4/2ca71e7f1de5f0c5681b74322b555850/ORIGINAL.jpeg</t>
  </si>
  <si>
    <t>2608482</t>
  </si>
  <si>
    <t>https://www.etuovi.com/kohde/fs3227</t>
  </si>
  <si>
    <t>Henri Huhtala</t>
  </si>
  <si>
    <t>3h + k + kph + s + khh + var + ak</t>
  </si>
  <si>
    <t>2026-06-10T14:04:43.584Z</t>
  </si>
  <si>
    <t>Row House (Rivitalo) — 3h + k + kph + s + khh + var + ak — 85.5 m² — Palokka Jyväskylä</t>
  </si>
  <si>
    <t>Koulukatu 53 B Taikinamäki Lappeenranta</t>
  </si>
  <si>
    <t>Koulukatu 53 B</t>
  </si>
  <si>
    <t>Taikinamäki Lappeenranta</t>
  </si>
  <si>
    <t>4704</t>
  </si>
  <si>
    <t>Brix Kiinteistövälitys Oy</t>
  </si>
  <si>
    <t>https://brixlkv.fi/</t>
  </si>
  <si>
    <t>Mikke Tanninen</t>
  </si>
  <si>
    <t>Taikinamäki</t>
  </si>
  <si>
    <t>80509939</t>
  </si>
  <si>
    <t>https://d3ls91xgksobn.cloudfront.net/400x300/etuovimedia/images/property/import/480/2608480/0e76b9541118d347871c0e0e51d244c4/f9373ac0e7c0bcc56f7aaf97b6e80350/ORIGINAL.jpeg</t>
  </si>
  <si>
    <t>https://d3ls91xgksobn.cloudfront.net/1200x900/etuovimedia/images/property/import/480/2608480/0e76b9541118d347871c0e0e51d244c4/f9373ac0e7c0bcc56f7aaf97b6e80350/ORIGINAL.jpeg</t>
  </si>
  <si>
    <t>https://d3ls91xgksobn.cloudfront.net/1200x900/etuovimedia/images/property/import/480/2608480/0e76b9541118d347871c0e0e51d244c4/24b1fc7bad6c6000b1acfc54379e1586/ORIGINAL.jpeg</t>
  </si>
  <si>
    <t>https://d3ls91xgksobn.cloudfront.net/1200x900/etuovimedia/images/property/import/480/2608480/0e76b9541118d347871c0e0e51d244c4/1146ff567137cb06a1d655558b7c64d6/ORIGINAL.jpeg</t>
  </si>
  <si>
    <t>2608480</t>
  </si>
  <si>
    <t>https://www.etuovi.com/kohde/80509939</t>
  </si>
  <si>
    <t>2026-06-10T14:04:45.565Z</t>
  </si>
  <si>
    <t>Apartment (Kerrostalo) — 2h, k — 42.2 m² — Taikinamäki Lappeenranta</t>
  </si>
  <si>
    <t>Kirkkotie 3 D Kempele</t>
  </si>
  <si>
    <t>Kirkkotie 3 D</t>
  </si>
  <si>
    <t>121</t>
  </si>
  <si>
    <t>Huoneistokeskus Oulu</t>
  </si>
  <si>
    <t>80511475</t>
  </si>
  <si>
    <t>https://d3ls91xgksobn.cloudfront.net/400x300/etuovimedia/images/property/import/479/2608479/0e76b9541118d347871c0e0e51d244c4/8b35c15475649803c2229bc812c7fe03/ORIGINAL.jpeg</t>
  </si>
  <si>
    <t>https://d3ls91xgksobn.cloudfront.net/1200x900/etuovimedia/images/property/import/479/2608479/0e76b9541118d347871c0e0e51d244c4/8b35c15475649803c2229bc812c7fe03/ORIGINAL.jpeg</t>
  </si>
  <si>
    <t>2608479</t>
  </si>
  <si>
    <t>https://www.etuovi.com/kohde/80511475</t>
  </si>
  <si>
    <t>2h + k + ph + terassi</t>
  </si>
  <si>
    <t>2026-06-10T14:04:45.577Z</t>
  </si>
  <si>
    <t>Apartment (Kerrostalo) — 2h + k + ph + terassi — 52 m² — Kempele</t>
  </si>
  <si>
    <t>Eenokinkuja 4 Herrala Ilmajoki</t>
  </si>
  <si>
    <t>Eenokinkuja 4</t>
  </si>
  <si>
    <t>Herrala Ilmajoki</t>
  </si>
  <si>
    <t>2155</t>
  </si>
  <si>
    <t>Sp-Koti | Lakeuden Oma Koti Oy</t>
  </si>
  <si>
    <t>Herrala</t>
  </si>
  <si>
    <t>80515603</t>
  </si>
  <si>
    <t>https://d3ls91xgksobn.cloudfront.net/400x300/etuovimedia/images/property/import/475/2608475/0e76b9541118d347871c0e0e51d244c4/69d62a9d0fc7ee37eebbde6668182899/ORIGINAL.jpeg</t>
  </si>
  <si>
    <t>https://d3ls91xgksobn.cloudfront.net/1200x900/etuovimedia/images/property/import/475/2608475/0e76b9541118d347871c0e0e51d244c4/69d62a9d0fc7ee37eebbde6668182899/ORIGINAL.jpeg</t>
  </si>
  <si>
    <t>2608475</t>
  </si>
  <si>
    <t>https://www.etuovi.com/kohde/80515603</t>
  </si>
  <si>
    <t>4 h, k, khh, kph, s</t>
  </si>
  <si>
    <t>2026-06-10T14:04:45.595Z</t>
  </si>
  <si>
    <t>Detached House (Omakotitalo) — 4 h, k, khh, kph, s — 172 m² — Herrala Ilmajoki</t>
  </si>
  <si>
    <t>Järventaustantie 4 Laurila Keminmaa</t>
  </si>
  <si>
    <t>Järventaustantie 4</t>
  </si>
  <si>
    <t>Laurila Keminmaa</t>
  </si>
  <si>
    <t>3703</t>
  </si>
  <si>
    <t>Pilvilinna LKV Oy</t>
  </si>
  <si>
    <t>https://pilvilinnalkv.fi/</t>
  </si>
  <si>
    <t>Laurila</t>
  </si>
  <si>
    <t>80515207</t>
  </si>
  <si>
    <t>https://d3ls91xgksobn.cloudfront.net/400x300/etuovimedia/images/property/import/474/2608474/0e76b9541118d347871c0e0e51d244c4/c72d1a6859cda20c66bf7dd3c4a8304e/ORIGINAL.jpeg</t>
  </si>
  <si>
    <t>https://d3ls91xgksobn.cloudfront.net/1200x900/etuovimedia/images/property/import/474/2608474/0e76b9541118d347871c0e0e51d244c4/c72d1a6859cda20c66bf7dd3c4a8304e/ORIGINAL.jpeg</t>
  </si>
  <si>
    <t>2608474</t>
  </si>
  <si>
    <t>https://www.etuovi.com/kohde/80515207</t>
  </si>
  <si>
    <t>2mh + tupak + khh + kph + s + wc + ak / var</t>
  </si>
  <si>
    <t>2026-06-10T14:04:45.661Z</t>
  </si>
  <si>
    <t>Detached House (Omakotitalo) — 2mh + tupak + khh + kph + s + wc + ak / var — 102 m² — Laurila Keminmaa</t>
  </si>
  <si>
    <t>Pohjantähdentie 2 Suutarila Helsinki</t>
  </si>
  <si>
    <t>Pohjantähdentie 2</t>
  </si>
  <si>
    <t>3442</t>
  </si>
  <si>
    <t>Kiinteistömaailma Helsinki Kannelmäki, Kauppakeskus Kaari | Adream Länsi-Helsingin Kodit Oy</t>
  </si>
  <si>
    <t>62917851</t>
  </si>
  <si>
    <t>https://d3ls91xgksobn.cloudfront.net/400x300/etuovimedia/images/property/import/473/2608473/0e76b9541118d347871c0e0e51d244c4/1e618b2bfcc0a633027a96fae7f5054c/ORIGINAL.jpeg</t>
  </si>
  <si>
    <t>https://d3ls91xgksobn.cloudfront.net/1200x900/etuovimedia/images/property/import/473/2608473/0e76b9541118d347871c0e0e51d244c4/1e618b2bfcc0a633027a96fae7f5054c/ORIGINAL.jpeg</t>
  </si>
  <si>
    <t>2608473</t>
  </si>
  <si>
    <t>https://www.etuovi.com/kohde/62917851</t>
  </si>
  <si>
    <t>3h, k, s / kph, erill. wc ja lasitettu terassi</t>
  </si>
  <si>
    <t>2026-06-10T14:04:45.681Z</t>
  </si>
  <si>
    <t>Row House (Rivitalo) — 3h, k, s / kph, erill. wc ja lasitettu terassi — 81.5 m² — Suutarila Helsinki</t>
  </si>
  <si>
    <t>Kaitakuja 4 Viirinkangas Rovaniemi</t>
  </si>
  <si>
    <t>Kaitakuja 4</t>
  </si>
  <si>
    <t>1390</t>
  </si>
  <si>
    <t>Lapin Arvokiinteistöt Oy</t>
  </si>
  <si>
    <t>http://www.lapinarvokiinteistot.fi/</t>
  </si>
  <si>
    <t>Tiia Alatossava</t>
  </si>
  <si>
    <t>50148250</t>
  </si>
  <si>
    <t>https://d3ls91xgksobn.cloudfront.net/400x300/etuovimedia/images/property/import/472/2608472/0e76b9541118d347871c0e0e51d244c4/3ecc487ff7a92321e619ec789fb49c6b/ORIGINAL.jpeg</t>
  </si>
  <si>
    <t>https://d3ls91xgksobn.cloudfront.net/1200x900/etuovimedia/images/property/import/472/2608472/0e76b9541118d347871c0e0e51d244c4/3ecc487ff7a92321e619ec789fb49c6b/ORIGINAL.jpeg</t>
  </si>
  <si>
    <t>https://d3ls91xgksobn.cloudfront.net/1200x900/etuovimedia/images/property/import/472/2608472/0e76b9541118d347871c0e0e51d244c4/746f6bf508d7f2be07a3dd9eb25d0e63/ORIGINAL.jpeg</t>
  </si>
  <si>
    <t>2608472</t>
  </si>
  <si>
    <t>https://www.etuovi.com/kohde/50148250</t>
  </si>
  <si>
    <t>1h, kk, p</t>
  </si>
  <si>
    <t>2026-06-10T14:04:45.697Z</t>
  </si>
  <si>
    <t>Apartment (Kerrostalo) — 1h, kk, p — 22 m² — Viirinkangas Rovaniemi</t>
  </si>
  <si>
    <t>Veteraanikatu 11 Järventausta Kankaanpää</t>
  </si>
  <si>
    <t>Veteraanikatu 11</t>
  </si>
  <si>
    <t>Järventausta Kankaanpää</t>
  </si>
  <si>
    <t>Järventausta</t>
  </si>
  <si>
    <t>80441662</t>
  </si>
  <si>
    <t>https://d3ls91xgksobn.cloudfront.net/400x300/etuovimedia/images/property/import/471/2608471/0e76b9541118d347871c0e0e51d244c4/8cdfaa27cd0af69e340a1dc5631384c3/ORIGINAL.jpeg</t>
  </si>
  <si>
    <t>https://d3ls91xgksobn.cloudfront.net/1200x900/etuovimedia/images/property/import/471/2608471/0e76b9541118d347871c0e0e51d244c4/8cdfaa27cd0af69e340a1dc5631384c3/ORIGINAL.jpeg</t>
  </si>
  <si>
    <t>2608471</t>
  </si>
  <si>
    <t>https://www.etuovi.com/kohde/80441662</t>
  </si>
  <si>
    <t>154 000 €</t>
  </si>
  <si>
    <t>3mh, oloh, k, wc, kph, khh, takkah, työh, at, var</t>
  </si>
  <si>
    <t>2026-06-10T14:04:45.713Z</t>
  </si>
  <si>
    <t>Detached House (Omakotitalo) — 3mh, oloh, k, wc, kph, khh, takkah, työh, at, var — 150 m² — Järventausta Kankaanpää</t>
  </si>
  <si>
    <t>Aapelinkatu 13 Matinkylä Espoo</t>
  </si>
  <si>
    <t>Aapelinkatu 13</t>
  </si>
  <si>
    <t>3439</t>
  </si>
  <si>
    <t>Kiinteistömaailma Espoo Matinkylä, Kauppakeskus Iso Omena | Adream Espoon Kodit Oy</t>
  </si>
  <si>
    <t>67108371</t>
  </si>
  <si>
    <t>https://d3ls91xgksobn.cloudfront.net/400x300/etuovimedia/images/property/import/470/2608470/0e76b9541118d347871c0e0e51d244c4/3f8ec8cd2debccb65d2813f77dd59262/ORIGINAL.jpeg</t>
  </si>
  <si>
    <t>https://d3ls91xgksobn.cloudfront.net/1200x900/etuovimedia/images/property/import/470/2608470/0e76b9541118d347871c0e0e51d244c4/3f8ec8cd2debccb65d2813f77dd59262/ORIGINAL.jpeg</t>
  </si>
  <si>
    <t>2608470</t>
  </si>
  <si>
    <t>https://www.etuovi.com/kohde/67108371</t>
  </si>
  <si>
    <t>2h + kk</t>
  </si>
  <si>
    <t>2026-06-10T14:04:45.807Z</t>
  </si>
  <si>
    <t>Apartment (Kerrostalo) — 2h + kk — 45 m² — Matinkylä Espoo</t>
  </si>
  <si>
    <t>Mähköläntie 7 Lahela Tuusula</t>
  </si>
  <si>
    <t>Mähköläntie 7</t>
  </si>
  <si>
    <t>Lahela Tuusula</t>
  </si>
  <si>
    <t>Tarja Ketola-Greggilä</t>
  </si>
  <si>
    <t>Lahela</t>
  </si>
  <si>
    <t>44362255</t>
  </si>
  <si>
    <t>https://d3ls91xgksobn.cloudfront.net/400x300/etuovimedia/images/property/import/469/2608469/0e76b9541118d347871c0e0e51d244c4/538587c0499e48c27bb0f80ea894926f/ORIGINAL.jpeg</t>
  </si>
  <si>
    <t>https://d3ls91xgksobn.cloudfront.net/1200x900/etuovimedia/images/property/import/469/2608469/0e76b9541118d347871c0e0e51d244c4/538587c0499e48c27bb0f80ea894926f/ORIGINAL.jpeg</t>
  </si>
  <si>
    <t>https://d3ls91xgksobn.cloudfront.net/1200x900/etuovimedia/images/property/import/469/2608469/0e76b9541118d347871c0e0e51d244c4/43930558ab0d0ba78d2cc429ad7eae25/ORIGINAL.jpeg</t>
  </si>
  <si>
    <t>https://d3ls91xgksobn.cloudfront.net/1200x900/etuovimedia/images/property/import/469/2608469/0e76b9541118d347871c0e0e51d244c4/ebd28853686556898de5bda664716dd2/ORIGINAL.jpeg</t>
  </si>
  <si>
    <t>2608469</t>
  </si>
  <si>
    <t>https://www.etuovi.com/kohde/44362255</t>
  </si>
  <si>
    <t>5h, k, vh, kph, s, wcx2, khh, s, terassi, varx2, ak</t>
  </si>
  <si>
    <t>2026-06-10T14:04:45.951Z</t>
  </si>
  <si>
    <t>Detached House (Omakotitalo) — 5h, k, vh, kph, s, wcx2, khh, s, terassi, varx2, ak — 152 m² — Lahela Tuusula</t>
  </si>
  <si>
    <t>Ilokkaanrinne 5 Koivistonkylä Tampere</t>
  </si>
  <si>
    <t>Ilokkaanrinne 5</t>
  </si>
  <si>
    <t>Koivistonkylä Tampere</t>
  </si>
  <si>
    <t>3281</t>
  </si>
  <si>
    <t>Mangrove Asumisoikeus Oy</t>
  </si>
  <si>
    <t>https://www.mangrove.fi/asumisoikeus</t>
  </si>
  <si>
    <t>Koivistonkylä</t>
  </si>
  <si>
    <t>fs3222</t>
  </si>
  <si>
    <t>https://d3ls91xgksobn.cloudfront.net/400x300/etuovimedia/images/property/import/467/2608467/0e76b9541118d347871c0e0e51d244c4/0d92352fd1b47032ad67a59812865256/ORIGINAL.jpeg</t>
  </si>
  <si>
    <t>https://d3ls91xgksobn.cloudfront.net/1200x900/etuovimedia/images/property/import/467/2608467/0e76b9541118d347871c0e0e51d244c4/0d92352fd1b47032ad67a59812865256/ORIGINAL.jpeg</t>
  </si>
  <si>
    <t>2608467</t>
  </si>
  <si>
    <t>https://www.etuovi.com/kohde/fs3222</t>
  </si>
  <si>
    <t>36 360,55 €</t>
  </si>
  <si>
    <t>2026-06-10T14:04:45.972Z</t>
  </si>
  <si>
    <t>Apartment (Kerrostalo) — 3h + kt + s — 62.5 m² — Koivistonkylä Tampere</t>
  </si>
  <si>
    <t>Peippotie 5 Vantaa</t>
  </si>
  <si>
    <t>Peippotie 5</t>
  </si>
  <si>
    <t>2080</t>
  </si>
  <si>
    <t>Kiinteistönvälitys Pete Lind Lkv Oy</t>
  </si>
  <si>
    <t>http://www.lindlkv.fi/</t>
  </si>
  <si>
    <t>59867181</t>
  </si>
  <si>
    <t>https://d3ls91xgksobn.cloudfront.net/400x300/etuovimedia/images/property/import/466/2608466/0e76b9541118d347871c0e0e51d244c4/ff846eac2322162002c119b222fecaf1/ORIGINAL.jpeg</t>
  </si>
  <si>
    <t>https://d3ls91xgksobn.cloudfront.net/1200x900/etuovimedia/images/property/import/466/2608466/0e76b9541118d347871c0e0e51d244c4/ff846eac2322162002c119b222fecaf1/ORIGINAL.jpeg</t>
  </si>
  <si>
    <t>2608466</t>
  </si>
  <si>
    <t>https://www.etuovi.com/kohde/59867181</t>
  </si>
  <si>
    <t>4h, k, s, autotalli</t>
  </si>
  <si>
    <t>2026-06-10T14:04:46.151Z</t>
  </si>
  <si>
    <t>Detached House (Omakotitalo) — 4h, k, s, autotalli — 172 m² — Vantaa</t>
  </si>
  <si>
    <t>Käräjätuvantie 4 Torpparinmäki Helsinki</t>
  </si>
  <si>
    <t>Käräjätuvantie 4</t>
  </si>
  <si>
    <t>Torpparinmäki Helsinki</t>
  </si>
  <si>
    <t>1398</t>
  </si>
  <si>
    <t>Houses4U Oy LKV</t>
  </si>
  <si>
    <t>Torpparinmäki</t>
  </si>
  <si>
    <t>21719402</t>
  </si>
  <si>
    <t>https://d3ls91xgksobn.cloudfront.net/400x300/etuovimedia/images/property/import/464/2608464/0e76b9541118d347871c0e0e51d244c4/9f7992bd2ba9bf699522618ea0422729/ORIGINAL.jpeg</t>
  </si>
  <si>
    <t>https://d3ls91xgksobn.cloudfront.net/1200x900/etuovimedia/images/property/import/464/2608464/0e76b9541118d347871c0e0e51d244c4/9f7992bd2ba9bf699522618ea0422729/ORIGINAL.jpeg</t>
  </si>
  <si>
    <t>2608464</t>
  </si>
  <si>
    <t>https://www.etuovi.com/kohde/21719402</t>
  </si>
  <si>
    <t>850 000 €</t>
  </si>
  <si>
    <t>5 h, avok, s, pesuh, pukuh, khh, kph ja erill. wc</t>
  </si>
  <si>
    <t>2026-06-10T14:04:46.166Z</t>
  </si>
  <si>
    <t>Detached House (Omakotitalo) — 5 h, avok, s, pesuh, pukuh, khh, kph ja erill. wc — 172 m² — Torpparinmäki Helsinki</t>
  </si>
  <si>
    <t>Maariankatu 10 A Keskusta Turku</t>
  </si>
  <si>
    <t>Maariankatu 10 A</t>
  </si>
  <si>
    <t>Daniel Oivo</t>
  </si>
  <si>
    <t>1941</t>
  </si>
  <si>
    <t>80514254</t>
  </si>
  <si>
    <t>https://d3ls91xgksobn.cloudfront.net/400x300/etuovimedia/images/property/import/461/2608461/0e76b9541118d347871c0e0e51d244c4/fef8148166292ff1ce4a16961f8e50a6/ORIGINAL.jpeg</t>
  </si>
  <si>
    <t>https://d3ls91xgksobn.cloudfront.net/1200x900/etuovimedia/images/property/import/461/2608461/0e76b9541118d347871c0e0e51d244c4/fef8148166292ff1ce4a16961f8e50a6/ORIGINAL.jpeg</t>
  </si>
  <si>
    <t>https://d3ls91xgksobn.cloudfront.net/1200x900/etuovimedia/images/property/import/461/2608461/0e76b9541118d347871c0e0e51d244c4/64bf891da0212275d6508e77150b7c5b/ORIGINAL.jpeg</t>
  </si>
  <si>
    <t>2608461</t>
  </si>
  <si>
    <t>https://www.etuovi.com/kohde/80514254</t>
  </si>
  <si>
    <t>2026-06-10T14:04:46.262Z</t>
  </si>
  <si>
    <t>Apartment (Kerrostalo) — 3h + k + kph + wc + lasitettu parveke — 68.5 m² — Keskusta Turku</t>
  </si>
  <si>
    <t>Lipporannantie 5 Lipporanta Oulu</t>
  </si>
  <si>
    <t>Lipporannantie 5</t>
  </si>
  <si>
    <t>2273</t>
  </si>
  <si>
    <t>Kiinteistö-Tahkola LKV</t>
  </si>
  <si>
    <t>https://kiinteistotahkola.fi/fi/kiinteistonvalitys/</t>
  </si>
  <si>
    <t>44104372</t>
  </si>
  <si>
    <t>https://d3ls91xgksobn.cloudfront.net/400x300/etuovimedia/images/property/import/460/2608460/0e76b9541118d347871c0e0e51d244c4/e99f177b93ef3f04416c59f5da1193ed/ORIGINAL.jpeg</t>
  </si>
  <si>
    <t>https://d3ls91xgksobn.cloudfront.net/1200x900/etuovimedia/images/property/import/460/2608460/0e76b9541118d347871c0e0e51d244c4/e99f177b93ef3f04416c59f5da1193ed/ORIGINAL.jpeg</t>
  </si>
  <si>
    <t>2608460</t>
  </si>
  <si>
    <t>https://www.etuovi.com/kohde/44104372</t>
  </si>
  <si>
    <t>84 900 €</t>
  </si>
  <si>
    <t>1h, kt, kh</t>
  </si>
  <si>
    <t>2026-06-10T14:04:46.278Z</t>
  </si>
  <si>
    <t>Apartment (Kerrostalo) — 1h, kt, kh — 22 m² — Lipporanta Oulu</t>
  </si>
  <si>
    <t>Meritullinraitti 9 Keskusta Oulu</t>
  </si>
  <si>
    <t>Meritullinraitti 9</t>
  </si>
  <si>
    <t>Pauliina Pirilä</t>
  </si>
  <si>
    <t>1409757</t>
  </si>
  <si>
    <t>https://d3ls91xgksobn.cloudfront.net/400x300/etuovimedia/images/property/import/266/2476266/0e76b9541118d347871c0e0e51d244c4/6ed8128662746a4e1d91e177fc1ea106/ORIGINAL.jpeg</t>
  </si>
  <si>
    <t>https://d3ls91xgksobn.cloudfront.net/1200x900/etuovimedia/images/property/import/266/2476266/0e76b9541118d347871c0e0e51d244c4/6ed8128662746a4e1d91e177fc1ea106/ORIGINAL.jpeg</t>
  </si>
  <si>
    <t>https://d3ls91xgksobn.cloudfront.net/1200x900/etuovimedia/images/property/import/266/2476266/0e76b9541118d347871c0e0e51d244c4/73223bcb3c51c471071eb8f2a9ddce5c/ORIGINAL.jpeg</t>
  </si>
  <si>
    <t>2476266</t>
  </si>
  <si>
    <t>https://www.etuovi.com/kohde/1409757</t>
  </si>
  <si>
    <t>2026-02-13</t>
  </si>
  <si>
    <t>2h, k, kph, s, vh</t>
  </si>
  <si>
    <t>2026-06-10T14:04:46.291Z</t>
  </si>
  <si>
    <t>Apartment (Kerrostalo) — 2h, k, kph, s, vh — 51.5 m² — Keskusta Oulu</t>
  </si>
  <si>
    <t>Valkolammentie 26 a Valko Loviisa</t>
  </si>
  <si>
    <t>Valkolammentie 26 a</t>
  </si>
  <si>
    <t>Valko Loviisa</t>
  </si>
  <si>
    <t>19</t>
  </si>
  <si>
    <t>Habita Porvoo | Porvoon Habita Oy</t>
  </si>
  <si>
    <t>Valko</t>
  </si>
  <si>
    <t>2274092</t>
  </si>
  <si>
    <t>https://d3ls91xgksobn.cloudfront.net/400x300/etuovimedia/images/property/import/453/2608453/0e76b9541118d347871c0e0e51d244c4/2448adeb5aa0b96a367fc0c9f0ce5a56/ORIGINAL.jpeg</t>
  </si>
  <si>
    <t>https://d3ls91xgksobn.cloudfront.net/1200x900/etuovimedia/images/property/import/453/2608453/0e76b9541118d347871c0e0e51d244c4/2448adeb5aa0b96a367fc0c9f0ce5a56/ORIGINAL.jpeg</t>
  </si>
  <si>
    <t>2608453</t>
  </si>
  <si>
    <t>https://www.etuovi.com/kohde/2274092</t>
  </si>
  <si>
    <t>2h, k, kph, wc, p</t>
  </si>
  <si>
    <t>2026-06-10T14:04:46.366Z</t>
  </si>
  <si>
    <t>Apartment (Kerrostalo) — 2h, k, kph, wc, p — 55 m² — Valko Loviisa</t>
  </si>
  <si>
    <t>Metsäkummuntie 4 Päiväranta Kuopio</t>
  </si>
  <si>
    <t>Metsäkummuntie 4</t>
  </si>
  <si>
    <t>Päiväranta Kuopio</t>
  </si>
  <si>
    <t>3540</t>
  </si>
  <si>
    <t>Habita Kuopio | Pohjois-Suomen Habita Oy</t>
  </si>
  <si>
    <t>Päiväranta</t>
  </si>
  <si>
    <t>2275286</t>
  </si>
  <si>
    <t>https://d3ls91xgksobn.cloudfront.net/400x300/etuovimedia/images/property/import/452/2608452/0e76b9541118d347871c0e0e51d244c4/c9aaf809afb9713f5b798f3ee9b041f3/ORIGINAL.jpeg</t>
  </si>
  <si>
    <t>https://d3ls91xgksobn.cloudfront.net/1200x900/etuovimedia/images/property/import/452/2608452/0e76b9541118d347871c0e0e51d244c4/c9aaf809afb9713f5b798f3ee9b041f3/ORIGINAL.jpeg</t>
  </si>
  <si>
    <t>2608452</t>
  </si>
  <si>
    <t>https://www.etuovi.com/kohde/2275286</t>
  </si>
  <si>
    <t>Päiväranta KT 54m² 2h, k</t>
  </si>
  <si>
    <t>2026-06-10T14:04:46.384Z</t>
  </si>
  <si>
    <t>Apartment (Kerrostalo) — Päiväranta KT 54m² 2h, k — 54 m² — Päiväranta Kuopio</t>
  </si>
  <si>
    <t>Nordenskiöldinkatu 17 Keskusta Porvoo</t>
  </si>
  <si>
    <t>Nordenskiöldinkatu 17</t>
  </si>
  <si>
    <t>Keskusta Porvoo</t>
  </si>
  <si>
    <t>2275245</t>
  </si>
  <si>
    <t>https://d3ls91xgksobn.cloudfront.net/400x300/etuovimedia/images/property/import/451/2608451/0e76b9541118d347871c0e0e51d244c4/630ee49d4ebd1691675116b626f271d2/ORIGINAL.jpeg</t>
  </si>
  <si>
    <t>https://d3ls91xgksobn.cloudfront.net/1200x900/etuovimedia/images/property/import/451/2608451/0e76b9541118d347871c0e0e51d244c4/630ee49d4ebd1691675116b626f271d2/ORIGINAL.jpeg</t>
  </si>
  <si>
    <t>2608451</t>
  </si>
  <si>
    <t>https://www.etuovi.com/kohde/2275245</t>
  </si>
  <si>
    <t>2-3 mh, k, rt, oh, vh, kph / wc, et, parveke</t>
  </si>
  <si>
    <t>2026-06-10T14:04:46.551Z</t>
  </si>
  <si>
    <t>Apartment (Kerrostalo) — 2-3 mh, k, rt, oh, vh, kph / wc, et, parveke — 100 m² — Keskusta Porvoo</t>
  </si>
  <si>
    <t>Kourakasanlenkki 1 Pajuluoma Seinäjoki</t>
  </si>
  <si>
    <t>Kourakasanlenkki 1</t>
  </si>
  <si>
    <t>80492110</t>
  </si>
  <si>
    <t>https://d3ls91xgksobn.cloudfront.net/400x300/etuovimedia/images/property/import/402/2509402/0e76b9541118d347871c0e0e51d244c4/764af806b756883fbdde52e478abe58a/ORIGINAL.jpeg</t>
  </si>
  <si>
    <t>https://d3ls91xgksobn.cloudfront.net/1200x900/etuovimedia/images/property/import/402/2509402/0e76b9541118d347871c0e0e51d244c4/764af806b756883fbdde52e478abe58a/ORIGINAL.jpeg</t>
  </si>
  <si>
    <t>2509402</t>
  </si>
  <si>
    <t>https://www.etuovi.com/kohde/80492110</t>
  </si>
  <si>
    <t>2026-06-10T14:04:46.650Z</t>
  </si>
  <si>
    <t>Row House (Rivitalo) — 3h + k + s — 65 m² — Pajuluoma Seinäjoki</t>
  </si>
  <si>
    <t>Lohkaretie 7 Särkiniemi Kuopio</t>
  </si>
  <si>
    <t>Lohkaretie 7</t>
  </si>
  <si>
    <t>2275444</t>
  </si>
  <si>
    <t>https://d3ls91xgksobn.cloudfront.net/400x300/etuovimedia/images/property/import/449/2608449/0e76b9541118d347871c0e0e51d244c4/2eccb4260e0c830cab8d184dd8edd7ac/ORIGINAL.jpeg</t>
  </si>
  <si>
    <t>https://d3ls91xgksobn.cloudfront.net/1200x900/etuovimedia/images/property/import/449/2608449/0e76b9541118d347871c0e0e51d244c4/2eccb4260e0c830cab8d184dd8edd7ac/ORIGINAL.jpeg</t>
  </si>
  <si>
    <t>2608449</t>
  </si>
  <si>
    <t>https://www.etuovi.com/kohde/2275444</t>
  </si>
  <si>
    <t>Särkiniemi KT 100m² 4h, k</t>
  </si>
  <si>
    <t>2026-06-10T14:04:46.666Z</t>
  </si>
  <si>
    <t>Apartment (Kerrostalo) — Särkiniemi KT 100m² 4h, k — 100 m² — Särkiniemi Kuopio</t>
  </si>
  <si>
    <t>Hurtinkatu 11 Hurttivuori Turku</t>
  </si>
  <si>
    <t>Hurtinkatu 11</t>
  </si>
  <si>
    <t>Hurttivuori Turku</t>
  </si>
  <si>
    <t>Hurttivuori</t>
  </si>
  <si>
    <t>2275346</t>
  </si>
  <si>
    <t>https://d3ls91xgksobn.cloudfront.net/400x300/etuovimedia/images/property/import/447/2608447/0e76b9541118d347871c0e0e51d244c4/a31d419dce6b679c8cd32a28a8d82a88/ORIGINAL.jpeg</t>
  </si>
  <si>
    <t>https://d3ls91xgksobn.cloudfront.net/1200x900/etuovimedia/images/property/import/447/2608447/0e76b9541118d347871c0e0e51d244c4/a31d419dce6b679c8cd32a28a8d82a88/ORIGINAL.jpeg</t>
  </si>
  <si>
    <t>2608447</t>
  </si>
  <si>
    <t>https://www.etuovi.com/kohde/2275346</t>
  </si>
  <si>
    <t>4H, K, KPH, S, 2WC, VH, TER, V</t>
  </si>
  <si>
    <t>2026-06-10T14:04:46.774Z</t>
  </si>
  <si>
    <t>Row House (Rivitalo) — 4H, K, KPH, S, 2WC, VH, TER, V — 100 m² — Hurttivuori Turku</t>
  </si>
  <si>
    <t>Keskuskatu 2 Kotkansaari Kotka</t>
  </si>
  <si>
    <t>Keskuskatu 2</t>
  </si>
  <si>
    <t>Kotkansaari Kotka</t>
  </si>
  <si>
    <t>Kotkansaari</t>
  </si>
  <si>
    <t>2275355</t>
  </si>
  <si>
    <t>https://d3ls91xgksobn.cloudfront.net/400x300/etuovimedia/images/property/import/446/2608446/0e76b9541118d347871c0e0e51d244c4/f2cb3afeaee438d16f90e88e5e5c09e9/ORIGINAL.jpeg</t>
  </si>
  <si>
    <t>https://d3ls91xgksobn.cloudfront.net/1200x900/etuovimedia/images/property/import/446/2608446/0e76b9541118d347871c0e0e51d244c4/f2cb3afeaee438d16f90e88e5e5c09e9/ORIGINAL.jpeg</t>
  </si>
  <si>
    <t>2608446</t>
  </si>
  <si>
    <t>https://www.etuovi.com/kohde/2275355</t>
  </si>
  <si>
    <t>76 000 €</t>
  </si>
  <si>
    <t>2h, kk, kph, s, parveke</t>
  </si>
  <si>
    <t>2026-06-10T14:04:46.793Z</t>
  </si>
  <si>
    <t>Apartment (Kerrostalo) — 2h, kk, kph, s, parveke — 48 m² — Kotkansaari Kotka</t>
  </si>
  <si>
    <t>Satotie 6 Lehtimäki, Lehtihamari Porvoo</t>
  </si>
  <si>
    <t>Satotie 6</t>
  </si>
  <si>
    <t>Lehtimäki, Lehtihamari Porvoo</t>
  </si>
  <si>
    <t>Lehtimäki, Lehtihamari</t>
  </si>
  <si>
    <t>80398816</t>
  </si>
  <si>
    <t>https://d3ls91xgksobn.cloudfront.net/400x300/etuovimedia/images/property/import/805/2081805/0e76b9541118d347871c0e0e51d244c4/3318af0657f4bd123dcc0933908d6b9a/ORIGINAL.jpeg</t>
  </si>
  <si>
    <t>https://d3ls91xgksobn.cloudfront.net/1200x900/etuovimedia/images/property/import/805/2081805/0e76b9541118d347871c0e0e51d244c4/3318af0657f4bd123dcc0933908d6b9a/ORIGINAL.jpeg</t>
  </si>
  <si>
    <t>https://d3ls91xgksobn.cloudfront.net/1200x900/etuovimedia/images/property/import/805/2081805/0e76b9541118d347871c0e0e51d244c4/0e6df9979f96dd81b471503ba3f43ba8/ORIGINAL.jpeg</t>
  </si>
  <si>
    <t>https://d3ls91xgksobn.cloudfront.net/1200x900/etuovimedia/images/property/import/805/2081805/0e76b9541118d347871c0e0e51d244c4/8f7d5ec665c8835e16eb009cb9e221ca/ORIGINAL.jpeg</t>
  </si>
  <si>
    <t>2081805</t>
  </si>
  <si>
    <t>https://www.etuovi.com/kohde/80398816</t>
  </si>
  <si>
    <t>2025-04-18</t>
  </si>
  <si>
    <t>oh + 2mh + k + khh + 2wc + työhuone + kph + sauna</t>
  </si>
  <si>
    <t>2026-06-10T14:04:46.807Z</t>
  </si>
  <si>
    <t>Detached House (Omakotitalo) — oh + 2mh + k + khh + 2wc + työhuone + kph + sauna — 95 m² — Lehtimäki, Lehtihamari Porvoo</t>
  </si>
  <si>
    <t>Kivistöntie 4 A Kirkonkylä Mäntsälä</t>
  </si>
  <si>
    <t>Kivistöntie 4 A</t>
  </si>
  <si>
    <t>Arja Juutinen</t>
  </si>
  <si>
    <t>80512698</t>
  </si>
  <si>
    <t>https://d3ls91xgksobn.cloudfront.net/400x300/etuovimedia/images/property/import/445/2608445/0e76b9541118d347871c0e0e51d244c4/b4e01aa441a8ba1f6ea53fe0cebd524c/ORIGINAL.jpeg</t>
  </si>
  <si>
    <t>https://d3ls91xgksobn.cloudfront.net/1200x900/etuovimedia/images/property/import/445/2608445/0e76b9541118d347871c0e0e51d244c4/b4e01aa441a8ba1f6ea53fe0cebd524c/ORIGINAL.jpeg</t>
  </si>
  <si>
    <t>https://d3ls91xgksobn.cloudfront.net/1200x900/etuovimedia/images/property/import/445/2608445/0e76b9541118d347871c0e0e51d244c4/21f79282b68b41a57351a3426542974a/ORIGINAL.jpeg</t>
  </si>
  <si>
    <t>https://d3ls91xgksobn.cloudfront.net/1200x900/etuovimedia/images/property/import/445/2608445/0e76b9541118d347871c0e0e51d244c4/938d9b8819496b5a18515c857aebcf8d/ORIGINAL.jpeg</t>
  </si>
  <si>
    <t>2608445</t>
  </si>
  <si>
    <t>https://www.etuovi.com/kohde/80512698</t>
  </si>
  <si>
    <t>1h, kt</t>
  </si>
  <si>
    <t>2026-06-10T14:04:46.890Z</t>
  </si>
  <si>
    <t>Apartment (Kerrostalo) — 1h, kt — 30.5 m² — Kirkonkylä Mäntsälä</t>
  </si>
  <si>
    <t>Hangontie 2240a Tammisaari Raasepori</t>
  </si>
  <si>
    <t>Hangontie 2240a</t>
  </si>
  <si>
    <t>80515520</t>
  </si>
  <si>
    <t>https://d3ls91xgksobn.cloudfront.net/400x300/etuovimedia/images/property/import/444/2608444/0e76b9541118d347871c0e0e51d244c4/b037b1c7e7713ebf9e14f915b146fe70/ORIGINAL.jpeg</t>
  </si>
  <si>
    <t>https://d3ls91xgksobn.cloudfront.net/1200x900/etuovimedia/images/property/import/444/2608444/0e76b9541118d347871c0e0e51d244c4/b037b1c7e7713ebf9e14f915b146fe70/ORIGINAL.jpeg</t>
  </si>
  <si>
    <t>https://d3ls91xgksobn.cloudfront.net/1200x900/etuovimedia/images/property/import/444/2608444/0e76b9541118d347871c0e0e51d244c4/42798ee6e2cf8a073a1fe485870722db/ORIGINAL.jpeg</t>
  </si>
  <si>
    <t>https://d3ls91xgksobn.cloudfront.net/1200x900/etuovimedia/images/property/import/444/2608444/0e76b9541118d347871c0e0e51d244c4/23578940867027abd27561ccb2080325/ORIGINAL.jpeg</t>
  </si>
  <si>
    <t>2608444</t>
  </si>
  <si>
    <t>https://www.etuovi.com/kohde/80515520</t>
  </si>
  <si>
    <t>4.-5 h, kuisti, et, kph, s</t>
  </si>
  <si>
    <t>2026-06-10T14:04:46.907Z</t>
  </si>
  <si>
    <t>Detached House (Omakotitalo) — 4.-5 h, kuisti, et, kph, s — 120 m² — Tammisaari Raasepori</t>
  </si>
  <si>
    <t>Hämeentie 174 Vanhakaupunki Helsinki</t>
  </si>
  <si>
    <t>Hämeentie 174</t>
  </si>
  <si>
    <t>Vanhakaupunki Helsinki</t>
  </si>
  <si>
    <t>1085</t>
  </si>
  <si>
    <t>Kiinteistömaailma Helsinki Oulunkylä-Käpylä | Oulunkylän Asunnot Oy</t>
  </si>
  <si>
    <t>1898</t>
  </si>
  <si>
    <t>Vanhakaupunki</t>
  </si>
  <si>
    <t>30006240</t>
  </si>
  <si>
    <t>https://d3ls91xgksobn.cloudfront.net/400x300/etuovimedia/images/property/import/443/2608443/0e76b9541118d347871c0e0e51d244c4/6094a580f4c83d172d54552a639b0e5c/ORIGINAL.jpeg</t>
  </si>
  <si>
    <t>https://d3ls91xgksobn.cloudfront.net/1200x900/etuovimedia/images/property/import/443/2608443/0e76b9541118d347871c0e0e51d244c4/6094a580f4c83d172d54552a639b0e5c/ORIGINAL.jpeg</t>
  </si>
  <si>
    <t>2608443</t>
  </si>
  <si>
    <t>https://www.etuovi.com/kohde/30006240</t>
  </si>
  <si>
    <t>2h, k, et, kph, kuisti, autopaikka, 2 piharakennusta, piha</t>
  </si>
  <si>
    <t>2026-06-10T14:04:46.925Z</t>
  </si>
  <si>
    <t>Detached House (Omakotitalo) — 2h, k, et, kph, kuisti, autopaikka, 2 piharakennusta, piha — 58 m² — Vanhakaupunki Helsinki</t>
  </si>
  <si>
    <t>Ida Aalbergin tie 4 Pohjois-Haaga Helsinki</t>
  </si>
  <si>
    <t>Ida Aalbergin tie 4</t>
  </si>
  <si>
    <t>Pohjois-Haaga Helsinki</t>
  </si>
  <si>
    <t>1043</t>
  </si>
  <si>
    <t>Kotivarma Oy LKV</t>
  </si>
  <si>
    <t>Pohjois-Haaga</t>
  </si>
  <si>
    <t>66096970</t>
  </si>
  <si>
    <t>https://d3ls91xgksobn.cloudfront.net/400x300/etuovimedia/images/property/import/439/2608439/0e76b9541118d347871c0e0e51d244c4/65d8304af3efee824a2221f6b637c42d/ORIGINAL.jpeg</t>
  </si>
  <si>
    <t>https://d3ls91xgksobn.cloudfront.net/1200x900/etuovimedia/images/property/import/439/2608439/0e76b9541118d347871c0e0e51d244c4/65d8304af3efee824a2221f6b637c42d/ORIGINAL.jpeg</t>
  </si>
  <si>
    <t>2608439</t>
  </si>
  <si>
    <t>https://www.etuovi.com/kohde/66096970</t>
  </si>
  <si>
    <t>4-5 h + k + kph / wc + lasitettu parveke</t>
  </si>
  <si>
    <t>2026-06-10T14:04:46.951Z</t>
  </si>
  <si>
    <t>Apartment (Kerrostalo) — 4-5 h + k + kph / wc + lasitettu parveke — 83.5 m² — Pohjois-Haaga Helsinki</t>
  </si>
  <si>
    <t>Kauppakatu 40-42 Kuopio</t>
  </si>
  <si>
    <t>Kauppakatu 40-42</t>
  </si>
  <si>
    <t>1104</t>
  </si>
  <si>
    <t>Kiinteistömaailma Kuopio Puijonkatu | KodinOnni Kuopio Oy LKV</t>
  </si>
  <si>
    <t>http://www.kiinteistomaailma.fi/kuopio-aapeli/</t>
  </si>
  <si>
    <t>Satu Sirviö</t>
  </si>
  <si>
    <t>46714709</t>
  </si>
  <si>
    <t>https://d3ls91xgksobn.cloudfront.net/400x300/etuovimedia/images/property/import/435/2608435/0e76b9541118d347871c0e0e51d244c4/1b2772220916c55fe423f329013cd27c/ORIGINAL.jpeg</t>
  </si>
  <si>
    <t>https://d3ls91xgksobn.cloudfront.net/1200x900/etuovimedia/images/property/import/435/2608435/0e76b9541118d347871c0e0e51d244c4/1b2772220916c55fe423f329013cd27c/ORIGINAL.jpeg</t>
  </si>
  <si>
    <t>https://d3ls91xgksobn.cloudfront.net/1200x900/etuovimedia/images/property/import/435/2608435/0e76b9541118d347871c0e0e51d244c4/c8d2fc2c4c877c0eaaf15c7f921218cb/ORIGINAL.jpeg</t>
  </si>
  <si>
    <t>2608435</t>
  </si>
  <si>
    <t>https://www.etuovi.com/kohde/46714709</t>
  </si>
  <si>
    <t>1h, k, vh</t>
  </si>
  <si>
    <t>2026-06-10T14:04:46.967Z</t>
  </si>
  <si>
    <t>Apartment (Kerrostalo) — 1h, k, vh — 31.5 m² — Kuopio</t>
  </si>
  <si>
    <t>Huhtimäenkatu 1 Juhannuskylä Tampere</t>
  </si>
  <si>
    <t>Huhtimäenkatu 1</t>
  </si>
  <si>
    <t>Tiina Lievejärvi</t>
  </si>
  <si>
    <t>41379117</t>
  </si>
  <si>
    <t>https://d3ls91xgksobn.cloudfront.net/400x300/etuovimedia/images/property/import/434/2608434/0e76b9541118d347871c0e0e51d244c4/48fe79fdcf2fa76a43bcca518d99a4a6/ORIGINAL.jpeg</t>
  </si>
  <si>
    <t>https://d3ls91xgksobn.cloudfront.net/1200x900/etuovimedia/images/property/import/434/2608434/0e76b9541118d347871c0e0e51d244c4/48fe79fdcf2fa76a43bcca518d99a4a6/ORIGINAL.jpeg</t>
  </si>
  <si>
    <t>https://d3ls91xgksobn.cloudfront.net/1200x900/etuovimedia/images/property/import/434/2608434/0e76b9541118d347871c0e0e51d244c4/7a84ebf22bb2bf26f4607a6771024a32/ORIGINAL.jpeg</t>
  </si>
  <si>
    <t>https://d3ls91xgksobn.cloudfront.net/1200x900/etuovimedia/images/property/import/434/2608434/0e76b9541118d347871c0e0e51d244c4/0cff570046ea40187b25993eadc6b5d8/ORIGINAL.jpeg</t>
  </si>
  <si>
    <t>2608434</t>
  </si>
  <si>
    <t>https://www.etuovi.com/kohde/41379117</t>
  </si>
  <si>
    <t>2026-06-10T14:04:46.994Z</t>
  </si>
  <si>
    <t>WOODEN_HOUSE_APARTMENT — 1h, k — 29 m² — Juhannuskylä Tampere</t>
  </si>
  <si>
    <t>Stålarminkatu 34 Martti Turku</t>
  </si>
  <si>
    <t>Stålarminkatu 34</t>
  </si>
  <si>
    <t>54724282</t>
  </si>
  <si>
    <t>https://d3ls91xgksobn.cloudfront.net/400x300/etuovimedia/images/property/import/433/2608433/0e76b9541118d347871c0e0e51d244c4/73dbfe5b19ef4c1d27f36d64a76ba71b/ORIGINAL.jpeg</t>
  </si>
  <si>
    <t>https://d3ls91xgksobn.cloudfront.net/1200x900/etuovimedia/images/property/import/433/2608433/0e76b9541118d347871c0e0e51d244c4/73dbfe5b19ef4c1d27f36d64a76ba71b/ORIGINAL.jpeg</t>
  </si>
  <si>
    <t>2608433</t>
  </si>
  <si>
    <t>https://www.etuovi.com/kohde/54724282</t>
  </si>
  <si>
    <t>5h, k, rt, khh, kph, s, 2*wc, vh, var</t>
  </si>
  <si>
    <t>2026-06-10T14:04:47.067Z</t>
  </si>
  <si>
    <t>Row House (Rivitalo) — 5h, k, rt, khh, kph, s, 2*wc, vh, var — 49 m² — Martti Turku</t>
  </si>
  <si>
    <t>Östermalmsgatan 29 Itänummi Pietarsaari</t>
  </si>
  <si>
    <t>Östermalmsgatan 29</t>
  </si>
  <si>
    <t>Itänummi Pietarsaari</t>
  </si>
  <si>
    <t>4579</t>
  </si>
  <si>
    <t>Kiinteistömaailma Pietarsaari | Seitsemän Sillan LKV Oy</t>
  </si>
  <si>
    <t>Anne Nilsen</t>
  </si>
  <si>
    <t>Itänummi</t>
  </si>
  <si>
    <t>30242030</t>
  </si>
  <si>
    <t>https://d3ls91xgksobn.cloudfront.net/400x300/etuovimedia/images/property/import/432/2608432/0e76b9541118d347871c0e0e51d244c4/dacfb4590bc5dc3ca925acf37e15188c/ORIGINAL.jpeg</t>
  </si>
  <si>
    <t>https://d3ls91xgksobn.cloudfront.net/1200x900/etuovimedia/images/property/import/432/2608432/0e76b9541118d347871c0e0e51d244c4/dacfb4590bc5dc3ca925acf37e15188c/ORIGINAL.jpeg</t>
  </si>
  <si>
    <t>https://d3ls91xgksobn.cloudfront.net/1200x900/etuovimedia/images/property/import/432/2608432/0e76b9541118d347871c0e0e51d244c4/b8dbf5510590fdb1f1f46f655fd6ba33/ORIGINAL.jpeg</t>
  </si>
  <si>
    <t>2608432</t>
  </si>
  <si>
    <t>https://www.etuovi.com/kohde/30242030</t>
  </si>
  <si>
    <t>4h, k, vh, kph, s, wc, khh, terassi, var, at</t>
  </si>
  <si>
    <t>2026-06-10T14:04:48.886Z</t>
  </si>
  <si>
    <t>Row House (Rivitalo) — 4h, k, vh, kph, s, wc, khh, terassi, var, at — 128 m² — Itänummi Pietarsaari</t>
  </si>
  <si>
    <t>Färmintie 14 Siuro Nokia</t>
  </si>
  <si>
    <t>Färmintie 14</t>
  </si>
  <si>
    <t>Siuro Nokia</t>
  </si>
  <si>
    <t>1452</t>
  </si>
  <si>
    <t>Kiinteistövälitys Rooma Oy LKV</t>
  </si>
  <si>
    <t>http://www.roomalkv.fi/</t>
  </si>
  <si>
    <t>Mäki Jari</t>
  </si>
  <si>
    <t>Siuro</t>
  </si>
  <si>
    <t>20750366</t>
  </si>
  <si>
    <t>https://d3ls91xgksobn.cloudfront.net/400x300/etuovimedia/images/property/import/430/2608430/0e76b9541118d347871c0e0e51d244c4/72163592a665466fa813efe6ae7d6aaa/ORIGINAL.jpeg</t>
  </si>
  <si>
    <t>https://d3ls91xgksobn.cloudfront.net/1200x900/etuovimedia/images/property/import/430/2608430/0e76b9541118d347871c0e0e51d244c4/72163592a665466fa813efe6ae7d6aaa/ORIGINAL.jpeg</t>
  </si>
  <si>
    <t>https://d3ls91xgksobn.cloudfront.net/1200x900/etuovimedia/images/property/import/430/2608430/0e76b9541118d347871c0e0e51d244c4/43c3b1c3d12f10aaf7b3401605e9f217/ORIGINAL.jpeg</t>
  </si>
  <si>
    <t>2608430</t>
  </si>
  <si>
    <t>https://www.etuovi.com/kohde/20750366</t>
  </si>
  <si>
    <t>2h, k, p</t>
  </si>
  <si>
    <t>2026-06-10T14:04:48.922Z</t>
  </si>
  <si>
    <t>Apartment (Kerrostalo) — 2h, k, p — 55.5 m² — Siuro Nokia</t>
  </si>
  <si>
    <t>Ruukintie 6 Järvelä Kärkölä</t>
  </si>
  <si>
    <t>Ruukintie 6</t>
  </si>
  <si>
    <t>Järvelä Kärkölä</t>
  </si>
  <si>
    <t>3152</t>
  </si>
  <si>
    <t>Asunto Ojala Oy, Hannu Ojala</t>
  </si>
  <si>
    <t>Järvelä</t>
  </si>
  <si>
    <t>21190958</t>
  </si>
  <si>
    <t>https://d3ls91xgksobn.cloudfront.net/400x300/etuovimedia/images/property/import/429/2608429/0e76b9541118d347871c0e0e51d244c4/3f005073dae935a68aeed3baa55ce5c3/ORIGINAL.jpeg</t>
  </si>
  <si>
    <t>https://d3ls91xgksobn.cloudfront.net/1200x900/etuovimedia/images/property/import/429/2608429/0e76b9541118d347871c0e0e51d244c4/3f005073dae935a68aeed3baa55ce5c3/ORIGINAL.jpeg</t>
  </si>
  <si>
    <t>2608429</t>
  </si>
  <si>
    <t>https://www.etuovi.com/kohde/21190958</t>
  </si>
  <si>
    <t>32 000 €</t>
  </si>
  <si>
    <t>2h, k, kph, s, p</t>
  </si>
  <si>
    <t>2026-06-10T14:04:48.959Z</t>
  </si>
  <si>
    <t>Apartment (Kerrostalo) — 2h, k, kph, s, p — 62 m² — Järvelä Kärkölä</t>
  </si>
  <si>
    <t>Laitiokatu 2 A 7 Ihala Raisio</t>
  </si>
  <si>
    <t>Laitiokatu 2 A 7</t>
  </si>
  <si>
    <t>Ihala Raisio</t>
  </si>
  <si>
    <t>923</t>
  </si>
  <si>
    <t>Varsinais-Suomen Asumisoikeus Oy - Vaso</t>
  </si>
  <si>
    <t>http://www.vaso.fi/</t>
  </si>
  <si>
    <t>Ihala</t>
  </si>
  <si>
    <t>fs2976</t>
  </si>
  <si>
    <t>https://d3ls91xgksobn.cloudfront.net/400x300/etuovimedia/images/property/import/424/2608424/0e76b9541118d347871c0e0e51d244c4/6c031eaa38d1b0851c396fc6e1b59ba9/ORIGINAL.jpeg</t>
  </si>
  <si>
    <t>https://d3ls91xgksobn.cloudfront.net/1200x900/etuovimedia/images/property/import/424/2608424/0e76b9541118d347871c0e0e51d244c4/6c031eaa38d1b0851c396fc6e1b59ba9/ORIGINAL.jpeg</t>
  </si>
  <si>
    <t>2608424</t>
  </si>
  <si>
    <t>https://www.etuovi.com/kohde/fs2976</t>
  </si>
  <si>
    <t>18 051,9 €</t>
  </si>
  <si>
    <t>2026-06-10T14:04:48.975Z</t>
  </si>
  <si>
    <t>Apartment (Kerrostalo) — 2h + k + s — 65 m² — Ihala Raisio</t>
  </si>
  <si>
    <t>Käärtipolku 2 Konala Helsinki</t>
  </si>
  <si>
    <t>Käärtipolku 2</t>
  </si>
  <si>
    <t>fs2974</t>
  </si>
  <si>
    <t>https://d3ls91xgksobn.cloudfront.net/400x300/etuovimedia/images/property/import/423/2608423/0e76b9541118d347871c0e0e51d244c4/8ef241c200c0c158a79b0ae77ad86c82/ORIGINAL.jpeg</t>
  </si>
  <si>
    <t>https://d3ls91xgksobn.cloudfront.net/1200x900/etuovimedia/images/property/import/423/2608423/0e76b9541118d347871c0e0e51d244c4/8ef241c200c0c158a79b0ae77ad86c82/ORIGINAL.jpeg</t>
  </si>
  <si>
    <t>2608423</t>
  </si>
  <si>
    <t>https://www.etuovi.com/kohde/fs2974</t>
  </si>
  <si>
    <t>2h + avok + kph + vh + las.parv</t>
  </si>
  <si>
    <t>2026-06-10T14:04:49.031Z</t>
  </si>
  <si>
    <t>Apartment (Kerrostalo) — 2h + avok + kph + vh + las.parv — 43 m² — Konala Helsinki</t>
  </si>
  <si>
    <t>Kansipolku 3 Jyskä Jyväskylä</t>
  </si>
  <si>
    <t>Kansipolku 3</t>
  </si>
  <si>
    <t>Jyskä Jyväskylä</t>
  </si>
  <si>
    <t>Kim Särkkä</t>
  </si>
  <si>
    <t>Jyskä</t>
  </si>
  <si>
    <t>621310</t>
  </si>
  <si>
    <t>https://d3ls91xgksobn.cloudfront.net/400x300/etuovimedia/images/property/import/422/2608422/0e76b9541118d347871c0e0e51d244c4/1c987d11a556400b93bebc9384e00ac2/ORIGINAL.jpeg</t>
  </si>
  <si>
    <t>https://d3ls91xgksobn.cloudfront.net/1200x900/etuovimedia/images/property/import/422/2608422/0e76b9541118d347871c0e0e51d244c4/1c987d11a556400b93bebc9384e00ac2/ORIGINAL.jpeg</t>
  </si>
  <si>
    <t>https://d3ls91xgksobn.cloudfront.net/1200x900/etuovimedia/images/property/import/422/2608422/0e76b9541118d347871c0e0e51d244c4/cb74eeb9c4a11b64440e6e8fc620c207/ORIGINAL.jpeg</t>
  </si>
  <si>
    <t>https://d3ls91xgksobn.cloudfront.net/1200x900/etuovimedia/images/property/import/422/2608422/0e76b9541118d347871c0e0e51d244c4/3400bcf3f85bc6dd080a0496d00af1a3/ORIGINAL.jpeg</t>
  </si>
  <si>
    <t>2608422</t>
  </si>
  <si>
    <t>https://www.etuovi.com/kohde/621310</t>
  </si>
  <si>
    <t>595 000 €</t>
  </si>
  <si>
    <t>5h + keittiö + ph + 2x erillwc + lasittettu parveke + lasitettu terassi</t>
  </si>
  <si>
    <t>2026-06-10T14:04:49.089Z</t>
  </si>
  <si>
    <t>Detached House (Omakotitalo) — 5h + keittiö + ph + 2x erillwc + lasittettu parveke + lasitettu terassi — 207 m² — Jyskä Jyväskylä</t>
  </si>
  <si>
    <t>Mannerheimintie 38 as Keskusta Mikkeli</t>
  </si>
  <si>
    <t>Mannerheimintie 38 as</t>
  </si>
  <si>
    <t>3065</t>
  </si>
  <si>
    <t>OP Koti Itä-Suomi Oy LKV, Mikkeli</t>
  </si>
  <si>
    <t>Sami Rossi</t>
  </si>
  <si>
    <t>621276</t>
  </si>
  <si>
    <t>https://d3ls91xgksobn.cloudfront.net/400x300/etuovimedia/images/property/import/421/2608421/0e76b9541118d347871c0e0e51d244c4/f0f1a0bbfff0ff0511a4b3ae654b9539/ORIGINAL.jpeg</t>
  </si>
  <si>
    <t>https://d3ls91xgksobn.cloudfront.net/1200x900/etuovimedia/images/property/import/421/2608421/0e76b9541118d347871c0e0e51d244c4/f0f1a0bbfff0ff0511a4b3ae654b9539/ORIGINAL.jpeg</t>
  </si>
  <si>
    <t>https://d3ls91xgksobn.cloudfront.net/1200x900/etuovimedia/images/property/import/421/2608421/0e76b9541118d347871c0e0e51d244c4/95a331130c290cb93d92346713cc07d3/ORIGINAL.jpeg</t>
  </si>
  <si>
    <t>https://d3ls91xgksobn.cloudfront.net/1200x900/etuovimedia/images/property/import/421/2608421/0e76b9541118d347871c0e0e51d244c4/ee4dca5d34b956a135ecc68ee041f240/ORIGINAL.jpeg</t>
  </si>
  <si>
    <t>2608421</t>
  </si>
  <si>
    <t>https://www.etuovi.com/kohde/621276</t>
  </si>
  <si>
    <t>2026-06-10T14:04:49.102Z</t>
  </si>
  <si>
    <t>Apartment (Kerrostalo) — 2h, k, s — 57 m² — Keskusta Mikkeli</t>
  </si>
  <si>
    <t>Kaartinkatu 2 A Skinnarila Lappeenranta</t>
  </si>
  <si>
    <t>Kaartinkatu 2 A</t>
  </si>
  <si>
    <t>Skinnarila Lappeenranta</t>
  </si>
  <si>
    <t>526</t>
  </si>
  <si>
    <t>OP Koti Häme-Kaakko Oy LKV, Lappeenranta</t>
  </si>
  <si>
    <t>Helena Lantta</t>
  </si>
  <si>
    <t>Skinnarila</t>
  </si>
  <si>
    <t>621134</t>
  </si>
  <si>
    <t>https://d3ls91xgksobn.cloudfront.net/400x300/etuovimedia/images/property/import/420/2608420/0e76b9541118d347871c0e0e51d244c4/c4f1ca4b095e221e8afa3ca55f673e38/ORIGINAL.jpeg</t>
  </si>
  <si>
    <t>https://d3ls91xgksobn.cloudfront.net/1200x900/etuovimedia/images/property/import/420/2608420/0e76b9541118d347871c0e0e51d244c4/c4f1ca4b095e221e8afa3ca55f673e38/ORIGINAL.jpeg</t>
  </si>
  <si>
    <t>https://d3ls91xgksobn.cloudfront.net/1200x900/etuovimedia/images/property/import/420/2608420/0e76b9541118d347871c0e0e51d244c4/b51461637be92ce01f1218e42dc4d063/ORIGINAL.jpeg</t>
  </si>
  <si>
    <t>2608420</t>
  </si>
  <si>
    <t>https://www.etuovi.com/kohde/621134</t>
  </si>
  <si>
    <t>47 000 €</t>
  </si>
  <si>
    <t>2026-06-10T14:04:49.165Z</t>
  </si>
  <si>
    <t>Apartment (Kerrostalo) — 1h, kk — 35 m² — Skinnarila Lappeenranta</t>
  </si>
  <si>
    <t>Lattomerentie 227 Friitala Ulvila</t>
  </si>
  <si>
    <t>Lattomerentie 227</t>
  </si>
  <si>
    <t>Friitala Ulvila</t>
  </si>
  <si>
    <t>Friitala</t>
  </si>
  <si>
    <t>620987</t>
  </si>
  <si>
    <t>https://d3ls91xgksobn.cloudfront.net/400x300/etuovimedia/images/property/import/418/2608418/0e76b9541118d347871c0e0e51d244c4/db577f0baa6922431bf31f9c05b53c75/ORIGINAL.jpeg</t>
  </si>
  <si>
    <t>https://d3ls91xgksobn.cloudfront.net/1200x900/etuovimedia/images/property/import/418/2608418/0e76b9541118d347871c0e0e51d244c4/db577f0baa6922431bf31f9c05b53c75/ORIGINAL.jpeg</t>
  </si>
  <si>
    <t>https://d3ls91xgksobn.cloudfront.net/1200x900/etuovimedia/images/property/import/418/2608418/0e76b9541118d347871c0e0e51d244c4/6fd9f1109370101f44b24d7c35f98e7b/ORIGINAL.jpeg</t>
  </si>
  <si>
    <t>https://d3ls91xgksobn.cloudfront.net/1200x900/etuovimedia/images/property/import/418/2608418/0e76b9541118d347871c0e0e51d244c4/641c7522dbc412c83e99828f9f99d44d/ORIGINAL.jpeg</t>
  </si>
  <si>
    <t>2608418</t>
  </si>
  <si>
    <t>https://www.etuovi.com/kohde/620987</t>
  </si>
  <si>
    <t>6h + k + 3 x vh + kph + s + 2 x wc + khh</t>
  </si>
  <si>
    <t>2026-06-10T14:04:49.184Z</t>
  </si>
  <si>
    <t>Detached House (Omakotitalo) — 6h + k + 3 x vh + kph + s + 2 x wc + khh — 244 m² — Friitala Ulvila</t>
  </si>
  <si>
    <t>Kauppakatu 20 Keskusta Lappeenranta</t>
  </si>
  <si>
    <t>Kauppakatu 20</t>
  </si>
  <si>
    <t>Keskusta Lappeenranta</t>
  </si>
  <si>
    <t>Hanna Duba</t>
  </si>
  <si>
    <t>621091</t>
  </si>
  <si>
    <t>https://d3ls91xgksobn.cloudfront.net/400x300/etuovimedia/images/property/import/417/2608417/0e76b9541118d347871c0e0e51d244c4/6f6b66d10eb28453e5334588892f35e6/ORIGINAL.jpeg</t>
  </si>
  <si>
    <t>https://d3ls91xgksobn.cloudfront.net/1200x900/etuovimedia/images/property/import/417/2608417/0e76b9541118d347871c0e0e51d244c4/6f6b66d10eb28453e5334588892f35e6/ORIGINAL.jpeg</t>
  </si>
  <si>
    <t>https://d3ls91xgksobn.cloudfront.net/1200x900/etuovimedia/images/property/import/417/2608417/0e76b9541118d347871c0e0e51d244c4/89cce2f45cbb8ae7474d7075f241cc00/ORIGINAL.jpeg</t>
  </si>
  <si>
    <t>2608417</t>
  </si>
  <si>
    <t>https://www.etuovi.com/kohde/621091</t>
  </si>
  <si>
    <t>2026-06-10T14:04:49.197Z</t>
  </si>
  <si>
    <t>Apartment (Kerrostalo) — 2h, k, s — 55.5 m² — Keskusta Lappeenranta</t>
  </si>
  <si>
    <t>Harjulankatu 3 D Pitkälahti Iisalmi</t>
  </si>
  <si>
    <t>Harjulankatu 3 D</t>
  </si>
  <si>
    <t>621013</t>
  </si>
  <si>
    <t>https://d3ls91xgksobn.cloudfront.net/400x300/etuovimedia/images/property/import/416/2608416/0e76b9541118d347871c0e0e51d244c4/980cf6914eb9cebc6e73a3ddbb180ef8/ORIGINAL.jpeg</t>
  </si>
  <si>
    <t>https://d3ls91xgksobn.cloudfront.net/1200x900/etuovimedia/images/property/import/416/2608416/0e76b9541118d347871c0e0e51d244c4/980cf6914eb9cebc6e73a3ddbb180ef8/ORIGINAL.jpeg</t>
  </si>
  <si>
    <t>https://d3ls91xgksobn.cloudfront.net/1200x900/etuovimedia/images/property/import/416/2608416/0e76b9541118d347871c0e0e51d244c4/f41e966b31dcf5811a69ca5d34817d57/ORIGINAL.jpeg</t>
  </si>
  <si>
    <t>2608416</t>
  </si>
  <si>
    <t>https://www.etuovi.com/kohde/621013</t>
  </si>
  <si>
    <t>2026-06-10T14:04:49.316Z</t>
  </si>
  <si>
    <t>Row House (Rivitalo) — 3h, k, s — 81 m² — Pitkälahti Iisalmi</t>
  </si>
  <si>
    <t>Kylväjäntie 2 E Ikuri Tampere</t>
  </si>
  <si>
    <t>Kylväjäntie 2 E</t>
  </si>
  <si>
    <t>Ikuri Tampere</t>
  </si>
  <si>
    <t>Ikuri</t>
  </si>
  <si>
    <t>620915</t>
  </si>
  <si>
    <t>https://d3ls91xgksobn.cloudfront.net/400x300/etuovimedia/images/property/import/415/2608415/0e76b9541118d347871c0e0e51d244c4/0c57b0d218d45907eb4d26b4ab01a1c1/ORIGINAL.jpeg</t>
  </si>
  <si>
    <t>https://d3ls91xgksobn.cloudfront.net/1200x900/etuovimedia/images/property/import/415/2608415/0e76b9541118d347871c0e0e51d244c4/0c57b0d218d45907eb4d26b4ab01a1c1/ORIGINAL.jpeg</t>
  </si>
  <si>
    <t>https://d3ls91xgksobn.cloudfront.net/1200x900/etuovimedia/images/property/import/415/2608415/0e76b9541118d347871c0e0e51d244c4/24d0c8f7b257afdf57ce9b9f9b25aa0b/ORIGINAL.jpeg</t>
  </si>
  <si>
    <t>https://d3ls91xgksobn.cloudfront.net/1200x900/etuovimedia/images/property/import/415/2608415/0e76b9541118d347871c0e0e51d244c4/596040e0997d4725d7dc67283587922f/ORIGINAL.jpeg</t>
  </si>
  <si>
    <t>2608415</t>
  </si>
  <si>
    <t>https://www.etuovi.com/kohde/620915</t>
  </si>
  <si>
    <t>3h, k, kph / s, erill. wc, vh</t>
  </si>
  <si>
    <t>2026-06-10T14:04:49.328Z</t>
  </si>
  <si>
    <t>Row House (Rivitalo) — 3h, k, kph / s, erill. wc, vh — 76.5 m² — Ikuri Tampere</t>
  </si>
  <si>
    <t>Ahorannantie 22 as Kellarpelto Savonlinna</t>
  </si>
  <si>
    <t>Ahorannantie 22 as</t>
  </si>
  <si>
    <t>Kellarpelto Savonlinna</t>
  </si>
  <si>
    <t>Kellarpelto</t>
  </si>
  <si>
    <t>620840</t>
  </si>
  <si>
    <t>https://d3ls91xgksobn.cloudfront.net/400x300/etuovimedia/images/property/import/414/2608414/0e76b9541118d347871c0e0e51d244c4/bfb077e649a04d08c36930f071761110/ORIGINAL.jpeg</t>
  </si>
  <si>
    <t>https://d3ls91xgksobn.cloudfront.net/1200x900/etuovimedia/images/property/import/414/2608414/0e76b9541118d347871c0e0e51d244c4/bfb077e649a04d08c36930f071761110/ORIGINAL.jpeg</t>
  </si>
  <si>
    <t>https://d3ls91xgksobn.cloudfront.net/1200x900/etuovimedia/images/property/import/414/2608414/0e76b9541118d347871c0e0e51d244c4/088c851924db8ece2cd2f217bbb8dc4d/ORIGINAL.jpeg</t>
  </si>
  <si>
    <t>2608414</t>
  </si>
  <si>
    <t>https://www.etuovi.com/kohde/620840</t>
  </si>
  <si>
    <t>65 000 €</t>
  </si>
  <si>
    <t>2026-06-10T14:04:49.344Z</t>
  </si>
  <si>
    <t>Semi-detached (Paritalo) — 3h, k, s — 187 m² — Kellarpelto Savonlinna</t>
  </si>
  <si>
    <t>Amiraalinkatu 4a Reposaari Pori</t>
  </si>
  <si>
    <t>Amiraalinkatu 4a</t>
  </si>
  <si>
    <t>Reposaari Pori</t>
  </si>
  <si>
    <t>Reposaari</t>
  </si>
  <si>
    <t>620681</t>
  </si>
  <si>
    <t>https://d3ls91xgksobn.cloudfront.net/400x300/etuovimedia/images/property/import/413/2608413/0e76b9541118d347871c0e0e51d244c4/a2b17448658ca43c737c6b526c0e8a0e/ORIGINAL.jpeg</t>
  </si>
  <si>
    <t>https://d3ls91xgksobn.cloudfront.net/1200x900/etuovimedia/images/property/import/413/2608413/0e76b9541118d347871c0e0e51d244c4/a2b17448658ca43c737c6b526c0e8a0e/ORIGINAL.jpeg</t>
  </si>
  <si>
    <t>https://d3ls91xgksobn.cloudfront.net/1200x900/etuovimedia/images/property/import/413/2608413/0e76b9541118d347871c0e0e51d244c4/9b135a7eeba9e75683d300e717b21e61/ORIGINAL.jpeg</t>
  </si>
  <si>
    <t>https://d3ls91xgksobn.cloudfront.net/1200x900/etuovimedia/images/property/import/413/2608413/0e76b9541118d347871c0e0e51d244c4/843d399b789684250b9a688d9624e6c7/ORIGINAL.jpeg</t>
  </si>
  <si>
    <t>2608413</t>
  </si>
  <si>
    <t>https://www.etuovi.com/kohde/620681</t>
  </si>
  <si>
    <t>2026-06-10T14:04:49.372Z</t>
  </si>
  <si>
    <t>Detached House (Omakotitalo) — 4h + k + s — 82 m² — Reposaari Pori</t>
  </si>
  <si>
    <t>Päiviönkatu 35 as keskusta Iisalmi</t>
  </si>
  <si>
    <t>Päiviönkatu 35 as</t>
  </si>
  <si>
    <t>620605</t>
  </si>
  <si>
    <t>https://d3ls91xgksobn.cloudfront.net/400x300/etuovimedia/images/property/import/412/2608412/0e76b9541118d347871c0e0e51d244c4/3fdde3e2f0a812ab4e90c96686e6a017/ORIGINAL.jpeg</t>
  </si>
  <si>
    <t>https://d3ls91xgksobn.cloudfront.net/1200x900/etuovimedia/images/property/import/412/2608412/0e76b9541118d347871c0e0e51d244c4/3fdde3e2f0a812ab4e90c96686e6a017/ORIGINAL.jpeg</t>
  </si>
  <si>
    <t>https://d3ls91xgksobn.cloudfront.net/1200x900/etuovimedia/images/property/import/412/2608412/0e76b9541118d347871c0e0e51d244c4/da9ced930500137e530ddf17a47698aa/ORIGINAL.jpeg</t>
  </si>
  <si>
    <t>https://d3ls91xgksobn.cloudfront.net/1200x900/etuovimedia/images/property/import/412/2608412/0e76b9541118d347871c0e0e51d244c4/d7fcf107e3e04f39556375272608d29b/ORIGINAL.jpeg</t>
  </si>
  <si>
    <t>2608412</t>
  </si>
  <si>
    <t>https://www.etuovi.com/kohde/620605</t>
  </si>
  <si>
    <t>2026-06-10T14:04:49.384Z</t>
  </si>
  <si>
    <t>Apartment (Kerrostalo) — 3h, k, s — 83 m² — keskusta Iisalmi</t>
  </si>
  <si>
    <t>Rainonkuja 3 Mierola Hattula</t>
  </si>
  <si>
    <t>Rainonkuja 3</t>
  </si>
  <si>
    <t>Mierola Hattula</t>
  </si>
  <si>
    <t>Mikko Mäkitammi</t>
  </si>
  <si>
    <t>Mierola</t>
  </si>
  <si>
    <t>620510</t>
  </si>
  <si>
    <t>https://d3ls91xgksobn.cloudfront.net/400x300/etuovimedia/images/property/import/411/2608411/0e76b9541118d347871c0e0e51d244c4/b312bd2356b41aa47577af0b631c34b1/ORIGINAL.jpeg</t>
  </si>
  <si>
    <t>https://d3ls91xgksobn.cloudfront.net/1200x900/etuovimedia/images/property/import/411/2608411/0e76b9541118d347871c0e0e51d244c4/b312bd2356b41aa47577af0b631c34b1/ORIGINAL.jpeg</t>
  </si>
  <si>
    <t>https://d3ls91xgksobn.cloudfront.net/1200x900/etuovimedia/images/property/import/411/2608411/0e76b9541118d347871c0e0e51d244c4/6623e0e04b548257ced801faf56f465d/ORIGINAL.jpeg</t>
  </si>
  <si>
    <t>2608411</t>
  </si>
  <si>
    <t>https://www.etuovi.com/kohde/620510</t>
  </si>
  <si>
    <t>4-5h, k, s</t>
  </si>
  <si>
    <t>2026-06-10T14:04:49.399Z</t>
  </si>
  <si>
    <t>Detached House (Omakotitalo) — 4-5h, k, s — 124 m² — Mierola Hattula</t>
  </si>
  <si>
    <t>Kuvernöörinkuja 13 B Laajasalo Helsinki</t>
  </si>
  <si>
    <t>Kuvernöörinkuja 13 B</t>
  </si>
  <si>
    <t>620243</t>
  </si>
  <si>
    <t>https://d3ls91xgksobn.cloudfront.net/400x300/etuovimedia/images/property/import/400/2608400/0e76b9541118d347871c0e0e51d244c4/b41c59f54a97faa8109903a4197a18eb/ORIGINAL.jpeg</t>
  </si>
  <si>
    <t>https://d3ls91xgksobn.cloudfront.net/1200x900/etuovimedia/images/property/import/400/2608400/0e76b9541118d347871c0e0e51d244c4/b41c59f54a97faa8109903a4197a18eb/ORIGINAL.jpeg</t>
  </si>
  <si>
    <t>https://d3ls91xgksobn.cloudfront.net/1200x900/etuovimedia/images/property/import/400/2608400/0e76b9541118d347871c0e0e51d244c4/d76748a8d9d4e54db69695d9c287d0d6/ORIGINAL.jpeg</t>
  </si>
  <si>
    <t>2608400</t>
  </si>
  <si>
    <t>https://www.etuovi.com/kohde/620243</t>
  </si>
  <si>
    <t>2 h, avok, kph, lasitettu parveke (yj: 1h + tupak)</t>
  </si>
  <si>
    <t>2026-06-10T14:04:49.451Z</t>
  </si>
  <si>
    <t>Apartment (Kerrostalo) — 2 h, avok, kph, lasitettu parveke (yj: 1h + tupak) — 39.5 m² — Laajasalo Helsinki</t>
  </si>
  <si>
    <t>Viitaniementie 6 A Viitaniemi Jyväskylä</t>
  </si>
  <si>
    <t>Viitaniementie 6 A</t>
  </si>
  <si>
    <t>Viitaniemi Jyväskylä</t>
  </si>
  <si>
    <t>Viitaniemi</t>
  </si>
  <si>
    <t>619771</t>
  </si>
  <si>
    <t>https://d3ls91xgksobn.cloudfront.net/400x300/etuovimedia/images/property/import/396/2608396/0e76b9541118d347871c0e0e51d244c4/4cbe30b25ff5f4b7214a149f0df99f15/ORIGINAL.jpeg</t>
  </si>
  <si>
    <t>https://d3ls91xgksobn.cloudfront.net/1200x900/etuovimedia/images/property/import/396/2608396/0e76b9541118d347871c0e0e51d244c4/4cbe30b25ff5f4b7214a149f0df99f15/ORIGINAL.jpeg</t>
  </si>
  <si>
    <t>https://d3ls91xgksobn.cloudfront.net/1200x900/etuovimedia/images/property/import/396/2608396/0e76b9541118d347871c0e0e51d244c4/84f06726283e380647254797f69f936c/ORIGINAL.jpeg</t>
  </si>
  <si>
    <t>https://d3ls91xgksobn.cloudfront.net/1200x900/etuovimedia/images/property/import/396/2608396/0e76b9541118d347871c0e0e51d244c4/8f66bbe6b86f5f7f83c75e9119586106/ORIGINAL.jpeg</t>
  </si>
  <si>
    <t>2608396</t>
  </si>
  <si>
    <t>https://www.etuovi.com/kohde/619771</t>
  </si>
  <si>
    <t>69 500 €</t>
  </si>
  <si>
    <t>2026-06-10T14:04:49.482Z</t>
  </si>
  <si>
    <t>Apartment (Kerrostalo) — 1h + kk — 27 m² — Viitaniemi Jyväskylä</t>
  </si>
  <si>
    <t>Keskuskatu 13-15 A Karjaa Raasepori</t>
  </si>
  <si>
    <t>Keskuskatu 13-15 A</t>
  </si>
  <si>
    <t>Karjaa Raasepori</t>
  </si>
  <si>
    <t>1597</t>
  </si>
  <si>
    <t>OP Koti Varsinais-Suomi Oy LKV, Karjaa</t>
  </si>
  <si>
    <t>Yatta Malmsten</t>
  </si>
  <si>
    <t>Karjaa</t>
  </si>
  <si>
    <t>618797</t>
  </si>
  <si>
    <t>https://d3ls91xgksobn.cloudfront.net/400x300/etuovimedia/images/property/import/394/2608394/0e76b9541118d347871c0e0e51d244c4/eb95df011cefcf9f61e98065991aa7e4/ORIGINAL.jpeg</t>
  </si>
  <si>
    <t>https://d3ls91xgksobn.cloudfront.net/1200x900/etuovimedia/images/property/import/394/2608394/0e76b9541118d347871c0e0e51d244c4/eb95df011cefcf9f61e98065991aa7e4/ORIGINAL.jpeg</t>
  </si>
  <si>
    <t>https://d3ls91xgksobn.cloudfront.net/1200x900/etuovimedia/images/property/import/394/2608394/0e76b9541118d347871c0e0e51d244c4/fe646d8ff275575eeb8fb17dcf526389/ORIGINAL.jpeg</t>
  </si>
  <si>
    <t>2608394</t>
  </si>
  <si>
    <t>https://www.etuovi.com/kohde/618797</t>
  </si>
  <si>
    <t>2026-06-10T14:04:49.498Z</t>
  </si>
  <si>
    <t>Apartment (Kerrostalo) — 4h + k — 92 m² — Karjaa Raasepori</t>
  </si>
  <si>
    <t>Matintie 4 Viirinkangas Rovaniemi</t>
  </si>
  <si>
    <t>Matintie 4</t>
  </si>
  <si>
    <t>53033721</t>
  </si>
  <si>
    <t>https://d3ls91xgksobn.cloudfront.net/400x300/etuovimedia/images/property/import/393/2608393/0e76b9541118d347871c0e0e51d244c4/9eb131c601894edbe68fd44b92ee8f23/ORIGINAL.jpeg</t>
  </si>
  <si>
    <t>https://d3ls91xgksobn.cloudfront.net/1200x900/etuovimedia/images/property/import/393/2608393/0e76b9541118d347871c0e0e51d244c4/9eb131c601894edbe68fd44b92ee8f23/ORIGINAL.jpeg</t>
  </si>
  <si>
    <t>https://d3ls91xgksobn.cloudfront.net/1200x900/etuovimedia/images/property/import/393/2608393/0e76b9541118d347871c0e0e51d244c4/d07f32ef645e5f131f69fb9ccdebe324/ORIGINAL.jpeg</t>
  </si>
  <si>
    <t>2608393</t>
  </si>
  <si>
    <t>https://www.etuovi.com/kohde/53033721</t>
  </si>
  <si>
    <t>2h, kk, , p</t>
  </si>
  <si>
    <t>2026-06-10T14:04:49.516Z</t>
  </si>
  <si>
    <t>Apartment (Kerrostalo) — 2h, kk, , p — 31.5 m² — Viirinkangas Rovaniemi</t>
  </si>
  <si>
    <t>Teiskontie 23 Kaleva Tampere</t>
  </si>
  <si>
    <t>Teiskontie 23</t>
  </si>
  <si>
    <t>Ari Mahmoudian</t>
  </si>
  <si>
    <t>31366575</t>
  </si>
  <si>
    <t>https://d3ls91xgksobn.cloudfront.net/400x300/etuovimedia/images/property/import/392/2608392/0e76b9541118d347871c0e0e51d244c4/62e03af46b5801c98acc296377232e7f/ORIGINAL.jpeg</t>
  </si>
  <si>
    <t>https://d3ls91xgksobn.cloudfront.net/1200x900/etuovimedia/images/property/import/392/2608392/0e76b9541118d347871c0e0e51d244c4/62e03af46b5801c98acc296377232e7f/ORIGINAL.jpeg</t>
  </si>
  <si>
    <t>https://d3ls91xgksobn.cloudfront.net/1200x900/etuovimedia/images/property/import/392/2608392/0e76b9541118d347871c0e0e51d244c4/660dca1a88aaf91cf97f572150aa8588/ORIGINAL.jpeg</t>
  </si>
  <si>
    <t>2608392</t>
  </si>
  <si>
    <t>https://www.etuovi.com/kohde/31366575</t>
  </si>
  <si>
    <t>2h, k, kph, p, vh</t>
  </si>
  <si>
    <t>2026-06-10T14:04:49.646Z</t>
  </si>
  <si>
    <t>Apartment (Kerrostalo) — 2h, k, kph, p, vh — 42.5 m² — Kaleva Tampere</t>
  </si>
  <si>
    <t>Sateenkaari 1 A Tapiola Espoo</t>
  </si>
  <si>
    <t>Sateenkaari 1 A</t>
  </si>
  <si>
    <t>903</t>
  </si>
  <si>
    <t>Prime House Oy LKV</t>
  </si>
  <si>
    <t>http://www.primehouse.fi/</t>
  </si>
  <si>
    <t>30283105</t>
  </si>
  <si>
    <t>https://d3ls91xgksobn.cloudfront.net/400x300/etuovimedia/images/property/import/379/2608379/0e76b9541118d347871c0e0e51d244c4/b165543031d548b35564282846529a95/ORIGINAL.jpeg</t>
  </si>
  <si>
    <t>https://d3ls91xgksobn.cloudfront.net/1200x900/etuovimedia/images/property/import/379/2608379/0e76b9541118d347871c0e0e51d244c4/b165543031d548b35564282846529a95/ORIGINAL.jpeg</t>
  </si>
  <si>
    <t>2608379</t>
  </si>
  <si>
    <t>https://www.etuovi.com/kohde/30283105</t>
  </si>
  <si>
    <t>4h, k, rt, kph, erill. wc, vh + parveke, ranskalainen parveke</t>
  </si>
  <si>
    <t>2026-06-10T14:04:49.660Z</t>
  </si>
  <si>
    <t>Apartment (Kerrostalo) — 4h, k, rt, kph, erill. wc, vh + parveke, ranskalainen parveke — 94 m² — Tapiola Espoo</t>
  </si>
  <si>
    <t>Kukkatie 3 Koiravuori Padasjoki</t>
  </si>
  <si>
    <t>Kukkatie 3</t>
  </si>
  <si>
    <t>Koiravuori Padasjoki</t>
  </si>
  <si>
    <t>Koiravuori</t>
  </si>
  <si>
    <t>21355305</t>
  </si>
  <si>
    <t>https://d3ls91xgksobn.cloudfront.net/400x300/etuovimedia/images/property/import/378/2608378/0e76b9541118d347871c0e0e51d244c4/fc58d7ea902d976b1398e646c430da0c/ORIGINAL.jpeg</t>
  </si>
  <si>
    <t>https://d3ls91xgksobn.cloudfront.net/1200x900/etuovimedia/images/property/import/378/2608378/0e76b9541118d347871c0e0e51d244c4/fc58d7ea902d976b1398e646c430da0c/ORIGINAL.jpeg</t>
  </si>
  <si>
    <t>2608378</t>
  </si>
  <si>
    <t>https://www.etuovi.com/kohde/21355305</t>
  </si>
  <si>
    <t>2026-06-10T14:04:49.681Z</t>
  </si>
  <si>
    <t>Detached House (Omakotitalo) — 3h, k, kph, s — 84 m² — Koiravuori Padasjoki</t>
  </si>
  <si>
    <t>Kostulantie 130 Kostula Hämeenkyrö</t>
  </si>
  <si>
    <t>Kostulantie 130</t>
  </si>
  <si>
    <t>Kostula Hämeenkyrö</t>
  </si>
  <si>
    <t>682</t>
  </si>
  <si>
    <t>Kiinteistönvälitys Oy  Koditar LKV</t>
  </si>
  <si>
    <t>Kostula</t>
  </si>
  <si>
    <t>21252628</t>
  </si>
  <si>
    <t>https://d3ls91xgksobn.cloudfront.net/400x300/etuovimedia/images/property/import/377/2608377/0e76b9541118d347871c0e0e51d244c4/100b5613b5de84b030e22dffcb3d4294/ORIGINAL.jpeg</t>
  </si>
  <si>
    <t>https://d3ls91xgksobn.cloudfront.net/1200x900/etuovimedia/images/property/import/377/2608377/0e76b9541118d347871c0e0e51d244c4/100b5613b5de84b030e22dffcb3d4294/ORIGINAL.jpeg</t>
  </si>
  <si>
    <t>2608377</t>
  </si>
  <si>
    <t>https://www.etuovi.com/kohde/21252628</t>
  </si>
  <si>
    <t>5-6h + k + 2xwc + khh + s.os + 2xaula + p</t>
  </si>
  <si>
    <t>2026-06-10T14:04:49.734Z</t>
  </si>
  <si>
    <t>Detached House (Omakotitalo) — 5-6h + k + 2xwc + khh + s.os + 2xaula + p — 215 m² — Kostula Hämeenkyrö</t>
  </si>
  <si>
    <t>Pietarinkatu 22 Kaukola Mikkeli</t>
  </si>
  <si>
    <t>Pietarinkatu 22</t>
  </si>
  <si>
    <t>Kaukola Mikkeli</t>
  </si>
  <si>
    <t>Marko Palhomaa</t>
  </si>
  <si>
    <t>Kaukola</t>
  </si>
  <si>
    <t>41692459</t>
  </si>
  <si>
    <t>https://d3ls91xgksobn.cloudfront.net/400x300/etuovimedia/images/property/import/376/2608376/0e76b9541118d347871c0e0e51d244c4/89ef31d791078dc1623fdd387b195c11/ORIGINAL.jpeg</t>
  </si>
  <si>
    <t>https://d3ls91xgksobn.cloudfront.net/1200x900/etuovimedia/images/property/import/376/2608376/0e76b9541118d347871c0e0e51d244c4/89ef31d791078dc1623fdd387b195c11/ORIGINAL.jpeg</t>
  </si>
  <si>
    <t>https://d3ls91xgksobn.cloudfront.net/1200x900/etuovimedia/images/property/import/376/2608376/0e76b9541118d347871c0e0e51d244c4/b4859b2ac57291892830c9f4a05e1ee2/ORIGINAL.png</t>
  </si>
  <si>
    <t>2608376</t>
  </si>
  <si>
    <t>https://www.etuovi.com/kohde/41692459</t>
  </si>
  <si>
    <t>39 500 €</t>
  </si>
  <si>
    <t>1h, kk, alkovi, kph, p</t>
  </si>
  <si>
    <t>2026-06-10T14:04:49.773Z</t>
  </si>
  <si>
    <t>Apartment (Kerrostalo) — 1h, kk, alkovi, kph, p — 27 m² — Kaukola Mikkeli</t>
  </si>
  <si>
    <t>Tavitie 24 Kauttua Eura</t>
  </si>
  <si>
    <t>Tavitie 24</t>
  </si>
  <si>
    <t>Kauttua Eura</t>
  </si>
  <si>
    <t>4710</t>
  </si>
  <si>
    <t>Eura LKV Oy</t>
  </si>
  <si>
    <t>Kauttua</t>
  </si>
  <si>
    <t>68958254</t>
  </si>
  <si>
    <t>https://d3ls91xgksobn.cloudfront.net/400x300/etuovimedia/images/property/import/375/2608375/0e76b9541118d347871c0e0e51d244c4/42814b86359736772961daf10280e4b8/ORIGINAL.jpeg</t>
  </si>
  <si>
    <t>https://d3ls91xgksobn.cloudfront.net/1200x900/etuovimedia/images/property/import/375/2608375/0e76b9541118d347871c0e0e51d244c4/42814b86359736772961daf10280e4b8/ORIGINAL.jpeg</t>
  </si>
  <si>
    <t>2608375</t>
  </si>
  <si>
    <t>https://www.etuovi.com/kohde/68958254</t>
  </si>
  <si>
    <t>OH, 3MH, K, TH, PH, S, WC, ET, TK, KH, VAR, AT</t>
  </si>
  <si>
    <t>2026-06-10T14:04:49.789Z</t>
  </si>
  <si>
    <t>Detached House (Omakotitalo) — OH, 3MH, K, TH, PH, S, WC, ET, TK, KH, VAR, AT — 118 m² — Kauttua Eura</t>
  </si>
  <si>
    <t>Aurinkotuulenkatu 14 B Aurinkolahti Helsinki</t>
  </si>
  <si>
    <t>Aurinkotuulenkatu 14 B</t>
  </si>
  <si>
    <t>80513764</t>
  </si>
  <si>
    <t>https://d3ls91xgksobn.cloudfront.net/400x300/etuovimedia/images/property/import/374/2608374/0e76b9541118d347871c0e0e51d244c4/b036efa63a6fafc791556cbee755221c/ORIGINAL.jpeg</t>
  </si>
  <si>
    <t>https://d3ls91xgksobn.cloudfront.net/1200x900/etuovimedia/images/property/import/374/2608374/0e76b9541118d347871c0e0e51d244c4/b036efa63a6fafc791556cbee755221c/ORIGINAL.jpeg</t>
  </si>
  <si>
    <t>2608374</t>
  </si>
  <si>
    <t>https://www.etuovi.com/kohde/80513764</t>
  </si>
  <si>
    <t>3h + k + s + 2xwc + 2xlasit p.</t>
  </si>
  <si>
    <t>2026-06-10T14:04:49.827Z</t>
  </si>
  <si>
    <t>Apartment (Kerrostalo) — 3h + k + s + 2xwc + 2xlasit p. — 95 m² — Aurinkolahti Helsinki</t>
  </si>
  <si>
    <t>Riihikuja 5 Rohdainen Pyhäranta</t>
  </si>
  <si>
    <t>Riihikuja 5</t>
  </si>
  <si>
    <t>Rohdainen Pyhäranta</t>
  </si>
  <si>
    <t>Rohdainen</t>
  </si>
  <si>
    <t>80514310</t>
  </si>
  <si>
    <t>https://d3ls91xgksobn.cloudfront.net/400x300/etuovimedia/images/property/import/373/2608373/0e76b9541118d347871c0e0e51d244c4/9e5d09549f3fb35faa8f9ed5051b178d/ORIGINAL.jpeg</t>
  </si>
  <si>
    <t>https://d3ls91xgksobn.cloudfront.net/1200x900/etuovimedia/images/property/import/373/2608373/0e76b9541118d347871c0e0e51d244c4/9e5d09549f3fb35faa8f9ed5051b178d/ORIGINAL.jpeg</t>
  </si>
  <si>
    <t>2608373</t>
  </si>
  <si>
    <t>https://www.etuovi.com/kohde/80514310</t>
  </si>
  <si>
    <t>3h + k + ph + s + var + at</t>
  </si>
  <si>
    <t>2026-06-10T14:04:49.837Z</t>
  </si>
  <si>
    <t>Detached House (Omakotitalo) — 3h + k + ph + s + var + at — 80 m² — Rohdainen Pyhäranta</t>
  </si>
  <si>
    <t>Simeoninkatu 21 Kruununpuisto Hyvinkää</t>
  </si>
  <si>
    <t>Simeoninkatu 21</t>
  </si>
  <si>
    <t>Kruununpuisto Hyvinkää</t>
  </si>
  <si>
    <t>Outi Ruokanen</t>
  </si>
  <si>
    <t>Kruununpuisto</t>
  </si>
  <si>
    <t>80513225</t>
  </si>
  <si>
    <t>https://d3ls91xgksobn.cloudfront.net/400x300/etuovimedia/images/property/import/372/2608372/0e76b9541118d347871c0e0e51d244c4/5c37875f3554c00d4f0ccbab0fc25c54/ORIGINAL.jpeg</t>
  </si>
  <si>
    <t>https://d3ls91xgksobn.cloudfront.net/1200x900/etuovimedia/images/property/import/372/2608372/0e76b9541118d347871c0e0e51d244c4/5c37875f3554c00d4f0ccbab0fc25c54/ORIGINAL.jpeg</t>
  </si>
  <si>
    <t>https://d3ls91xgksobn.cloudfront.net/1200x900/etuovimedia/images/property/import/372/2608372/0e76b9541118d347871c0e0e51d244c4/80bd1d367ab159bf3ba8cf2a72984ecf/ORIGINAL.jpeg</t>
  </si>
  <si>
    <t>https://d3ls91xgksobn.cloudfront.net/1200x900/etuovimedia/images/property/import/372/2608372/0e76b9541118d347871c0e0e51d244c4/0dab39c7efbc51d628e2cd867f12e3b3/ORIGINAL.jpeg</t>
  </si>
  <si>
    <t>2608372</t>
  </si>
  <si>
    <t>https://www.etuovi.com/kohde/80513225</t>
  </si>
  <si>
    <t>3h + k + takkahuone + kph + s + 2xwc + autotallirakennus huoneella</t>
  </si>
  <si>
    <t>2026-06-10T14:04:49.869Z</t>
  </si>
  <si>
    <t>Detached House (Omakotitalo) — 3h + k + takkahuone + kph + s + 2xwc + autotallirakennus huoneella — 110 m² — Kruununpuisto Hyvinkää</t>
  </si>
  <si>
    <t>Huovinkuja 2 Laitila</t>
  </si>
  <si>
    <t>Huovinkuja 2</t>
  </si>
  <si>
    <t>80514140</t>
  </si>
  <si>
    <t>https://d3ls91xgksobn.cloudfront.net/400x300/etuovimedia/images/property/import/371/2608371/0e76b9541118d347871c0e0e51d244c4/7ce7daf166fc02c6e4e1a93c0ba6f288/ORIGINAL.jpeg</t>
  </si>
  <si>
    <t>https://d3ls91xgksobn.cloudfront.net/1200x900/etuovimedia/images/property/import/371/2608371/0e76b9541118d347871c0e0e51d244c4/7ce7daf166fc02c6e4e1a93c0ba6f288/ORIGINAL.jpeg</t>
  </si>
  <si>
    <t>2608371</t>
  </si>
  <si>
    <t>https://www.etuovi.com/kohde/80514140</t>
  </si>
  <si>
    <t>2026-06-10T14:04:49.882Z</t>
  </si>
  <si>
    <t>Row House (Rivitalo) — 2h + k + s — 62.5 m² — Laitila</t>
  </si>
  <si>
    <t>Hakolahdenkuja 4 A Myllykallio, Lauttasaari Helsinki</t>
  </si>
  <si>
    <t>Hakolahdenkuja 4 A</t>
  </si>
  <si>
    <t>Myllykallio, Lauttasaari Helsinki</t>
  </si>
  <si>
    <t>Myllykallio, Lauttasaari</t>
  </si>
  <si>
    <t>80506379</t>
  </si>
  <si>
    <t>https://d3ls91xgksobn.cloudfront.net/400x300/etuovimedia/images/property/import/370/2608370/0e76b9541118d347871c0e0e51d244c4/32202efe63c26948d3ce4693b27b13be/ORIGINAL.jpeg</t>
  </si>
  <si>
    <t>https://d3ls91xgksobn.cloudfront.net/1200x900/etuovimedia/images/property/import/370/2608370/0e76b9541118d347871c0e0e51d244c4/32202efe63c26948d3ce4693b27b13be/ORIGINAL.jpeg</t>
  </si>
  <si>
    <t>2608370</t>
  </si>
  <si>
    <t>https://www.etuovi.com/kohde/80506379</t>
  </si>
  <si>
    <t>2026-06-10T14:04:51.810Z</t>
  </si>
  <si>
    <t>Balcony Access Block (Luhtitalo) — 1h + k — 30 m² — Myllykallio, Lauttasaari Helsinki</t>
  </si>
  <si>
    <t>Laajavuorentie 6 Savela Jyväskylä</t>
  </si>
  <si>
    <t>Laajavuorentie 6</t>
  </si>
  <si>
    <t>Savela Jyväskylä</t>
  </si>
  <si>
    <t>Savela</t>
  </si>
  <si>
    <t>dc4336</t>
  </si>
  <si>
    <t>https://d3ls91xgksobn.cloudfront.net/400x300/etuovimedia/images/property/import/931/2394931/0e76b9541118d347871c0e0e51d244c4/95b155f8b269b3e8ba6001af390abad1/ORIGINAL.jpeg</t>
  </si>
  <si>
    <t>https://d3ls91xgksobn.cloudfront.net/1200x900/etuovimedia/images/property/import/931/2394931/0e76b9541118d347871c0e0e51d244c4/95b155f8b269b3e8ba6001af390abad1/ORIGINAL.jpeg</t>
  </si>
  <si>
    <t>2394931</t>
  </si>
  <si>
    <t>https://www.etuovi.com/kohde/dc4336</t>
  </si>
  <si>
    <t>36 204,27 €</t>
  </si>
  <si>
    <t>2025-11-17</t>
  </si>
  <si>
    <t>2026-06-10T14:04:51.860Z</t>
  </si>
  <si>
    <t>Apartment (Kerrostalo) — 3h + k + s — 71 m² — Savela Jyväskylä</t>
  </si>
  <si>
    <t>Haukkatie 20 as. 4 Toivonpuisto Ylivieska</t>
  </si>
  <si>
    <t>Haukkatie 20 as. 4</t>
  </si>
  <si>
    <t>Toivonpuisto Ylivieska</t>
  </si>
  <si>
    <t>2976</t>
  </si>
  <si>
    <t>KIINTEISTÖNVÄLITYS LKV POHJANMAA OY</t>
  </si>
  <si>
    <t>Toivonpuisto</t>
  </si>
  <si>
    <t>80499531</t>
  </si>
  <si>
    <t>https://d3ls91xgksobn.cloudfront.net/400x300/etuovimedia/images/property/import/928/2542928/0e76b9541118d347871c0e0e51d244c4/936f65ffdb7463fc50a4850ee2fa41c9/ORIGINAL.jpeg</t>
  </si>
  <si>
    <t>https://d3ls91xgksobn.cloudfront.net/1200x900/etuovimedia/images/property/import/928/2542928/0e76b9541118d347871c0e0e51d244c4/936f65ffdb7463fc50a4850ee2fa41c9/ORIGINAL.jpeg</t>
  </si>
  <si>
    <t>2542928</t>
  </si>
  <si>
    <t>https://www.etuovi.com/kohde/80499531</t>
  </si>
  <si>
    <t>64 900 €</t>
  </si>
  <si>
    <t>2h + k + s + ph</t>
  </si>
  <si>
    <t>2026-06-10T14:04:51.962Z</t>
  </si>
  <si>
    <t>Row House (Rivitalo) — 2h + k + s + ph — 55 m² — Toivonpuisto Ylivieska</t>
  </si>
  <si>
    <t>Haapaniementie 16 A21 Haapaniemi Kuopio</t>
  </si>
  <si>
    <t>Haapaniementie 16 A21</t>
  </si>
  <si>
    <t>3515</t>
  </si>
  <si>
    <t>Pohjola Rakennus Oy Suomi, Kuopio</t>
  </si>
  <si>
    <t>https://www.pohjolarakennus.fi/?utm_source=Etuovi&amp;utm_medium=logo_klikki&amp;utm_campaign=Etuovi</t>
  </si>
  <si>
    <t>70086731</t>
  </si>
  <si>
    <t>https://d3ls91xgksobn.cloudfront.net/400x300/etuovimedia/images/property/import/174/2497174/0e76b9541118d347871c0e0e51d244c4/7a1d1063b68c70d0c64391158606fbcb/ORIGINAL.jpeg</t>
  </si>
  <si>
    <t>https://d3ls91xgksobn.cloudfront.net/1200x900/etuovimedia/images/property/import/174/2497174/0e76b9541118d347871c0e0e51d244c4/7a1d1063b68c70d0c64391158606fbcb/ORIGINAL.jpeg</t>
  </si>
  <si>
    <t>2497174</t>
  </si>
  <si>
    <t>https://www.etuovi.com/kohde/70086731</t>
  </si>
  <si>
    <t>3-4h + kt + s</t>
  </si>
  <si>
    <t>2026-06-10T14:04:51.980Z</t>
  </si>
  <si>
    <t>Apartment (Kerrostalo) — 3-4h + kt + s — 84 m² — Haapaniemi Kuopio</t>
  </si>
  <si>
    <t>Haapaniementie 16 A30 Haapaniemi Kuopio</t>
  </si>
  <si>
    <t>Haapaniementie 16 A30</t>
  </si>
  <si>
    <t>70086445</t>
  </si>
  <si>
    <t>https://d3ls91xgksobn.cloudfront.net/400x300/etuovimedia/images/property/import/677/2469677/0e76b9541118d347871c0e0e51d244c4/7a1d1063b68c70d0c64391158606fbcb/ORIGINAL.jpeg</t>
  </si>
  <si>
    <t>https://d3ls91xgksobn.cloudfront.net/1200x900/etuovimedia/images/property/import/677/2469677/0e76b9541118d347871c0e0e51d244c4/7a1d1063b68c70d0c64391158606fbcb/ORIGINAL.jpeg</t>
  </si>
  <si>
    <t>2469677</t>
  </si>
  <si>
    <t>https://www.etuovi.com/kohde/70086445</t>
  </si>
  <si>
    <t>2026-02-06</t>
  </si>
  <si>
    <t>2026-06-10T14:04:51.993Z</t>
  </si>
  <si>
    <t>Apartment (Kerrostalo) — 3h + kt + s — 69.5 m² — Haapaniemi Kuopio</t>
  </si>
  <si>
    <t>Haapaniementie 16 A31 Haapaniemi Kuopio</t>
  </si>
  <si>
    <t>Haapaniementie 16 A31</t>
  </si>
  <si>
    <t>70086446</t>
  </si>
  <si>
    <t>https://d3ls91xgksobn.cloudfront.net/400x300/etuovimedia/images/property/import/676/2469676/0e76b9541118d347871c0e0e51d244c4/7a1d1063b68c70d0c64391158606fbcb/ORIGINAL.jpeg</t>
  </si>
  <si>
    <t>https://d3ls91xgksobn.cloudfront.net/1200x900/etuovimedia/images/property/import/676/2469676/0e76b9541118d347871c0e0e51d244c4/7a1d1063b68c70d0c64391158606fbcb/ORIGINAL.jpeg</t>
  </si>
  <si>
    <t>2469676</t>
  </si>
  <si>
    <t>https://www.etuovi.com/kohde/70086446</t>
  </si>
  <si>
    <t>244 900 €</t>
  </si>
  <si>
    <t>2-3h + kt + s</t>
  </si>
  <si>
    <t>2026-06-10T14:04:52.051Z</t>
  </si>
  <si>
    <t>Apartment (Kerrostalo) — 2-3h + kt + s — 54 m² — Haapaniemi Kuopio</t>
  </si>
  <si>
    <t>Haapaniementie 16 A29 Haapaniemi Kuopio</t>
  </si>
  <si>
    <t>Haapaniementie 16 A29</t>
  </si>
  <si>
    <t>70086444</t>
  </si>
  <si>
    <t>https://d3ls91xgksobn.cloudfront.net/400x300/etuovimedia/images/property/import/653/2469653/0e76b9541118d347871c0e0e51d244c4/7a1d1063b68c70d0c64391158606fbcb/ORIGINAL.jpeg</t>
  </si>
  <si>
    <t>https://d3ls91xgksobn.cloudfront.net/1200x900/etuovimedia/images/property/import/653/2469653/0e76b9541118d347871c0e0e51d244c4/7a1d1063b68c70d0c64391158606fbcb/ORIGINAL.jpeg</t>
  </si>
  <si>
    <t>2469653</t>
  </si>
  <si>
    <t>https://www.etuovi.com/kohde/70086444</t>
  </si>
  <si>
    <t>429 900 €</t>
  </si>
  <si>
    <t>2026-06-10T14:04:52.072Z</t>
  </si>
  <si>
    <t>Haapaniementie 16 A28 Haapaniemi Kuopio</t>
  </si>
  <si>
    <t>Haapaniementie 16 A28</t>
  </si>
  <si>
    <t>70086443</t>
  </si>
  <si>
    <t>https://d3ls91xgksobn.cloudfront.net/400x300/etuovimedia/images/property/import/652/2469652/0e76b9541118d347871c0e0e51d244c4/7a1d1063b68c70d0c64391158606fbcb/ORIGINAL.jpeg</t>
  </si>
  <si>
    <t>https://d3ls91xgksobn.cloudfront.net/1200x900/etuovimedia/images/property/import/652/2469652/0e76b9541118d347871c0e0e51d244c4/7a1d1063b68c70d0c64391158606fbcb/ORIGINAL.jpeg</t>
  </si>
  <si>
    <t>2469652</t>
  </si>
  <si>
    <t>https://www.etuovi.com/kohde/70086443</t>
  </si>
  <si>
    <t>459 900 €</t>
  </si>
  <si>
    <t>2026-06-10T14:04:52.086Z</t>
  </si>
  <si>
    <t>Apartment (Kerrostalo) — 4h + kt + s — 90.5 m² — Haapaniemi Kuopio</t>
  </si>
  <si>
    <t>Haapaniementie 16 A26 Haapaniemi Kuopio</t>
  </si>
  <si>
    <t>Haapaniementie 16 A26</t>
  </si>
  <si>
    <t>70086441</t>
  </si>
  <si>
    <t>https://d3ls91xgksobn.cloudfront.net/400x300/etuovimedia/images/property/import/651/2469651/0e76b9541118d347871c0e0e51d244c4/7a1d1063b68c70d0c64391158606fbcb/ORIGINAL.jpeg</t>
  </si>
  <si>
    <t>https://d3ls91xgksobn.cloudfront.net/1200x900/etuovimedia/images/property/import/651/2469651/0e76b9541118d347871c0e0e51d244c4/7a1d1063b68c70d0c64391158606fbcb/ORIGINAL.jpeg</t>
  </si>
  <si>
    <t>2469651</t>
  </si>
  <si>
    <t>https://www.etuovi.com/kohde/70086441</t>
  </si>
  <si>
    <t>292 400 €</t>
  </si>
  <si>
    <t>2026-06-10T14:04:52.100Z</t>
  </si>
  <si>
    <t>Haapaniementie 16 A25 Haapaniemi Kuopio</t>
  </si>
  <si>
    <t>Haapaniementie 16 A25</t>
  </si>
  <si>
    <t>70086440</t>
  </si>
  <si>
    <t>https://d3ls91xgksobn.cloudfront.net/400x300/etuovimedia/images/property/import/650/2469650/0e76b9541118d347871c0e0e51d244c4/7a1d1063b68c70d0c64391158606fbcb/ORIGINAL.jpeg</t>
  </si>
  <si>
    <t>https://d3ls91xgksobn.cloudfront.net/1200x900/etuovimedia/images/property/import/650/2469650/0e76b9541118d347871c0e0e51d244c4/7a1d1063b68c70d0c64391158606fbcb/ORIGINAL.jpeg</t>
  </si>
  <si>
    <t>2469650</t>
  </si>
  <si>
    <t>https://www.etuovi.com/kohde/70086440</t>
  </si>
  <si>
    <t>419 900 €</t>
  </si>
  <si>
    <t>2026-06-10T14:04:52.172Z</t>
  </si>
  <si>
    <t>Haapaniementie 16 A27 Haapaniemi Kuopio</t>
  </si>
  <si>
    <t>Haapaniementie 16 A27</t>
  </si>
  <si>
    <t>70086442</t>
  </si>
  <si>
    <t>https://d3ls91xgksobn.cloudfront.net/400x300/etuovimedia/images/property/import/649/2469649/0e76b9541118d347871c0e0e51d244c4/7a1d1063b68c70d0c64391158606fbcb/ORIGINAL.jpeg</t>
  </si>
  <si>
    <t>https://d3ls91xgksobn.cloudfront.net/1200x900/etuovimedia/images/property/import/649/2469649/0e76b9541118d347871c0e0e51d244c4/7a1d1063b68c70d0c64391158606fbcb/ORIGINAL.jpeg</t>
  </si>
  <si>
    <t>2469649</t>
  </si>
  <si>
    <t>https://www.etuovi.com/kohde/70086442</t>
  </si>
  <si>
    <t>2026-06-10T14:04:52.196Z</t>
  </si>
  <si>
    <t>Haapaniementie 16 A23 Haapaniemi Kuopio</t>
  </si>
  <si>
    <t>Haapaniementie 16 A23</t>
  </si>
  <si>
    <t>70086438</t>
  </si>
  <si>
    <t>https://d3ls91xgksobn.cloudfront.net/400x300/etuovimedia/images/property/import/626/2469626/0e76b9541118d347871c0e0e51d244c4/7a1d1063b68c70d0c64391158606fbcb/ORIGINAL.jpeg</t>
  </si>
  <si>
    <t>https://d3ls91xgksobn.cloudfront.net/1200x900/etuovimedia/images/property/import/626/2469626/0e76b9541118d347871c0e0e51d244c4/7a1d1063b68c70d0c64391158606fbcb/ORIGINAL.jpeg</t>
  </si>
  <si>
    <t>2469626</t>
  </si>
  <si>
    <t>https://www.etuovi.com/kohde/70086438</t>
  </si>
  <si>
    <t>234 900 €</t>
  </si>
  <si>
    <t>2026-06-10T14:04:52.261Z</t>
  </si>
  <si>
    <t>Haapaniementie 16 A24 Haapaniemi Kuopio</t>
  </si>
  <si>
    <t>Haapaniementie 16 A24</t>
  </si>
  <si>
    <t>70086439</t>
  </si>
  <si>
    <t>https://d3ls91xgksobn.cloudfront.net/400x300/etuovimedia/images/property/import/625/2469625/0e76b9541118d347871c0e0e51d244c4/7a1d1063b68c70d0c64391158606fbcb/ORIGINAL.jpeg</t>
  </si>
  <si>
    <t>https://d3ls91xgksobn.cloudfront.net/1200x900/etuovimedia/images/property/import/625/2469625/0e76b9541118d347871c0e0e51d244c4/7a1d1063b68c70d0c64391158606fbcb/ORIGINAL.jpeg</t>
  </si>
  <si>
    <t>2469625</t>
  </si>
  <si>
    <t>https://www.etuovi.com/kohde/70086439</t>
  </si>
  <si>
    <t>449 900 €</t>
  </si>
  <si>
    <t>2026-06-10T14:04:52.286Z</t>
  </si>
  <si>
    <t>Haapaniementie 16 A22 Haapaniemi Kuopio</t>
  </si>
  <si>
    <t>Haapaniementie 16 A22</t>
  </si>
  <si>
    <t>70086437</t>
  </si>
  <si>
    <t>https://d3ls91xgksobn.cloudfront.net/400x300/etuovimedia/images/property/import/602/2469602/0e76b9541118d347871c0e0e51d244c4/7a1d1063b68c70d0c64391158606fbcb/ORIGINAL.jpeg</t>
  </si>
  <si>
    <t>https://d3ls91xgksobn.cloudfront.net/1200x900/etuovimedia/images/property/import/602/2469602/0e76b9541118d347871c0e0e51d244c4/7a1d1063b68c70d0c64391158606fbcb/ORIGINAL.jpeg</t>
  </si>
  <si>
    <t>2469602</t>
  </si>
  <si>
    <t>https://www.etuovi.com/kohde/70086437</t>
  </si>
  <si>
    <t>284 900 €</t>
  </si>
  <si>
    <t>2026-06-10T14:04:52.303Z</t>
  </si>
  <si>
    <t>Haapaniementie 16 A20 Haapaniemi Kuopio</t>
  </si>
  <si>
    <t>Haapaniementie 16 A20</t>
  </si>
  <si>
    <t>70086434</t>
  </si>
  <si>
    <t>https://d3ls91xgksobn.cloudfront.net/400x300/etuovimedia/images/property/import/570/2469570/0e76b9541118d347871c0e0e51d244c4/7a1d1063b68c70d0c64391158606fbcb/ORIGINAL.jpeg</t>
  </si>
  <si>
    <t>https://d3ls91xgksobn.cloudfront.net/1200x900/etuovimedia/images/property/import/570/2469570/0e76b9541118d347871c0e0e51d244c4/7a1d1063b68c70d0c64391158606fbcb/ORIGINAL.jpeg</t>
  </si>
  <si>
    <t>2469570</t>
  </si>
  <si>
    <t>https://www.etuovi.com/kohde/70086434</t>
  </si>
  <si>
    <t>2026-06-10T14:04:52.351Z</t>
  </si>
  <si>
    <t>Apartment (Kerrostalo) — 3h + kt + s — 60 m² — Haapaniemi Kuopio</t>
  </si>
  <si>
    <t>Haapaniementie 16 A19 Haapaniemi Kuopio</t>
  </si>
  <si>
    <t>Haapaniementie 16 A19</t>
  </si>
  <si>
    <t>70086433</t>
  </si>
  <si>
    <t>https://d3ls91xgksobn.cloudfront.net/400x300/etuovimedia/images/property/import/569/2469569/0e76b9541118d347871c0e0e51d244c4/7a1d1063b68c70d0c64391158606fbcb/ORIGINAL.jpeg</t>
  </si>
  <si>
    <t>https://d3ls91xgksobn.cloudfront.net/1200x900/etuovimedia/images/property/import/569/2469569/0e76b9541118d347871c0e0e51d244c4/7a1d1063b68c70d0c64391158606fbcb/ORIGINAL.jpeg</t>
  </si>
  <si>
    <t>2469569</t>
  </si>
  <si>
    <t>https://www.etuovi.com/kohde/70086433</t>
  </si>
  <si>
    <t>129 900 €</t>
  </si>
  <si>
    <t>2026-06-10T14:04:52.369Z</t>
  </si>
  <si>
    <t>Apartment (Kerrostalo) — 1h + kt — 23 m² — Haapaniemi Kuopio</t>
  </si>
  <si>
    <t>Haapaniementie 16 A18 Haapaniemi Kuopio</t>
  </si>
  <si>
    <t>Haapaniementie 16 A18</t>
  </si>
  <si>
    <t>70086432</t>
  </si>
  <si>
    <t>https://d3ls91xgksobn.cloudfront.net/400x300/etuovimedia/images/property/import/568/2469568/0e76b9541118d347871c0e0e51d244c4/7a1d1063b68c70d0c64391158606fbcb/ORIGINAL.jpeg</t>
  </si>
  <si>
    <t>https://d3ls91xgksobn.cloudfront.net/1200x900/etuovimedia/images/property/import/568/2469568/0e76b9541118d347871c0e0e51d244c4/7a1d1063b68c70d0c64391158606fbcb/ORIGINAL.jpeg</t>
  </si>
  <si>
    <t>2469568</t>
  </si>
  <si>
    <t>https://www.etuovi.com/kohde/70086432</t>
  </si>
  <si>
    <t>229 900 €</t>
  </si>
  <si>
    <t>2026-06-10T14:04:52.470Z</t>
  </si>
  <si>
    <t>Haapaniementie 16 A16 Haapaniemi Kuopio</t>
  </si>
  <si>
    <t>Haapaniementie 16 A16</t>
  </si>
  <si>
    <t>70086430</t>
  </si>
  <si>
    <t>https://d3ls91xgksobn.cloudfront.net/400x300/etuovimedia/images/property/import/567/2469567/0e76b9541118d347871c0e0e51d244c4/7a1d1063b68c70d0c64391158606fbcb/ORIGINAL.jpeg</t>
  </si>
  <si>
    <t>https://d3ls91xgksobn.cloudfront.net/1200x900/etuovimedia/images/property/import/567/2469567/0e76b9541118d347871c0e0e51d244c4/7a1d1063b68c70d0c64391158606fbcb/ORIGINAL.jpeg</t>
  </si>
  <si>
    <t>2469567</t>
  </si>
  <si>
    <t>https://www.etuovi.com/kohde/70086430</t>
  </si>
  <si>
    <t>154 900 €</t>
  </si>
  <si>
    <t>2026-06-10T14:04:52.492Z</t>
  </si>
  <si>
    <t>Apartment (Kerrostalo) — 2h + kt — 33 m² — Haapaniemi Kuopio</t>
  </si>
  <si>
    <t>Haapaniementie 16 A17 Haapaniemi Kuopio</t>
  </si>
  <si>
    <t>Haapaniementie 16 A17</t>
  </si>
  <si>
    <t>70086431</t>
  </si>
  <si>
    <t>https://d3ls91xgksobn.cloudfront.net/400x300/etuovimedia/images/property/import/566/2469566/0e76b9541118d347871c0e0e51d244c4/7a1d1063b68c70d0c64391158606fbcb/ORIGINAL.jpeg</t>
  </si>
  <si>
    <t>https://d3ls91xgksobn.cloudfront.net/1200x900/etuovimedia/images/property/import/566/2469566/0e76b9541118d347871c0e0e51d244c4/7a1d1063b68c70d0c64391158606fbcb/ORIGINAL.jpeg</t>
  </si>
  <si>
    <t>2469566</t>
  </si>
  <si>
    <t>https://www.etuovi.com/kohde/70086431</t>
  </si>
  <si>
    <t>2026-06-10T14:04:52.513Z</t>
  </si>
  <si>
    <t>Haapaniementie 16 A15 Haapaniemi Kuopio</t>
  </si>
  <si>
    <t>Haapaniementie 16 A15</t>
  </si>
  <si>
    <t>70086429</t>
  </si>
  <si>
    <t>https://d3ls91xgksobn.cloudfront.net/400x300/etuovimedia/images/property/import/530/2469530/0e76b9541118d347871c0e0e51d244c4/7a1d1063b68c70d0c64391158606fbcb/ORIGINAL.jpeg</t>
  </si>
  <si>
    <t>https://d3ls91xgksobn.cloudfront.net/1200x900/etuovimedia/images/property/import/530/2469530/0e76b9541118d347871c0e0e51d244c4/7a1d1063b68c70d0c64391158606fbcb/ORIGINAL.jpeg</t>
  </si>
  <si>
    <t>2469530</t>
  </si>
  <si>
    <t>https://www.etuovi.com/kohde/70086429</t>
  </si>
  <si>
    <t>2026-06-10T14:04:52.551Z</t>
  </si>
  <si>
    <t>Apartment (Kerrostalo) — 2h + kt + s — 49.5 m² — Haapaniemi Kuopio</t>
  </si>
  <si>
    <t>Haapaniementie 16 A14 Haapaniemi Kuopio</t>
  </si>
  <si>
    <t>Haapaniementie 16 A14</t>
  </si>
  <si>
    <t>70086428</t>
  </si>
  <si>
    <t>https://d3ls91xgksobn.cloudfront.net/400x300/etuovimedia/images/property/import/529/2469529/0e76b9541118d347871c0e0e51d244c4/7a1d1063b68c70d0c64391158606fbcb/ORIGINAL.jpeg</t>
  </si>
  <si>
    <t>https://d3ls91xgksobn.cloudfront.net/1200x900/etuovimedia/images/property/import/529/2469529/0e76b9541118d347871c0e0e51d244c4/7a1d1063b68c70d0c64391158606fbcb/ORIGINAL.jpeg</t>
  </si>
  <si>
    <t>2469529</t>
  </si>
  <si>
    <t>https://www.etuovi.com/kohde/70086428</t>
  </si>
  <si>
    <t>259 900 €</t>
  </si>
  <si>
    <t>2026-06-10T14:04:52.564Z</t>
  </si>
  <si>
    <t>Haapaniementie 16 A13 Haapaniemi Kuopio</t>
  </si>
  <si>
    <t>Haapaniementie 16 A13</t>
  </si>
  <si>
    <t>70086427</t>
  </si>
  <si>
    <t>https://d3ls91xgksobn.cloudfront.net/400x300/etuovimedia/images/property/import/350/2469350/0e76b9541118d347871c0e0e51d244c4/7a1d1063b68c70d0c64391158606fbcb/ORIGINAL.jpeg</t>
  </si>
  <si>
    <t>https://d3ls91xgksobn.cloudfront.net/1200x900/etuovimedia/images/property/import/350/2469350/0e76b9541118d347871c0e0e51d244c4/7a1d1063b68c70d0c64391158606fbcb/ORIGINAL.jpeg</t>
  </si>
  <si>
    <t>2469350</t>
  </si>
  <si>
    <t>https://www.etuovi.com/kohde/70086427</t>
  </si>
  <si>
    <t>125 900 €</t>
  </si>
  <si>
    <t>2026-06-10T14:04:52.667Z</t>
  </si>
  <si>
    <t>Haapaniementie 16 A12 Haapaniemi Kuopio</t>
  </si>
  <si>
    <t>Haapaniementie 16 A12</t>
  </si>
  <si>
    <t>70086426</t>
  </si>
  <si>
    <t>https://d3ls91xgksobn.cloudfront.net/400x300/etuovimedia/images/property/import/349/2469349/0e76b9541118d347871c0e0e51d244c4/7a1d1063b68c70d0c64391158606fbcb/ORIGINAL.jpeg</t>
  </si>
  <si>
    <t>https://d3ls91xgksobn.cloudfront.net/1200x900/etuovimedia/images/property/import/349/2469349/0e76b9541118d347871c0e0e51d244c4/7a1d1063b68c70d0c64391158606fbcb/ORIGINAL.jpeg</t>
  </si>
  <si>
    <t>2469349</t>
  </si>
  <si>
    <t>https://www.etuovi.com/kohde/70086426</t>
  </si>
  <si>
    <t>2026-06-10T14:04:52.682Z</t>
  </si>
  <si>
    <t>Haapaniementie 16 A11 Haapaniemi Kuopio</t>
  </si>
  <si>
    <t>Haapaniementie 16 A11</t>
  </si>
  <si>
    <t>70086425</t>
  </si>
  <si>
    <t>https://d3ls91xgksobn.cloudfront.net/400x300/etuovimedia/images/property/import/318/2469318/0e76b9541118d347871c0e0e51d244c4/7a1d1063b68c70d0c64391158606fbcb/ORIGINAL.jpeg</t>
  </si>
  <si>
    <t>https://d3ls91xgksobn.cloudfront.net/1200x900/etuovimedia/images/property/import/318/2469318/0e76b9541118d347871c0e0e51d244c4/7a1d1063b68c70d0c64391158606fbcb/ORIGINAL.jpeg</t>
  </si>
  <si>
    <t>2469318</t>
  </si>
  <si>
    <t>https://www.etuovi.com/kohde/70086425</t>
  </si>
  <si>
    <t>270 900 €</t>
  </si>
  <si>
    <t>2026-06-10T14:04:52.700Z</t>
  </si>
  <si>
    <t>Haapaniementie 16 A10 Haapaniemi Kuopio</t>
  </si>
  <si>
    <t>Haapaniementie 16 A10</t>
  </si>
  <si>
    <t>70086424</t>
  </si>
  <si>
    <t>https://d3ls91xgksobn.cloudfront.net/400x300/etuovimedia/images/property/import/317/2469317/0e76b9541118d347871c0e0e51d244c4/7a1d1063b68c70d0c64391158606fbcb/ORIGINAL.jpeg</t>
  </si>
  <si>
    <t>https://d3ls91xgksobn.cloudfront.net/1200x900/etuovimedia/images/property/import/317/2469317/0e76b9541118d347871c0e0e51d244c4/7a1d1063b68c70d0c64391158606fbcb/ORIGINAL.jpeg</t>
  </si>
  <si>
    <t>2469317</t>
  </si>
  <si>
    <t>https://www.etuovi.com/kohde/70086424</t>
  </si>
  <si>
    <t>151 900 €</t>
  </si>
  <si>
    <t>2026-06-10T14:04:52.773Z</t>
  </si>
  <si>
    <t>Haapaniementie 16 A9 Haapaniemi Kuopio</t>
  </si>
  <si>
    <t>Haapaniementie 16 A9</t>
  </si>
  <si>
    <t>70086423</t>
  </si>
  <si>
    <t>https://d3ls91xgksobn.cloudfront.net/400x300/etuovimedia/images/property/import/316/2469316/0e76b9541118d347871c0e0e51d244c4/7a1d1063b68c70d0c64391158606fbcb/ORIGINAL.jpeg</t>
  </si>
  <si>
    <t>https://d3ls91xgksobn.cloudfront.net/1200x900/etuovimedia/images/property/import/316/2469316/0e76b9541118d347871c0e0e51d244c4/7a1d1063b68c70d0c64391158606fbcb/ORIGINAL.jpeg</t>
  </si>
  <si>
    <t>2469316</t>
  </si>
  <si>
    <t>https://www.etuovi.com/kohde/70086423</t>
  </si>
  <si>
    <t>214 900 €</t>
  </si>
  <si>
    <t>2026-06-10T14:04:52.787Z</t>
  </si>
  <si>
    <t>Haapaniementie 16 A7 Haapaniemi Kuopio</t>
  </si>
  <si>
    <t>Haapaniementie 16 A7</t>
  </si>
  <si>
    <t>70086421</t>
  </si>
  <si>
    <t>https://d3ls91xgksobn.cloudfront.net/400x300/etuovimedia/images/property/import/315/2469315/0e76b9541118d347871c0e0e51d244c4/7a1d1063b68c70d0c64391158606fbcb/ORIGINAL.jpeg</t>
  </si>
  <si>
    <t>https://d3ls91xgksobn.cloudfront.net/1200x900/etuovimedia/images/property/import/315/2469315/0e76b9541118d347871c0e0e51d244c4/7a1d1063b68c70d0c64391158606fbcb/ORIGINAL.jpeg</t>
  </si>
  <si>
    <t>2469315</t>
  </si>
  <si>
    <t>https://www.etuovi.com/kohde/70086421</t>
  </si>
  <si>
    <t>122 900 €</t>
  </si>
  <si>
    <t>2026-06-10T14:04:52.809Z</t>
  </si>
  <si>
    <t>Haapaniementie 16 A8 Haapaniemi Kuopio</t>
  </si>
  <si>
    <t>Haapaniementie 16 A8</t>
  </si>
  <si>
    <t>70086422</t>
  </si>
  <si>
    <t>https://d3ls91xgksobn.cloudfront.net/400x300/etuovimedia/images/property/import/268/2469268/0e76b9541118d347871c0e0e51d244c4/7a1d1063b68c70d0c64391158606fbcb/ORIGINAL.jpeg</t>
  </si>
  <si>
    <t>https://d3ls91xgksobn.cloudfront.net/1200x900/etuovimedia/images/property/import/268/2469268/0e76b9541118d347871c0e0e51d244c4/7a1d1063b68c70d0c64391158606fbcb/ORIGINAL.jpeg</t>
  </si>
  <si>
    <t>2469268</t>
  </si>
  <si>
    <t>https://www.etuovi.com/kohde/70086422</t>
  </si>
  <si>
    <t>2026-06-10T14:04:52.864Z</t>
  </si>
  <si>
    <t>Haapaniementie 16 A6 Haapaniemi Kuopio</t>
  </si>
  <si>
    <t>Haapaniementie 16 A6</t>
  </si>
  <si>
    <t>70086420</t>
  </si>
  <si>
    <t>https://d3ls91xgksobn.cloudfront.net/400x300/etuovimedia/images/property/import/267/2469267/0e76b9541118d347871c0e0e51d244c4/7a1d1063b68c70d0c64391158606fbcb/ORIGINAL.jpeg</t>
  </si>
  <si>
    <t>https://d3ls91xgksobn.cloudfront.net/1200x900/etuovimedia/images/property/import/267/2469267/0e76b9541118d347871c0e0e51d244c4/7a1d1063b68c70d0c64391158606fbcb/ORIGINAL.jpeg</t>
  </si>
  <si>
    <t>2469267</t>
  </si>
  <si>
    <t>https://www.etuovi.com/kohde/70086420</t>
  </si>
  <si>
    <t>2026-06-10T14:04:52.889Z</t>
  </si>
  <si>
    <t>Haapaniementie 16 A5 Haapaniemi Kuopio</t>
  </si>
  <si>
    <t>Haapaniementie 16 A5</t>
  </si>
  <si>
    <t>70086419</t>
  </si>
  <si>
    <t>https://d3ls91xgksobn.cloudfront.net/400x300/etuovimedia/images/property/import/266/2469266/0e76b9541118d347871c0e0e51d244c4/7a1d1063b68c70d0c64391158606fbcb/ORIGINAL.jpeg</t>
  </si>
  <si>
    <t>https://d3ls91xgksobn.cloudfront.net/1200x900/etuovimedia/images/property/import/266/2469266/0e76b9541118d347871c0e0e51d244c4/7a1d1063b68c70d0c64391158606fbcb/ORIGINAL.jpeg</t>
  </si>
  <si>
    <t>2469266</t>
  </si>
  <si>
    <t>https://www.etuovi.com/kohde/70086419</t>
  </si>
  <si>
    <t>124 900 €</t>
  </si>
  <si>
    <t>2026-06-10T14:04:55.391Z</t>
  </si>
  <si>
    <t>Apartment (Kerrostalo) — 1h + kt — 28 m² — Haapaniemi Kuopio</t>
  </si>
  <si>
    <t>Haapaniementie 16 A3 Haapaniemi Kuopio</t>
  </si>
  <si>
    <t>Haapaniementie 16 A3</t>
  </si>
  <si>
    <t>70086417</t>
  </si>
  <si>
    <t>https://d3ls91xgksobn.cloudfront.net/400x300/etuovimedia/images/property/import/265/2469265/0e76b9541118d347871c0e0e51d244c4/7a1d1063b68c70d0c64391158606fbcb/ORIGINAL.jpeg</t>
  </si>
  <si>
    <t>https://d3ls91xgksobn.cloudfront.net/1200x900/etuovimedia/images/property/import/265/2469265/0e76b9541118d347871c0e0e51d244c4/7a1d1063b68c70d0c64391158606fbcb/ORIGINAL.jpeg</t>
  </si>
  <si>
    <t>2469265</t>
  </si>
  <si>
    <t>https://www.etuovi.com/kohde/70086417</t>
  </si>
  <si>
    <t>2026-06-10T14:04:55.410Z</t>
  </si>
  <si>
    <t>Haapaniementie 16 A4 Haapaniemi Kuopio</t>
  </si>
  <si>
    <t>Haapaniementie 16 A4</t>
  </si>
  <si>
    <t>70086418</t>
  </si>
  <si>
    <t>https://d3ls91xgksobn.cloudfront.net/400x300/etuovimedia/images/property/import/264/2469264/0e76b9541118d347871c0e0e51d244c4/7a1d1063b68c70d0c64391158606fbcb/ORIGINAL.jpeg</t>
  </si>
  <si>
    <t>https://d3ls91xgksobn.cloudfront.net/1200x900/etuovimedia/images/property/import/264/2469264/0e76b9541118d347871c0e0e51d244c4/7a1d1063b68c70d0c64391158606fbcb/ORIGINAL.jpeg</t>
  </si>
  <si>
    <t>2469264</t>
  </si>
  <si>
    <t>https://www.etuovi.com/kohde/70086418</t>
  </si>
  <si>
    <t>148 900 €</t>
  </si>
  <si>
    <t>2026-06-10T14:04:55.430Z</t>
  </si>
  <si>
    <t>Haapaniementie 16 A1 Haapaniemi Kuopio</t>
  </si>
  <si>
    <t>Haapaniementie 16 A1</t>
  </si>
  <si>
    <t>70086337</t>
  </si>
  <si>
    <t>https://d3ls91xgksobn.cloudfront.net/400x300/etuovimedia/images/property/import/263/2469263/0e76b9541118d347871c0e0e51d244c4/7a1d1063b68c70d0c64391158606fbcb/ORIGINAL.jpeg</t>
  </si>
  <si>
    <t>https://d3ls91xgksobn.cloudfront.net/1200x900/etuovimedia/images/property/import/263/2469263/0e76b9541118d347871c0e0e51d244c4/7a1d1063b68c70d0c64391158606fbcb/ORIGINAL.jpeg</t>
  </si>
  <si>
    <t>2469263</t>
  </si>
  <si>
    <t>https://www.etuovi.com/kohde/70086337</t>
  </si>
  <si>
    <t>119 900 €</t>
  </si>
  <si>
    <t>1 h + kt</t>
  </si>
  <si>
    <t>2026-06-10T14:04:55.472Z</t>
  </si>
  <si>
    <t>Apartment (Kerrostalo) — 1 h + kt — 23 m² — Haapaniemi Kuopio</t>
  </si>
  <si>
    <t>Haapaniementie 16 A2 Haapaniemi Kuopio</t>
  </si>
  <si>
    <t>Haapaniementie 16 A2</t>
  </si>
  <si>
    <t>70086416</t>
  </si>
  <si>
    <t>https://d3ls91xgksobn.cloudfront.net/400x300/etuovimedia/images/property/import/262/2469262/0e76b9541118d347871c0e0e51d244c4/7a1d1063b68c70d0c64391158606fbcb/ORIGINAL.jpeg</t>
  </si>
  <si>
    <t>https://d3ls91xgksobn.cloudfront.net/1200x900/etuovimedia/images/property/import/262/2469262/0e76b9541118d347871c0e0e51d244c4/7a1d1063b68c70d0c64391158606fbcb/ORIGINAL.jpeg</t>
  </si>
  <si>
    <t>2469262</t>
  </si>
  <si>
    <t>https://www.etuovi.com/kohde/70086416</t>
  </si>
  <si>
    <t>2026-06-10T14:04:55.490Z</t>
  </si>
  <si>
    <t>Haikaranportti 4 A Laaksolahti Espoo</t>
  </si>
  <si>
    <t>Haikaranportti 4 A</t>
  </si>
  <si>
    <t>Laaksolahti Espoo</t>
  </si>
  <si>
    <t>Laaksolahti</t>
  </si>
  <si>
    <t>37478116</t>
  </si>
  <si>
    <t>https://d3ls91xgksobn.cloudfront.net/400x300/etuovimedia/images/property/import/360/2608360/0e76b9541118d347871c0e0e51d244c4/519f31ed1d37b4dd3dabd9bf889e46a2/ORIGINAL.jpeg</t>
  </si>
  <si>
    <t>https://d3ls91xgksobn.cloudfront.net/1200x900/etuovimedia/images/property/import/360/2608360/0e76b9541118d347871c0e0e51d244c4/519f31ed1d37b4dd3dabd9bf889e46a2/ORIGINAL.jpeg</t>
  </si>
  <si>
    <t>2608360</t>
  </si>
  <si>
    <t>https://www.etuovi.com/kohde/37478116</t>
  </si>
  <si>
    <t>2h, avok, ph / wc, s + lasitettu parveke</t>
  </si>
  <si>
    <t>2026-06-10T14:04:55.551Z</t>
  </si>
  <si>
    <t>Apartment (Kerrostalo) — 2h, avok, ph / wc, s + lasitettu parveke — 50.5 m² — Laaksolahti Espoo</t>
  </si>
  <si>
    <t>Eteläpuisto 9 Keskusta Pori</t>
  </si>
  <si>
    <t>Eteläpuisto 9</t>
  </si>
  <si>
    <t>Katariina Lindstedt</t>
  </si>
  <si>
    <t>56792172</t>
  </si>
  <si>
    <t>https://d3ls91xgksobn.cloudfront.net/400x300/etuovimedia/images/property/import/189/2084189/0e76b9541118d347871c0e0e51d244c4/589eafdb16b27e4b4c558679b38a52e3/ORIGINAL.jpeg</t>
  </si>
  <si>
    <t>https://d3ls91xgksobn.cloudfront.net/1200x900/etuovimedia/images/property/import/189/2084189/0e76b9541118d347871c0e0e51d244c4/589eafdb16b27e4b4c558679b38a52e3/ORIGINAL.jpeg</t>
  </si>
  <si>
    <t>https://d3ls91xgksobn.cloudfront.net/1200x900/etuovimedia/images/property/import/189/2084189/0e76b9541118d347871c0e0e51d244c4/c5a9fa8e7663ec0e9ae21f8274ff393d/ORIGINAL.jpeg</t>
  </si>
  <si>
    <t>2084189</t>
  </si>
  <si>
    <t>https://www.etuovi.com/kohde/56792172</t>
  </si>
  <si>
    <t>84 000 €</t>
  </si>
  <si>
    <t>2025-04-24</t>
  </si>
  <si>
    <t>2h, k, kph, vh</t>
  </si>
  <si>
    <t>2026-06-10T14:04:55.569Z</t>
  </si>
  <si>
    <t>Apartment (Kerrostalo) — 2h, k, kph, vh — 61.5 m² — Keskusta Pori</t>
  </si>
  <si>
    <t>Linnankatu 75 Turun satama Turku</t>
  </si>
  <si>
    <t>Linnankatu 75</t>
  </si>
  <si>
    <t>Turun satama Turku</t>
  </si>
  <si>
    <t>Vuori Taina</t>
  </si>
  <si>
    <t>Turun satama</t>
  </si>
  <si>
    <t>21852642</t>
  </si>
  <si>
    <t>https://d3ls91xgksobn.cloudfront.net/400x300/etuovimedia/images/property/import/359/2608359/0e76b9541118d347871c0e0e51d244c4/3b825b33b814c3f3724808f5151f3240/ORIGINAL.jpeg</t>
  </si>
  <si>
    <t>https://d3ls91xgksobn.cloudfront.net/1200x900/etuovimedia/images/property/import/359/2608359/0e76b9541118d347871c0e0e51d244c4/3b825b33b814c3f3724808f5151f3240/ORIGINAL.jpeg</t>
  </si>
  <si>
    <t>https://d3ls91xgksobn.cloudfront.net/1200x900/etuovimedia/images/property/import/359/2608359/0e76b9541118d347871c0e0e51d244c4/8d8197bc229388d3b58b22dee0ae80a1/ORIGINAL.jpeg</t>
  </si>
  <si>
    <t>2608359</t>
  </si>
  <si>
    <t>https://www.etuovi.com/kohde/21852642</t>
  </si>
  <si>
    <t>3h, k, ph, s, 2 x wc, khh, askartelutila, et (yj 3h + tupak. + askartelu-tila)</t>
  </si>
  <si>
    <t>2026-06-10T14:04:55.650Z</t>
  </si>
  <si>
    <t>WOODEN_HOUSE_APARTMENT — 3h, k, ph, s, 2 x wc, khh, askartelutila, et (yj 3h + tupak. + askartelu-tila) — 72 m² — Turun satama Turku</t>
  </si>
  <si>
    <t>Visatie 11 A 7 Tanhuanpää Kaustinen</t>
  </si>
  <si>
    <t>Visatie 11 A 7</t>
  </si>
  <si>
    <t>Tanhuanpää Kaustinen</t>
  </si>
  <si>
    <t>Tanhuanpää</t>
  </si>
  <si>
    <t>80511432</t>
  </si>
  <si>
    <t>https://d3ls91xgksobn.cloudfront.net/400x300/etuovimedia/images/property/import/357/2608357/0e76b9541118d347871c0e0e51d244c4/9c6768e3f0bcaaf87f6310db0d5b80f4/ORIGINAL.jpeg</t>
  </si>
  <si>
    <t>https://d3ls91xgksobn.cloudfront.net/1200x900/etuovimedia/images/property/import/357/2608357/0e76b9541118d347871c0e0e51d244c4/9c6768e3f0bcaaf87f6310db0d5b80f4/ORIGINAL.jpeg</t>
  </si>
  <si>
    <t>2608357</t>
  </si>
  <si>
    <t>https://www.etuovi.com/kohde/80511432</t>
  </si>
  <si>
    <t>109 950 €</t>
  </si>
  <si>
    <t>3h + k + kph / wc + s + pihavarasto</t>
  </si>
  <si>
    <t>2026-06-10T14:04:55.753Z</t>
  </si>
  <si>
    <t>Row House (Rivitalo) — 3h + k + kph / wc + s + pihavarasto — 69.4 m² — Tanhuanpää Kaustinen</t>
  </si>
  <si>
    <t>Bergströmsvägen 1-3 C Dalsbruk Kemiönsaari</t>
  </si>
  <si>
    <t>Bergströmsvägen 1-3 C</t>
  </si>
  <si>
    <t>Dalsbruk Kemiönsaari</t>
  </si>
  <si>
    <t>1883</t>
  </si>
  <si>
    <t>Ab Åbolands Fastigheter AFM - Turunmaan Kiinteistöt Oy LKV</t>
  </si>
  <si>
    <t>http://www.turunmaankiinteistot.fi/</t>
  </si>
  <si>
    <t>Dalsbruk</t>
  </si>
  <si>
    <t>80510211</t>
  </si>
  <si>
    <t>https://d3ls91xgksobn.cloudfront.net/400x300/etuovimedia/images/property/import/356/2608356/0e76b9541118d347871c0e0e51d244c4/ce815ea502341053fd7464287365a4ad/ORIGINAL.jpeg</t>
  </si>
  <si>
    <t>https://d3ls91xgksobn.cloudfront.net/1200x900/etuovimedia/images/property/import/356/2608356/0e76b9541118d347871c0e0e51d244c4/ce815ea502341053fd7464287365a4ad/ORIGINAL.jpeg</t>
  </si>
  <si>
    <t>2608356</t>
  </si>
  <si>
    <t>https://www.etuovi.com/kohde/80510211</t>
  </si>
  <si>
    <t>2026-06-10T14:04:55.851Z</t>
  </si>
  <si>
    <t>Apartment (Kerrostalo) — 1h + k — 39 m² — Dalsbruk Kemiönsaari</t>
  </si>
  <si>
    <t>Pohjoinen Nikinmäentie 7 i Pohjois-Nikinmäki, Nikinmäki Vantaa</t>
  </si>
  <si>
    <t>Pohjoinen Nikinmäentie 7 i</t>
  </si>
  <si>
    <t>Pohjois-Nikinmäki, Nikinmäki Vantaa</t>
  </si>
  <si>
    <t>3202</t>
  </si>
  <si>
    <t>REMAX Kodit | Suomen SK välitys Oy LKV</t>
  </si>
  <si>
    <t>Sam Kamras</t>
  </si>
  <si>
    <t>Pohjois-Nikinmäki, Nikinmäki</t>
  </si>
  <si>
    <t>80515654</t>
  </si>
  <si>
    <t>https://d3ls91xgksobn.cloudfront.net/400x300/etuovimedia/images/property/import/355/2608355/0e76b9541118d347871c0e0e51d244c4/5c2e3566da6e4acd818de04a34e45251/ORIGINAL.jpeg</t>
  </si>
  <si>
    <t>https://d3ls91xgksobn.cloudfront.net/1200x900/etuovimedia/images/property/import/355/2608355/0e76b9541118d347871c0e0e51d244c4/5c2e3566da6e4acd818de04a34e45251/ORIGINAL.jpeg</t>
  </si>
  <si>
    <t>https://d3ls91xgksobn.cloudfront.net/1200x900/etuovimedia/images/property/import/355/2608355/0e76b9541118d347871c0e0e51d244c4/9715ae97ab975864607eb7a3ca499aa8/ORIGINAL.jpeg</t>
  </si>
  <si>
    <t>https://d3ls91xgksobn.cloudfront.net/1200x900/etuovimedia/images/property/import/355/2608355/0e76b9541118d347871c0e0e51d244c4/09e7ab683bab0270c772bf1161e74dfc/ORIGINAL.jpeg</t>
  </si>
  <si>
    <t>2608355</t>
  </si>
  <si>
    <t>https://www.etuovi.com/kohde/80515654</t>
  </si>
  <si>
    <t>4 h, k, vh, kph, piha</t>
  </si>
  <si>
    <t>2026-06-10T14:04:55.873Z</t>
  </si>
  <si>
    <t>Balcony Access Block (Luhtitalo) — 4 h, k, vh, kph, piha — 72 m² — Pohjois-Nikinmäki, Nikinmäki Vantaa</t>
  </si>
  <si>
    <t>Matosuontie 22 A Kastelli Oulu</t>
  </si>
  <si>
    <t>Matosuontie 22 A</t>
  </si>
  <si>
    <t>20963056</t>
  </si>
  <si>
    <t>https://d3ls91xgksobn.cloudfront.net/400x300/etuovimedia/images/property/import/354/2608354/0e76b9541118d347871c0e0e51d244c4/f2327c10a1ce8c50aa035dc1ac0c1930/ORIGINAL.jpeg</t>
  </si>
  <si>
    <t>https://d3ls91xgksobn.cloudfront.net/1200x900/etuovimedia/images/property/import/354/2608354/0e76b9541118d347871c0e0e51d244c4/f2327c10a1ce8c50aa035dc1ac0c1930/ORIGINAL.jpeg</t>
  </si>
  <si>
    <t>https://d3ls91xgksobn.cloudfront.net/1200x900/etuovimedia/images/property/import/354/2608354/0e76b9541118d347871c0e0e51d244c4/ff6c707858cfd7d43cf0af17e2c55ba7/ORIGINAL.jpeg</t>
  </si>
  <si>
    <t>2608354</t>
  </si>
  <si>
    <t>https://www.etuovi.com/kohde/20963056</t>
  </si>
  <si>
    <t>449 000 €</t>
  </si>
  <si>
    <t>3-4h + k + s + khh + wc + autokatos + lämmin varasto</t>
  </si>
  <si>
    <t>2026-06-10T14:04:55.926Z</t>
  </si>
  <si>
    <t>Semi-detached (Paritalo) — 3-4h + k + s + khh + wc + autokatos + lämmin varasto — 93 m² — Kastelli Oulu</t>
  </si>
  <si>
    <t>Idänpääntie 3 Idänpää Hämeenlinna</t>
  </si>
  <si>
    <t>Idänpääntie 3</t>
  </si>
  <si>
    <t>Idänpää Hämeenlinna</t>
  </si>
  <si>
    <t>Idänpää</t>
  </si>
  <si>
    <t>21472793</t>
  </si>
  <si>
    <t>https://d3ls91xgksobn.cloudfront.net/400x300/etuovimedia/images/property/import/353/2608353/0e76b9541118d347871c0e0e51d244c4/cd9d8e8da9e7b63c2b7a3856a1cf748f/ORIGINAL.jpeg</t>
  </si>
  <si>
    <t>https://d3ls91xgksobn.cloudfront.net/1200x900/etuovimedia/images/property/import/353/2608353/0e76b9541118d347871c0e0e51d244c4/cd9d8e8da9e7b63c2b7a3856a1cf748f/ORIGINAL.jpeg</t>
  </si>
  <si>
    <t>2608353</t>
  </si>
  <si>
    <t>https://www.etuovi.com/kohde/21472793</t>
  </si>
  <si>
    <t>3h, k, kph, s, erill.wc, parveke, autokatos</t>
  </si>
  <si>
    <t>2026-06-10T14:04:55.950Z</t>
  </si>
  <si>
    <t>Row House (Rivitalo) — 3h, k, kph, s, erill.wc, parveke, autokatos — 80 m² — Idänpää Hämeenlinna</t>
  </si>
  <si>
    <t>Itäinen Rantakatu 74 A Telakkaranta Turku</t>
  </si>
  <si>
    <t>Itäinen Rantakatu 74 A</t>
  </si>
  <si>
    <t>Telakkaranta Turku</t>
  </si>
  <si>
    <t>937</t>
  </si>
  <si>
    <t>LKV Tuomiset Oy</t>
  </si>
  <si>
    <t>http://www.tuomiset.fi/</t>
  </si>
  <si>
    <t>Telakkaranta</t>
  </si>
  <si>
    <t>80490029</t>
  </si>
  <si>
    <t>https://d3ls91xgksobn.cloudfront.net/400x300/etuovimedia/images/property/import/98/2549098/0e76b9541118d347871c0e0e51d244c4/56cdbf59a5f1dc53cd052f7db9338199/ORIGINAL.jpeg</t>
  </si>
  <si>
    <t>https://d3ls91xgksobn.cloudfront.net/1200x900/etuovimedia/images/property/import/98/2549098/0e76b9541118d347871c0e0e51d244c4/56cdbf59a5f1dc53cd052f7db9338199/ORIGINAL.jpeg</t>
  </si>
  <si>
    <t>2549098</t>
  </si>
  <si>
    <t>https://www.etuovi.com/kohde/80490029</t>
  </si>
  <si>
    <t>500 000 €</t>
  </si>
  <si>
    <t>2026-04-22</t>
  </si>
  <si>
    <t>2h + kt + s + terassi</t>
  </si>
  <si>
    <t>2026-06-10T14:04:55.989Z</t>
  </si>
  <si>
    <t>Apartment (Kerrostalo) — 2h + kt + s + terassi — 75.5 m² — Telakkaranta Turku</t>
  </si>
  <si>
    <t>Takamaanrinne 21 Vuores Tampere</t>
  </si>
  <si>
    <t>Takamaanrinne 21</t>
  </si>
  <si>
    <t>Vuores Tampere</t>
  </si>
  <si>
    <t>2277</t>
  </si>
  <si>
    <t>Bo LKV Tampere</t>
  </si>
  <si>
    <t>Moisander Iina</t>
  </si>
  <si>
    <t>Vuores</t>
  </si>
  <si>
    <t>20553908</t>
  </si>
  <si>
    <t>https://d3ls91xgksobn.cloudfront.net/400x300/etuovimedia/images/property/import/929/2577929/0e76b9541118d347871c0e0e51d244c4/27e22df91afa6d60597d76a0ed7f00f9/ORIGINAL.jpeg</t>
  </si>
  <si>
    <t>https://d3ls91xgksobn.cloudfront.net/1200x900/etuovimedia/images/property/import/929/2577929/0e76b9541118d347871c0e0e51d244c4/27e22df91afa6d60597d76a0ed7f00f9/ORIGINAL.jpeg</t>
  </si>
  <si>
    <t>https://d3ls91xgksobn.cloudfront.net/1200x900/etuovimedia/images/property/import/929/2577929/0e76b9541118d347871c0e0e51d244c4/83391db7c2b74d95b45c4223b0a34db0/ORIGINAL.jpeg</t>
  </si>
  <si>
    <t>2577929</t>
  </si>
  <si>
    <t>https://www.etuovi.com/kohde/20553908</t>
  </si>
  <si>
    <t>590 000 €</t>
  </si>
  <si>
    <t>5h, k, 2 vh, sauna, 3 erill. wc, kkh, 2 ulkovarasto, ter</t>
  </si>
  <si>
    <t>2026-06-10T14:04:56.050Z</t>
  </si>
  <si>
    <t>Detached House (Omakotitalo) — 5h, k, 2 vh, sauna, 3 erill. wc, kkh, 2 ulkovarasto, ter — 146 m² — Vuores Tampere</t>
  </si>
  <si>
    <t>Pienjaakkolantie 10 Jaakkola Muurame</t>
  </si>
  <si>
    <t>Pienjaakkolantie 10</t>
  </si>
  <si>
    <t>Jaakkola Muurame</t>
  </si>
  <si>
    <t>Johanna Jäntti</t>
  </si>
  <si>
    <t>58035688</t>
  </si>
  <si>
    <t>https://d3ls91xgksobn.cloudfront.net/400x300/etuovimedia/images/property/import/330/2608330/0e76b9541118d347871c0e0e51d244c4/af95b2d02432a3459ee53f78f33980af/ORIGINAL.jpeg</t>
  </si>
  <si>
    <t>https://d3ls91xgksobn.cloudfront.net/1200x900/etuovimedia/images/property/import/330/2608330/0e76b9541118d347871c0e0e51d244c4/af95b2d02432a3459ee53f78f33980af/ORIGINAL.jpeg</t>
  </si>
  <si>
    <t>https://d3ls91xgksobn.cloudfront.net/1200x900/etuovimedia/images/property/import/330/2608330/0e76b9541118d347871c0e0e51d244c4/2fe92247f937ec5dc702bdc4faab1d1d/ORIGINAL.jpeg</t>
  </si>
  <si>
    <t>2608330</t>
  </si>
  <si>
    <t>https://www.etuovi.com/kohde/58035688</t>
  </si>
  <si>
    <t>2026-06-10T14:04:56.098Z</t>
  </si>
  <si>
    <t>Balcony Access Block (Luhtitalo) — 2h, k, kph, s, p — 47.5 m² — Jaakkola Muurame</t>
  </si>
  <si>
    <t>Viriänkuja 2 Knuutilanranta Oulu</t>
  </si>
  <si>
    <t>Viriänkuja 2</t>
  </si>
  <si>
    <t>Knuutilanranta Oulu</t>
  </si>
  <si>
    <t>Knuutilanranta</t>
  </si>
  <si>
    <t>58711422</t>
  </si>
  <si>
    <t>https://d3ls91xgksobn.cloudfront.net/400x300/etuovimedia/images/property/import/329/2608329/0e76b9541118d347871c0e0e51d244c4/7f40496c3b8941fa82a6941fb4ab20c4/ORIGINAL.jpeg</t>
  </si>
  <si>
    <t>https://d3ls91xgksobn.cloudfront.net/1200x900/etuovimedia/images/property/import/329/2608329/0e76b9541118d347871c0e0e51d244c4/7f40496c3b8941fa82a6941fb4ab20c4/ORIGINAL.jpeg</t>
  </si>
  <si>
    <t>https://d3ls91xgksobn.cloudfront.net/1200x900/etuovimedia/images/property/import/329/2608329/0e76b9541118d347871c0e0e51d244c4/0595aae7ad7f83847baaa1d850f3f376/ORIGINAL.jpeg</t>
  </si>
  <si>
    <t>2608329</t>
  </si>
  <si>
    <t>https://www.etuovi.com/kohde/58711422</t>
  </si>
  <si>
    <t>4h, k, kph / s, wc*2, parv, ter, ak</t>
  </si>
  <si>
    <t>2026-06-10T14:04:56.169Z</t>
  </si>
  <si>
    <t>Semi-detached (Paritalo) — 4h, k, kph / s, wc*2, parv, ter, ak — 90 m² — Knuutilanranta Oulu</t>
  </si>
  <si>
    <t>Huopalahdentie 4-6 Munkkiniemi Helsinki</t>
  </si>
  <si>
    <t>Huopalahdentie 4-6</t>
  </si>
  <si>
    <t>Munkkiniemi Helsinki</t>
  </si>
  <si>
    <t>1017</t>
  </si>
  <si>
    <t>Kiinteistömaailma Helsinki Munkkiniemi | Amuletti Asunnot Oy</t>
  </si>
  <si>
    <t>Munkkiniemi</t>
  </si>
  <si>
    <t>59551643</t>
  </si>
  <si>
    <t>https://d3ls91xgksobn.cloudfront.net/400x300/etuovimedia/images/property/import/322/2608322/0e76b9541118d347871c0e0e51d244c4/0b39a47a87bc11624dc9cd79f59eff7d/ORIGINAL.jpeg</t>
  </si>
  <si>
    <t>https://d3ls91xgksobn.cloudfront.net/1200x900/etuovimedia/images/property/import/322/2608322/0e76b9541118d347871c0e0e51d244c4/0b39a47a87bc11624dc9cd79f59eff7d/ORIGINAL.jpeg</t>
  </si>
  <si>
    <t>2608322</t>
  </si>
  <si>
    <t>https://www.etuovi.com/kohde/59551643</t>
  </si>
  <si>
    <t>2026-06-10T14:04:56.186Z</t>
  </si>
  <si>
    <t>Apartment (Kerrostalo) — 1h, kk, kph — 38 m² — Munkkiniemi Helsinki</t>
  </si>
  <si>
    <t>Huuhkajantie 6 A Lintumetsä Nurmijärvi</t>
  </si>
  <si>
    <t>Huuhkajantie 6 A</t>
  </si>
  <si>
    <t>Lintumetsä Nurmijärvi</t>
  </si>
  <si>
    <t>Lintumetsä</t>
  </si>
  <si>
    <t>80513024</t>
  </si>
  <si>
    <t>https://d3ls91xgksobn.cloudfront.net/400x300/etuovimedia/images/property/import/316/2608316/0e76b9541118d347871c0e0e51d244c4/f96868a7b1669ebd9d02dc9a252a12b4/ORIGINAL.jpeg</t>
  </si>
  <si>
    <t>https://d3ls91xgksobn.cloudfront.net/1200x900/etuovimedia/images/property/import/316/2608316/0e76b9541118d347871c0e0e51d244c4/f96868a7b1669ebd9d02dc9a252a12b4/ORIGINAL.jpeg</t>
  </si>
  <si>
    <t>2608316</t>
  </si>
  <si>
    <t>https://www.etuovi.com/kohde/80513024</t>
  </si>
  <si>
    <t>4h, k, ruokailutila, vh, khh, kph, s, erillis wc, h / tekninen tila, lasikuisti, terassi, piha</t>
  </si>
  <si>
    <t>2026-06-10T14:04:56.249Z</t>
  </si>
  <si>
    <t>Semi-detached (Paritalo) — 4h, k, ruokailutila, vh, khh, kph, s, erillis wc, h / tekninen tila, lasikuisti, terassi, piha — 98.5 m² — Lintumetsä Nurmijärvi</t>
  </si>
  <si>
    <t>Jollaksentie 61 Jollas Helsinki</t>
  </si>
  <si>
    <t>Jollaksentie 61</t>
  </si>
  <si>
    <t>Jollas Helsinki</t>
  </si>
  <si>
    <t>Jollas</t>
  </si>
  <si>
    <t>58126134</t>
  </si>
  <si>
    <t>https://d3ls91xgksobn.cloudfront.net/400x300/etuovimedia/images/property/import/298/2608298/0e76b9541118d347871c0e0e51d244c4/ea5d7cb14e0a81a17c42d331fa00065f/ORIGINAL.jpeg</t>
  </si>
  <si>
    <t>https://d3ls91xgksobn.cloudfront.net/1200x900/etuovimedia/images/property/import/298/2608298/0e76b9541118d347871c0e0e51d244c4/ea5d7cb14e0a81a17c42d331fa00065f/ORIGINAL.jpeg</t>
  </si>
  <si>
    <t>2608298</t>
  </si>
  <si>
    <t>https://www.etuovi.com/kohde/58126134</t>
  </si>
  <si>
    <t>385 000 €</t>
  </si>
  <si>
    <t>3h, k / rt, sauna, kph, erill. wc, askh, varastoh. + ulkovarasto</t>
  </si>
  <si>
    <t>2026-06-10T14:04:56.301Z</t>
  </si>
  <si>
    <t>Semi-detached (Paritalo) — 3h, k / rt, sauna, kph, erill. wc, askh, varastoh. + ulkovarasto — 100 m² — Jollas Helsinki</t>
  </si>
  <si>
    <t>Pellervonkatu 18 Kaleva Tampere</t>
  </si>
  <si>
    <t>Pellervonkatu 18</t>
  </si>
  <si>
    <t>21840781</t>
  </si>
  <si>
    <t>https://d3ls91xgksobn.cloudfront.net/400x300/etuovimedia/images/property/import/297/2608297/0e76b9541118d347871c0e0e51d244c4/feceec76617cfd0643a6d31e68656116/ORIGINAL.jpeg</t>
  </si>
  <si>
    <t>https://d3ls91xgksobn.cloudfront.net/1200x900/etuovimedia/images/property/import/297/2608297/0e76b9541118d347871c0e0e51d244c4/feceec76617cfd0643a6d31e68656116/ORIGINAL.jpeg</t>
  </si>
  <si>
    <t>https://d3ls91xgksobn.cloudfront.net/1200x900/etuovimedia/images/property/import/297/2608297/0e76b9541118d347871c0e0e51d244c4/a9ef0826808f99f06904e52c90085d00/ORIGINAL.jpeg</t>
  </si>
  <si>
    <t>https://d3ls91xgksobn.cloudfront.net/1200x900/etuovimedia/images/property/import/297/2608297/0e76b9541118d347871c0e0e51d244c4/add17a3f7f31cb3c9c810ff7e924a4cd/ORIGINAL.jpeg</t>
  </si>
  <si>
    <t>2608297</t>
  </si>
  <si>
    <t>https://www.etuovi.com/kohde/21840781</t>
  </si>
  <si>
    <t>4h, k, kph / wc, vh, p.</t>
  </si>
  <si>
    <t>2026-06-10T14:04:56.319Z</t>
  </si>
  <si>
    <t>Apartment (Kerrostalo) — 4h, k, kph / wc, vh, p. — 82.5 m² — Kaleva Tampere</t>
  </si>
  <si>
    <t>Pertunkatu 3 Petrelius Turku</t>
  </si>
  <si>
    <t>Pertunkatu 3</t>
  </si>
  <si>
    <t>Petrelius Turku</t>
  </si>
  <si>
    <t>Vuotinen Jani-Matti</t>
  </si>
  <si>
    <t>Petrelius</t>
  </si>
  <si>
    <t>9779255</t>
  </si>
  <si>
    <t>https://d3ls91xgksobn.cloudfront.net/400x300/etuovimedia/images/property/import/296/2608296/0e76b9541118d347871c0e0e51d244c4/779e904727ec66dfabe8344b7585a958/ORIGINAL.jpeg</t>
  </si>
  <si>
    <t>https://d3ls91xgksobn.cloudfront.net/1200x900/etuovimedia/images/property/import/296/2608296/0e76b9541118d347871c0e0e51d244c4/779e904727ec66dfabe8344b7585a958/ORIGINAL.jpeg</t>
  </si>
  <si>
    <t>https://d3ls91xgksobn.cloudfront.net/1200x900/etuovimedia/images/property/import/296/2608296/0e76b9541118d347871c0e0e51d244c4/3fbad3f3526ca88578febf12289c0ee9/ORIGINAL.jpeg</t>
  </si>
  <si>
    <t>https://d3ls91xgksobn.cloudfront.net/1200x900/etuovimedia/images/property/import/296/2608296/0e76b9541118d347871c0e0e51d244c4/f2f3097c86284e4a38470a685671830e/ORIGINAL.jpeg</t>
  </si>
  <si>
    <t>2608296</t>
  </si>
  <si>
    <t>https://www.etuovi.com/kohde/9779255</t>
  </si>
  <si>
    <t>2h + k + kph + p</t>
  </si>
  <si>
    <t>2026-06-10T14:04:56.345Z</t>
  </si>
  <si>
    <t>Apartment (Kerrostalo) — 2h + k + kph + p — 59.5 m² — Petrelius Turku</t>
  </si>
  <si>
    <t>Rinkelinkatu 8 Kauriala Hämeenlinna</t>
  </si>
  <si>
    <t>Rinkelinkatu 8</t>
  </si>
  <si>
    <t>Kauriala Hämeenlinna</t>
  </si>
  <si>
    <t>1818</t>
  </si>
  <si>
    <t>Ässä Oy LKV Hämeenlinna</t>
  </si>
  <si>
    <t>http://www.assalkv.fi/</t>
  </si>
  <si>
    <t>Kauriala</t>
  </si>
  <si>
    <t>20044978</t>
  </si>
  <si>
    <t>https://d3ls91xgksobn.cloudfront.net/400x300/etuovimedia/images/property/import/295/2608295/0e76b9541118d347871c0e0e51d244c4/80dccd0376ba068076497614bcc56e34/ORIGINAL.jpeg</t>
  </si>
  <si>
    <t>https://d3ls91xgksobn.cloudfront.net/1200x900/etuovimedia/images/property/import/295/2608295/0e76b9541118d347871c0e0e51d244c4/80dccd0376ba068076497614bcc56e34/ORIGINAL.jpeg</t>
  </si>
  <si>
    <t>2608295</t>
  </si>
  <si>
    <t>https://www.etuovi.com/kohde/20044978</t>
  </si>
  <si>
    <t>4h, k, s, 2 x wc, kuisti, varasto</t>
  </si>
  <si>
    <t>2026-06-10T14:04:56.362Z</t>
  </si>
  <si>
    <t>Detached House (Omakotitalo) — 4h, k, s, 2 x wc, kuisti, varasto — 91 m² — Kauriala Hämeenlinna</t>
  </si>
  <si>
    <t>Kuokkamaantie 3 B Keskusta Pyhäjoki</t>
  </si>
  <si>
    <t>Kuokkamaantie 3 B</t>
  </si>
  <si>
    <t>Keskusta Pyhäjoki</t>
  </si>
  <si>
    <t>3389</t>
  </si>
  <si>
    <t>OP Koti Pohjoinen Oy LKV, Raahe</t>
  </si>
  <si>
    <t>615304</t>
  </si>
  <si>
    <t>https://d3ls91xgksobn.cloudfront.net/400x300/etuovimedia/images/property/import/31/2518031/0e76b9541118d347871c0e0e51d244c4/e6439508d2064805a1cb7bb4808b5922/ORIGINAL.jpeg</t>
  </si>
  <si>
    <t>https://d3ls91xgksobn.cloudfront.net/1200x900/etuovimedia/images/property/import/31/2518031/0e76b9541118d347871c0e0e51d244c4/e6439508d2064805a1cb7bb4808b5922/ORIGINAL.jpeg</t>
  </si>
  <si>
    <t>2518031</t>
  </si>
  <si>
    <t>https://www.etuovi.com/kohde/615304</t>
  </si>
  <si>
    <t>4h + k + ph / s + khh</t>
  </si>
  <si>
    <t>2026-06-10T14:04:56.383Z</t>
  </si>
  <si>
    <t>Row House (Rivitalo) — 4h + k + ph / s + khh — 102.8 m² — Keskusta Pyhäjoki</t>
  </si>
  <si>
    <t>Kukkakedonkuja 1 B Ruutana Kangasala</t>
  </si>
  <si>
    <t>Kukkakedonkuja 1 B</t>
  </si>
  <si>
    <t>Ruutana Kangasala</t>
  </si>
  <si>
    <t>Heidi Hiltunen</t>
  </si>
  <si>
    <t>Ruutana</t>
  </si>
  <si>
    <t>80487368</t>
  </si>
  <si>
    <t>https://d3ls91xgksobn.cloudfront.net/400x300/etuovimedia/images/property/import/361/2486361/0e76b9541118d347871c0e0e51d244c4/ec1f70a35e76ad9832635390e4f0b1de/ORIGINAL.jpeg</t>
  </si>
  <si>
    <t>https://d3ls91xgksobn.cloudfront.net/1200x900/etuovimedia/images/property/import/361/2486361/0e76b9541118d347871c0e0e51d244c4/ec1f70a35e76ad9832635390e4f0b1de/ORIGINAL.jpeg</t>
  </si>
  <si>
    <t>https://d3ls91xgksobn.cloudfront.net/1200x900/etuovimedia/images/property/import/361/2486361/0e76b9541118d347871c0e0e51d244c4/b3718ccd77d30791edf9afb074afa4ea/ORIGINAL.jpeg</t>
  </si>
  <si>
    <t>https://d3ls91xgksobn.cloudfront.net/1200x900/etuovimedia/images/property/import/361/2486361/0e76b9541118d347871c0e0e51d244c4/08762d6b2f431c59d43d4cca725675f3/ORIGINAL.jpeg</t>
  </si>
  <si>
    <t>2486361</t>
  </si>
  <si>
    <t>https://www.etuovi.com/kohde/80487368</t>
  </si>
  <si>
    <t>3h, avokeittiö, kph / wc, s, erillinen wc, vh, varasto</t>
  </si>
  <si>
    <t>2026-06-10T14:04:56.410Z</t>
  </si>
  <si>
    <t>Row House (Rivitalo) — 3h, avokeittiö, kph / wc, s, erillinen wc, vh, varasto — 80 m² — Ruutana Kangasala</t>
  </si>
  <si>
    <t>Vakkamäentie 51 Otalampi Vihti</t>
  </si>
  <si>
    <t>Vakkamäentie 51</t>
  </si>
  <si>
    <t>Otalampi Vihti</t>
  </si>
  <si>
    <t>Otalampi</t>
  </si>
  <si>
    <t>20161522</t>
  </si>
  <si>
    <t>https://d3ls91xgksobn.cloudfront.net/400x300/etuovimedia/images/property/import/282/2608282/0e76b9541118d347871c0e0e51d244c4/17d6b466fc84b2501cf944081426d175/ORIGINAL.jpeg</t>
  </si>
  <si>
    <t>https://d3ls91xgksobn.cloudfront.net/1200x900/etuovimedia/images/property/import/282/2608282/0e76b9541118d347871c0e0e51d244c4/17d6b466fc84b2501cf944081426d175/ORIGINAL.jpeg</t>
  </si>
  <si>
    <t>2608282</t>
  </si>
  <si>
    <t>https://www.etuovi.com/kohde/20161522</t>
  </si>
  <si>
    <t>5mh, k, tupak, s, psh, 2 x at, varastot</t>
  </si>
  <si>
    <t>2026-06-10T14:04:56.561Z</t>
  </si>
  <si>
    <t>Detached House (Omakotitalo) — 5mh, k, tupak, s, psh, 2 x at, varastot — 175 m² — Otalampi Vihti</t>
  </si>
  <si>
    <t>Saanatunturintie 1 E Mellunmäki Helsinki</t>
  </si>
  <si>
    <t>Saanatunturintie 1 E</t>
  </si>
  <si>
    <t>Mellunmäki Helsinki</t>
  </si>
  <si>
    <t>Mellunmäki</t>
  </si>
  <si>
    <t>10100502</t>
  </si>
  <si>
    <t>https://d3ls91xgksobn.cloudfront.net/400x300/etuovimedia/images/property/import/278/2608278/0e76b9541118d347871c0e0e51d244c4/cb920765361ed271b712eec68b6e90f4/ORIGINAL.jpeg</t>
  </si>
  <si>
    <t>https://d3ls91xgksobn.cloudfront.net/1200x900/etuovimedia/images/property/import/278/2608278/0e76b9541118d347871c0e0e51d244c4/cb920765361ed271b712eec68b6e90f4/ORIGINAL.jpeg</t>
  </si>
  <si>
    <t>2608278</t>
  </si>
  <si>
    <t>https://www.etuovi.com/kohde/10100502</t>
  </si>
  <si>
    <t>3h + k + kph + p (yhtiöjärjestyksen mukaan 3h + k)</t>
  </si>
  <si>
    <t>2026-06-10T14:04:56.598Z</t>
  </si>
  <si>
    <t>Apartment (Kerrostalo) — 3h + k + kph + p (yhtiöjärjestyksen mukaan 3h + k) — 73 m² — Mellunmäki Helsinki</t>
  </si>
  <si>
    <t>Kalimankuja 12 C Epilänharju Tampere</t>
  </si>
  <si>
    <t>Kalimankuja 12 C</t>
  </si>
  <si>
    <t>Epilänharju Tampere</t>
  </si>
  <si>
    <t>3362</t>
  </si>
  <si>
    <t>Muutos LKV | Urban Cabin Oy</t>
  </si>
  <si>
    <t>Jussi Uusitalo</t>
  </si>
  <si>
    <t>Epilänharju</t>
  </si>
  <si>
    <t>80512718</t>
  </si>
  <si>
    <t>https://d3ls91xgksobn.cloudfront.net/400x300/etuovimedia/images/property/import/277/2608277/0e76b9541118d347871c0e0e51d244c4/031c4079b5e3b87609c759769fe4bc51/ORIGINAL.jpeg</t>
  </si>
  <si>
    <t>https://d3ls91xgksobn.cloudfront.net/1200x900/etuovimedia/images/property/import/277/2608277/0e76b9541118d347871c0e0e51d244c4/031c4079b5e3b87609c759769fe4bc51/ORIGINAL.jpeg</t>
  </si>
  <si>
    <t>https://d3ls91xgksobn.cloudfront.net/1200x900/etuovimedia/images/property/import/277/2608277/0e76b9541118d347871c0e0e51d244c4/4a04745871409243065893f79f02db84/ORIGINAL.jpeg</t>
  </si>
  <si>
    <t>https://d3ls91xgksobn.cloudfront.net/1200x900/etuovimedia/images/property/import/277/2608277/0e76b9541118d347871c0e0e51d244c4/ac9bf8d5dc83a573e775ddc291dfed0a/ORIGINAL.jpeg</t>
  </si>
  <si>
    <t>2608277</t>
  </si>
  <si>
    <t>https://www.etuovi.com/kohde/80512718</t>
  </si>
  <si>
    <t>4h, k, kph / wc, s, khh / wc, vh, var, at, lasit.p</t>
  </si>
  <si>
    <t>2026-06-10T14:04:56.669Z</t>
  </si>
  <si>
    <t>Semi-detached (Paritalo) — 4h, k, kph / wc, s, khh / wc, vh, var, at, lasit.p — 93 m² — Epilänharju Tampere</t>
  </si>
  <si>
    <t>Länsi-Keimolan Tie 16 Vestra Vantaa</t>
  </si>
  <si>
    <t>Länsi-Keimolan Tie 16</t>
  </si>
  <si>
    <t>Vestra Vantaa</t>
  </si>
  <si>
    <t>82</t>
  </si>
  <si>
    <t>Huoneistokeskus Etelä-Helsinki</t>
  </si>
  <si>
    <t>Vestra</t>
  </si>
  <si>
    <t>80508219</t>
  </si>
  <si>
    <t>https://d3ls91xgksobn.cloudfront.net/400x300/etuovimedia/images/property/import/276/2608276/0e76b9541118d347871c0e0e51d244c4/776cb7b4b3c507dffba805bf99002fca/ORIGINAL.jpeg</t>
  </si>
  <si>
    <t>https://d3ls91xgksobn.cloudfront.net/1200x900/etuovimedia/images/property/import/276/2608276/0e76b9541118d347871c0e0e51d244c4/776cb7b4b3c507dffba805bf99002fca/ORIGINAL.jpeg</t>
  </si>
  <si>
    <t>2608276</t>
  </si>
  <si>
    <t>https://www.etuovi.com/kohde/80508219</t>
  </si>
  <si>
    <t>520 000 €</t>
  </si>
  <si>
    <t>2026-06-10T14:04:56.690Z</t>
  </si>
  <si>
    <t>Detached House (Omakotitalo) — 6h, k, s — 189 m² — Vestra Vantaa</t>
  </si>
  <si>
    <t>Nahkurinkatu 2b A Mutala Joensuu</t>
  </si>
  <si>
    <t>Nahkurinkatu 2b A</t>
  </si>
  <si>
    <t>Mutala Joensuu</t>
  </si>
  <si>
    <t>Miro Turunen</t>
  </si>
  <si>
    <t>Mutala</t>
  </si>
  <si>
    <t>80514145</t>
  </si>
  <si>
    <t>https://d3ls91xgksobn.cloudfront.net/400x300/etuovimedia/images/property/import/275/2608275/0e76b9541118d347871c0e0e51d244c4/4c471f8f6bcce9d11075b482acf48196/ORIGINAL.jpeg</t>
  </si>
  <si>
    <t>https://d3ls91xgksobn.cloudfront.net/1200x900/etuovimedia/images/property/import/275/2608275/0e76b9541118d347871c0e0e51d244c4/4c471f8f6bcce9d11075b482acf48196/ORIGINAL.jpeg</t>
  </si>
  <si>
    <t>https://d3ls91xgksobn.cloudfront.net/1200x900/etuovimedia/images/property/import/275/2608275/0e76b9541118d347871c0e0e51d244c4/2c41b91012107c68c4464f3a5f4c8748/ORIGINAL.jpeg</t>
  </si>
  <si>
    <t>2608275</t>
  </si>
  <si>
    <t>https://www.etuovi.com/kohde/80514145</t>
  </si>
  <si>
    <t>3h, k, kph, s + parvitila</t>
  </si>
  <si>
    <t>2026-06-10T14:04:56.779Z</t>
  </si>
  <si>
    <t>Row House (Rivitalo) — 3h, k, kph, s + parvitila — 81.5 m² — Mutala Joensuu</t>
  </si>
  <si>
    <t>Armilankatu 31b Peltola Lappeenranta</t>
  </si>
  <si>
    <t>Armilankatu 31b</t>
  </si>
  <si>
    <t>3670</t>
  </si>
  <si>
    <t>Luotto LKV Oy</t>
  </si>
  <si>
    <t>https://luotto-lkv.fi/</t>
  </si>
  <si>
    <t>53504357</t>
  </si>
  <si>
    <t>https://d3ls91xgksobn.cloudfront.net/400x300/etuovimedia/images/property/import/273/2608273/0e76b9541118d347871c0e0e51d244c4/a5f0098496a4617036a69dddd281902e/ORIGINAL.jpeg</t>
  </si>
  <si>
    <t>https://d3ls91xgksobn.cloudfront.net/1200x900/etuovimedia/images/property/import/273/2608273/0e76b9541118d347871c0e0e51d244c4/a5f0098496a4617036a69dddd281902e/ORIGINAL.jpeg</t>
  </si>
  <si>
    <t>2608273</t>
  </si>
  <si>
    <t>https://www.etuovi.com/kohde/53504357</t>
  </si>
  <si>
    <t>1h, k, oh, kph / wc, s, huoneistopiha</t>
  </si>
  <si>
    <t>2026-06-10T14:05:02.596Z</t>
  </si>
  <si>
    <t>Apartment (Kerrostalo) — 1h, k, oh, kph / wc, s, huoneistopiha — 36 m² — Peltola Lappeenranta</t>
  </si>
  <si>
    <t>Virvatulenkuja 1 Laajakallio Kirkkonummi</t>
  </si>
  <si>
    <t>Virvatulenkuja 1</t>
  </si>
  <si>
    <t>Laajakallio Kirkkonummi</t>
  </si>
  <si>
    <t>3443</t>
  </si>
  <si>
    <t>Kiinteistömaailma Kirkkonummi | Adream Kirkkonummen Kodit Oy</t>
  </si>
  <si>
    <t>Laajakallio</t>
  </si>
  <si>
    <t>51477805</t>
  </si>
  <si>
    <t>https://d3ls91xgksobn.cloudfront.net/400x300/etuovimedia/images/property/import/272/2608272/0e76b9541118d347871c0e0e51d244c4/321e90cf74ff2424b9e1df415eabfb0f/ORIGINAL.jpeg</t>
  </si>
  <si>
    <t>https://d3ls91xgksobn.cloudfront.net/1200x900/etuovimedia/images/property/import/272/2608272/0e76b9541118d347871c0e0e51d244c4/321e90cf74ff2424b9e1df415eabfb0f/ORIGINAL.jpeg</t>
  </si>
  <si>
    <t>2608272</t>
  </si>
  <si>
    <t>https://www.etuovi.com/kohde/51477805</t>
  </si>
  <si>
    <t>5h + k + kph + s + khh + takkahuone + varasto + autotalli</t>
  </si>
  <si>
    <t>2026-06-10T14:05:02.631Z</t>
  </si>
  <si>
    <t>Detached House (Omakotitalo) — 5h + k + kph + s + khh + takkahuone + varasto + autotalli — 152 m² — Laajakallio Kirkkonummi</t>
  </si>
  <si>
    <t>Urho Kekkosen katu 3 Kamppi Helsinki</t>
  </si>
  <si>
    <t>Urho Kekkosen katu 3</t>
  </si>
  <si>
    <t>Kamppi Helsinki</t>
  </si>
  <si>
    <t>Kamppi</t>
  </si>
  <si>
    <t>40448323</t>
  </si>
  <si>
    <t>https://d3ls91xgksobn.cloudfront.net/400x300/etuovimedia/images/property/import/270/2608270/0e76b9541118d347871c0e0e51d244c4/3532fa7a413a9101d2c21bf31339c596/ORIGINAL.jpeg</t>
  </si>
  <si>
    <t>https://d3ls91xgksobn.cloudfront.net/1200x900/etuovimedia/images/property/import/270/2608270/0e76b9541118d347871c0e0e51d244c4/3532fa7a413a9101d2c21bf31339c596/ORIGINAL.jpeg</t>
  </si>
  <si>
    <t>2608270</t>
  </si>
  <si>
    <t>https://www.etuovi.com/kohde/40448323</t>
  </si>
  <si>
    <t>1 136 000 €</t>
  </si>
  <si>
    <t>3 h + k + s + erilli.wc + vh + lasitettu terassiparveke</t>
  </si>
  <si>
    <t>2026-06-10T14:05:02.655Z</t>
  </si>
  <si>
    <t>Apartment (Kerrostalo) — 3 h + k + s + erilli.wc + vh + lasitettu terassiparveke — 76 m² — Kamppi Helsinki</t>
  </si>
  <si>
    <t>20661171</t>
  </si>
  <si>
    <t>https://d3ls91xgksobn.cloudfront.net/400x300/etuovimedia/images/property/import/265/2608265/0e76b9541118d347871c0e0e51d244c4/67923a8a80ef29bdbed00f812d5536f8/ORIGINAL.jpeg</t>
  </si>
  <si>
    <t>https://d3ls91xgksobn.cloudfront.net/1200x900/etuovimedia/images/property/import/265/2608265/0e76b9541118d347871c0e0e51d244c4/67923a8a80ef29bdbed00f812d5536f8/ORIGINAL.jpeg</t>
  </si>
  <si>
    <t>2608265</t>
  </si>
  <si>
    <t>https://www.etuovi.com/kohde/20661171</t>
  </si>
  <si>
    <t>2h + avok + kph + parveke (yhtiöjärjestyksen mukaan 2 h + kk + kph)</t>
  </si>
  <si>
    <t>2026-06-10T14:05:02.683Z</t>
  </si>
  <si>
    <t>Apartment (Kerrostalo) — 2h + avok + kph + parveke (yhtiöjärjestyksen mukaan 2 h + kk + kph) — 55 m² — Meilahti Helsinki</t>
  </si>
  <si>
    <t>Kitkantie 32 Keskusta Kuusamo</t>
  </si>
  <si>
    <t>Kitkantie 32</t>
  </si>
  <si>
    <t>Keskusta Kuusamo</t>
  </si>
  <si>
    <t>20027657</t>
  </si>
  <si>
    <t>https://d3ls91xgksobn.cloudfront.net/400x300/etuovimedia/images/property/import/264/2608264/0e76b9541118d347871c0e0e51d244c4/6584f6f0c0b707f708dcebe41bdfd5a8/ORIGINAL.jpeg</t>
  </si>
  <si>
    <t>https://d3ls91xgksobn.cloudfront.net/1200x900/etuovimedia/images/property/import/264/2608264/0e76b9541118d347871c0e0e51d244c4/6584f6f0c0b707f708dcebe41bdfd5a8/ORIGINAL.jpeg</t>
  </si>
  <si>
    <t>2608264</t>
  </si>
  <si>
    <t>https://www.etuovi.com/kohde/20027657</t>
  </si>
  <si>
    <t>52 000 €</t>
  </si>
  <si>
    <t>2026-06-10T14:05:02.760Z</t>
  </si>
  <si>
    <t>Apartment (Kerrostalo) — 2h + kk + s — 49.5 m² — Keskusta Kuusamo</t>
  </si>
  <si>
    <t>Eteläranta 9 Saaristokaupunki Kuopio</t>
  </si>
  <si>
    <t>Eteläranta 9</t>
  </si>
  <si>
    <t>Saaristokaupunki Kuopio</t>
  </si>
  <si>
    <t>Saija Miettinen</t>
  </si>
  <si>
    <t>Saaristokaupunki</t>
  </si>
  <si>
    <t>595070</t>
  </si>
  <si>
    <t>https://d3ls91xgksobn.cloudfront.net/400x300/etuovimedia/images/property/import/200/2115200/0e76b9541118d347871c0e0e51d244c4/24c5b1315fc25c67be8dc491d95b0f11/ORIGINAL.jpeg</t>
  </si>
  <si>
    <t>https://d3ls91xgksobn.cloudfront.net/1200x900/etuovimedia/images/property/import/200/2115200/0e76b9541118d347871c0e0e51d244c4/24c5b1315fc25c67be8dc491d95b0f11/ORIGINAL.jpeg</t>
  </si>
  <si>
    <t>https://d3ls91xgksobn.cloudfront.net/1200x900/etuovimedia/images/property/import/200/2115200/0e76b9541118d347871c0e0e51d244c4/a4e9767f9382de7d349d4aeb369853e3/ORIGINAL.jpeg</t>
  </si>
  <si>
    <t>https://d3ls91xgksobn.cloudfront.net/1200x900/etuovimedia/images/property/import/200/2115200/0e76b9541118d347871c0e0e51d244c4/ba5fc6169bc53031dba9af16c2ab4c82/ORIGINAL.jpeg</t>
  </si>
  <si>
    <t>2115200</t>
  </si>
  <si>
    <t>https://www.etuovi.com/kohde/595070</t>
  </si>
  <si>
    <t>699 000 €</t>
  </si>
  <si>
    <t>2025-05-14</t>
  </si>
  <si>
    <t>5h, k, kph, s, khh, vh, varasto, autotallit 2 kpl</t>
  </si>
  <si>
    <t>2026-06-10T14:05:02.789Z</t>
  </si>
  <si>
    <t>Detached House (Omakotitalo) — 5h, k, kph, s, khh, vh, varasto, autotallit 2 kpl — 241.5 m² — Saaristokaupunki Kuopio</t>
  </si>
  <si>
    <t>Bulevardi 52 Hietalahti Helsinki</t>
  </si>
  <si>
    <t>Bulevardi 52</t>
  </si>
  <si>
    <t>Hietalahti Helsinki</t>
  </si>
  <si>
    <t>16</t>
  </si>
  <si>
    <t>Habita Ullanlinna | Etelä-Helsingin Habita Oy</t>
  </si>
  <si>
    <t>Hietalahti</t>
  </si>
  <si>
    <t>2275478</t>
  </si>
  <si>
    <t>https://d3ls91xgksobn.cloudfront.net/400x300/etuovimedia/images/property/import/256/2608256/0e76b9541118d347871c0e0e51d244c4/8c929984ff98e8ba4e61129489b599ee/ORIGINAL.jpeg</t>
  </si>
  <si>
    <t>https://d3ls91xgksobn.cloudfront.net/1200x900/etuovimedia/images/property/import/256/2608256/0e76b9541118d347871c0e0e51d244c4/8c929984ff98e8ba4e61129489b599ee/ORIGINAL.jpeg</t>
  </si>
  <si>
    <t>2608256</t>
  </si>
  <si>
    <t>https://www.etuovi.com/kohde/2275478</t>
  </si>
  <si>
    <t>528 000 €</t>
  </si>
  <si>
    <t>Tilava kaksio sisäpihan rauhassa</t>
  </si>
  <si>
    <t>2026-06-10T14:05:03.001Z</t>
  </si>
  <si>
    <t>Apartment (Kerrostalo) — Tilava kaksio sisäpihan rauhassa — 72 m² — Hietalahti Helsinki</t>
  </si>
  <si>
    <t>Tohtorintie 22 Liperin kirkonkylä Liperi</t>
  </si>
  <si>
    <t>Tohtorintie 22</t>
  </si>
  <si>
    <t>Liperin kirkonkylä Liperi</t>
  </si>
  <si>
    <t>2728</t>
  </si>
  <si>
    <t>Habita Joensuu | Uutta Kohti LKV Oy</t>
  </si>
  <si>
    <t>Liperin kirkonkylä</t>
  </si>
  <si>
    <t>2275620</t>
  </si>
  <si>
    <t>https://d3ls91xgksobn.cloudfront.net/400x300/etuovimedia/images/property/import/254/2608254/0e76b9541118d347871c0e0e51d244c4/4adcd3c6d6c30cdd87d49a26366b4c23/ORIGINAL.jpeg</t>
  </si>
  <si>
    <t>https://d3ls91xgksobn.cloudfront.net/1200x900/etuovimedia/images/property/import/254/2608254/0e76b9541118d347871c0e0e51d244c4/4adcd3c6d6c30cdd87d49a26366b4c23/ORIGINAL.jpeg</t>
  </si>
  <si>
    <t>2608254</t>
  </si>
  <si>
    <t>https://www.etuovi.com/kohde/2275620</t>
  </si>
  <si>
    <t>183 000 €</t>
  </si>
  <si>
    <t>Okt + yksiö + kaksio + lisätilat</t>
  </si>
  <si>
    <t>2026-06-10T14:05:03.076Z</t>
  </si>
  <si>
    <t>Detached House (Omakotitalo) — Okt + yksiö + kaksio + lisätilat — 289 m² — Liperin kirkonkylä Liperi</t>
  </si>
  <si>
    <t>Ratavallinkaari 38 Virasoja Imatra</t>
  </si>
  <si>
    <t>Ratavallinkaari 38</t>
  </si>
  <si>
    <t>Virasoja Imatra</t>
  </si>
  <si>
    <t>3794</t>
  </si>
  <si>
    <t>Lahden Habita | ART-Tuote Oy</t>
  </si>
  <si>
    <t>Virasoja</t>
  </si>
  <si>
    <t>2275265</t>
  </si>
  <si>
    <t>https://d3ls91xgksobn.cloudfront.net/400x300/etuovimedia/images/property/import/253/2608253/0e76b9541118d347871c0e0e51d244c4/8d47b6a10997c6ddb9e656b491c6a736/ORIGINAL.jpeg</t>
  </si>
  <si>
    <t>https://d3ls91xgksobn.cloudfront.net/1200x900/etuovimedia/images/property/import/253/2608253/0e76b9541118d347871c0e0e51d244c4/8d47b6a10997c6ddb9e656b491c6a736/ORIGINAL.jpeg</t>
  </si>
  <si>
    <t>2608253</t>
  </si>
  <si>
    <t>https://www.etuovi.com/kohde/2275265</t>
  </si>
  <si>
    <t>19 500 €</t>
  </si>
  <si>
    <t>Myydään yksiö rivitalohuoneisto Imatralla!</t>
  </si>
  <si>
    <t>2026-06-10T14:05:03.108Z</t>
  </si>
  <si>
    <t>Row House (Rivitalo) — Myydään yksiö rivitalohuoneisto Imatralla! — 37.5 m² — Virasoja Imatra</t>
  </si>
  <si>
    <t>Heinäkedontie 1 Sarvvik Kirkkonummi</t>
  </si>
  <si>
    <t>Heinäkedontie 1</t>
  </si>
  <si>
    <t>Sarvvik Kirkkonummi</t>
  </si>
  <si>
    <t>Sarvvik</t>
  </si>
  <si>
    <t>40587308</t>
  </si>
  <si>
    <t>https://d3ls91xgksobn.cloudfront.net/400x300/etuovimedia/images/property/import/949/2560949/0e76b9541118d347871c0e0e51d244c4/50c187de2618ac20aaabd47796a29779/ORIGINAL.jpeg</t>
  </si>
  <si>
    <t>https://d3ls91xgksobn.cloudfront.net/1200x900/etuovimedia/images/property/import/949/2560949/0e76b9541118d347871c0e0e51d244c4/50c187de2618ac20aaabd47796a29779/ORIGINAL.jpeg</t>
  </si>
  <si>
    <t>2560949</t>
  </si>
  <si>
    <t>https://www.etuovi.com/kohde/40587308</t>
  </si>
  <si>
    <t>178 700 €</t>
  </si>
  <si>
    <t>2h + kt + parvi + parveke</t>
  </si>
  <si>
    <t>2026-06-10T14:05:03.124Z</t>
  </si>
  <si>
    <t>Apartment (Kerrostalo) — 2h + kt + parvi + parveke — 37.5 m² — Sarvvik Kirkkonummi</t>
  </si>
  <si>
    <t>Nihtisillankuja 2 A 42 Leppävaara Espoo</t>
  </si>
  <si>
    <t>Nihtisillankuja 2 A 42</t>
  </si>
  <si>
    <t>69125379</t>
  </si>
  <si>
    <t>https://d3ls91xgksobn.cloudfront.net/400x300/etuovimedia/images/property/import/646/2528646/0e76b9541118d347871c0e0e51d244c4/146b8fb9eb2ef7846eb31649216a606a/ORIGINAL.jpeg</t>
  </si>
  <si>
    <t>https://d3ls91xgksobn.cloudfront.net/1200x900/etuovimedia/images/property/import/646/2528646/0e76b9541118d347871c0e0e51d244c4/146b8fb9eb2ef7846eb31649216a606a/ORIGINAL.jpeg</t>
  </si>
  <si>
    <t>2528646</t>
  </si>
  <si>
    <t>https://www.etuovi.com/kohde/69125379</t>
  </si>
  <si>
    <t>239 206 €</t>
  </si>
  <si>
    <t>2H + KT + PARVI + PARVEKE</t>
  </si>
  <si>
    <t>2026-06-10T14:05:03.168Z</t>
  </si>
  <si>
    <t>Apartment (Kerrostalo) — 2H + KT + PARVI + PARVEKE — 49 m² — Leppävaara Espoo</t>
  </si>
  <si>
    <t>Nihtisillankuja 2 A 48 Leppävaara Espoo</t>
  </si>
  <si>
    <t>Nihtisillankuja 2 A 48</t>
  </si>
  <si>
    <t>34933841</t>
  </si>
  <si>
    <t>https://d3ls91xgksobn.cloudfront.net/400x300/etuovimedia/images/property/import/248/2557248/0e76b9541118d347871c0e0e51d244c4/56ab12f7cdb0a108912e8f9e2cb2062a/ORIGINAL.jpeg</t>
  </si>
  <si>
    <t>https://d3ls91xgksobn.cloudfront.net/1200x900/etuovimedia/images/property/import/248/2557248/0e76b9541118d347871c0e0e51d244c4/56ab12f7cdb0a108912e8f9e2cb2062a/ORIGINAL.jpeg</t>
  </si>
  <si>
    <t>2557248</t>
  </si>
  <si>
    <t>https://www.etuovi.com/kohde/34933841</t>
  </si>
  <si>
    <t>148 700 €</t>
  </si>
  <si>
    <t>1H + KT + PARVI + PARVEKE</t>
  </si>
  <si>
    <t>2026-06-10T14:05:03.276Z</t>
  </si>
  <si>
    <t>Apartment (Kerrostalo) — 1H + KT + PARVI + PARVEKE — 30.5 m² — Leppävaara Espoo</t>
  </si>
  <si>
    <t>Nihtisillankuja 2 A 34 Leppävaara Espoo</t>
  </si>
  <si>
    <t>Nihtisillankuja 2 A 34</t>
  </si>
  <si>
    <t>58399738</t>
  </si>
  <si>
    <t>https://d3ls91xgksobn.cloudfront.net/400x300/etuovimedia/images/property/import/281/2594281/0e76b9541118d347871c0e0e51d244c4/9fe9bb5aa5cf25d702423212cc37f288/ORIGINAL.jpeg</t>
  </si>
  <si>
    <t>https://d3ls91xgksobn.cloudfront.net/1200x900/etuovimedia/images/property/import/281/2594281/0e76b9541118d347871c0e0e51d244c4/9fe9bb5aa5cf25d702423212cc37f288/ORIGINAL.jpeg</t>
  </si>
  <si>
    <t>2594281</t>
  </si>
  <si>
    <t>https://www.etuovi.com/kohde/58399738</t>
  </si>
  <si>
    <t>2026-05-29</t>
  </si>
  <si>
    <t>2026-06-10T14:05:03.297Z</t>
  </si>
  <si>
    <t>Apartment (Kerrostalo) — 3h + kt + s + parveke — 50 m² — Leppävaara Espoo</t>
  </si>
  <si>
    <t>Nihtisillankuja 2 A 37 Leppävaara Espoo</t>
  </si>
  <si>
    <t>Nihtisillankuja 2 A 37</t>
  </si>
  <si>
    <t>66241159</t>
  </si>
  <si>
    <t>https://d3ls91xgksobn.cloudfront.net/400x300/etuovimedia/images/property/import/252/2594252/0e76b9541118d347871c0e0e51d244c4/eec7fcf483e6aac23964f2b6384c5646/ORIGINAL.jpeg</t>
  </si>
  <si>
    <t>https://d3ls91xgksobn.cloudfront.net/1200x900/etuovimedia/images/property/import/252/2594252/0e76b9541118d347871c0e0e51d244c4/eec7fcf483e6aac23964f2b6384c5646/ORIGINAL.jpeg</t>
  </si>
  <si>
    <t>2594252</t>
  </si>
  <si>
    <t>https://www.etuovi.com/kohde/66241159</t>
  </si>
  <si>
    <t>3h + kt + vh + s + parveke</t>
  </si>
  <si>
    <t>2026-06-10T14:05:03.378Z</t>
  </si>
  <si>
    <t>Apartment (Kerrostalo) — 3h + kt + vh + s + parveke — 57.5 m² — Leppävaara Espoo</t>
  </si>
  <si>
    <t>Kuortaneentie 1961 Lakaluoma Lapua</t>
  </si>
  <si>
    <t>Kuortaneentie 1961</t>
  </si>
  <si>
    <t>Lakaluoma Lapua</t>
  </si>
  <si>
    <t>2990</t>
  </si>
  <si>
    <t>Huoneistokeskus Lapua</t>
  </si>
  <si>
    <t>Lakaluoma</t>
  </si>
  <si>
    <t>80512247</t>
  </si>
  <si>
    <t>https://d3ls91xgksobn.cloudfront.net/400x300/etuovimedia/images/property/import/240/2608240/0e76b9541118d347871c0e0e51d244c4/bae56ac00f65fcc7b7f756d571277434/ORIGINAL.jpeg</t>
  </si>
  <si>
    <t>https://d3ls91xgksobn.cloudfront.net/1200x900/etuovimedia/images/property/import/240/2608240/0e76b9541118d347871c0e0e51d244c4/bae56ac00f65fcc7b7f756d571277434/ORIGINAL.jpeg</t>
  </si>
  <si>
    <t>2608240</t>
  </si>
  <si>
    <t>https://www.etuovi.com/kohde/80512247</t>
  </si>
  <si>
    <t>4h, k, psh</t>
  </si>
  <si>
    <t>2026-06-10T14:05:03.399Z</t>
  </si>
  <si>
    <t>Detached House (Omakotitalo) — 4h, k, psh — 70 m² — Lakaluoma Lapua</t>
  </si>
  <si>
    <t>Ikolantie 7 B Porokylä Nurmes</t>
  </si>
  <si>
    <t>Ikolantie 7 B</t>
  </si>
  <si>
    <t>Porokylä Nurmes</t>
  </si>
  <si>
    <t>4458</t>
  </si>
  <si>
    <t>Knoppi LKV Oy</t>
  </si>
  <si>
    <t>https://knoppilkv.fi/</t>
  </si>
  <si>
    <t>Porokylä</t>
  </si>
  <si>
    <t>80513202</t>
  </si>
  <si>
    <t>https://d3ls91xgksobn.cloudfront.net/400x300/etuovimedia/images/property/import/239/2608239/0e76b9541118d347871c0e0e51d244c4/98bfd0bec924ce580c2f2631bce35d0b/ORIGINAL.jpeg</t>
  </si>
  <si>
    <t>https://d3ls91xgksobn.cloudfront.net/1200x900/etuovimedia/images/property/import/239/2608239/0e76b9541118d347871c0e0e51d244c4/98bfd0bec924ce580c2f2631bce35d0b/ORIGINAL.jpeg</t>
  </si>
  <si>
    <t>2608239</t>
  </si>
  <si>
    <t>https://www.etuovi.com/kohde/80513202</t>
  </si>
  <si>
    <t>23 800 €</t>
  </si>
  <si>
    <t>1h, alk, kh, parveke</t>
  </si>
  <si>
    <t>2026-06-10T14:05:03.447Z</t>
  </si>
  <si>
    <t>Apartment (Kerrostalo) — 1h, alk, kh, parveke — 33 m² — Porokylä Nurmes</t>
  </si>
  <si>
    <t>Jokiniityntie 16 A 15 keskusta Kirkkonummi</t>
  </si>
  <si>
    <t>Jokiniityntie 16 A 15</t>
  </si>
  <si>
    <t>keskusta Kirkkonummi</t>
  </si>
  <si>
    <t>62993599</t>
  </si>
  <si>
    <t>https://d3ls91xgksobn.cloudfront.net/400x300/etuovimedia/images/property/import/734/2547734/0e76b9541118d347871c0e0e51d244c4/2c04d210995296e429da5ff7a62cfe7f/ORIGINAL.jpeg</t>
  </si>
  <si>
    <t>https://d3ls91xgksobn.cloudfront.net/1200x900/etuovimedia/images/property/import/734/2547734/0e76b9541118d347871c0e0e51d244c4/2c04d210995296e429da5ff7a62cfe7f/ORIGINAL.jpeg</t>
  </si>
  <si>
    <t>2547734</t>
  </si>
  <si>
    <t>https://www.etuovi.com/kohde/62993599</t>
  </si>
  <si>
    <t>2026-04-21</t>
  </si>
  <si>
    <t>2h, kt, s, vh, kph, parveke</t>
  </si>
  <si>
    <t>2026-06-10T14:05:03.469Z</t>
  </si>
  <si>
    <t>Apartment (Kerrostalo) — 2h, kt, s, vh, kph, parveke — 37 m² — keskusta Kirkkonummi</t>
  </si>
  <si>
    <t>Santapellonkuja 6 E Kurttila, Brinkinmäki, Saunalahti Espoo</t>
  </si>
  <si>
    <t>Santapellonkuja 6 E</t>
  </si>
  <si>
    <t>Kurttila, Brinkinmäki, Saunalahti Espoo</t>
  </si>
  <si>
    <t>Solja Suutarinen</t>
  </si>
  <si>
    <t>Kurttila, Brinkinmäki, Saunalahti</t>
  </si>
  <si>
    <t>80512237</t>
  </si>
  <si>
    <t>https://d3ls91xgksobn.cloudfront.net/400x300/etuovimedia/images/property/import/238/2608238/0e76b9541118d347871c0e0e51d244c4/2df495ee5503426123e7cdb7d9bd43fc/ORIGINAL.jpeg</t>
  </si>
  <si>
    <t>https://d3ls91xgksobn.cloudfront.net/1200x900/etuovimedia/images/property/import/238/2608238/0e76b9541118d347871c0e0e51d244c4/2df495ee5503426123e7cdb7d9bd43fc/ORIGINAL.jpeg</t>
  </si>
  <si>
    <t>https://d3ls91xgksobn.cloudfront.net/1200x900/etuovimedia/images/property/import/238/2608238/0e76b9541118d347871c0e0e51d244c4/23b5b4655f7503e7e1868ab76f3558d5/ORIGINAL.jpeg</t>
  </si>
  <si>
    <t>https://d3ls91xgksobn.cloudfront.net/1200x900/etuovimedia/images/property/import/238/2608238/0e76b9541118d347871c0e0e51d244c4/e301be65b3ffbdab57ed77764fbd9e09/ORIGINAL.jpeg</t>
  </si>
  <si>
    <t>2608238</t>
  </si>
  <si>
    <t>https://www.etuovi.com/kohde/80512237</t>
  </si>
  <si>
    <t>363 000 €</t>
  </si>
  <si>
    <t>3h + k + kph + wc / khh + s + p + terassi</t>
  </si>
  <si>
    <t>2026-06-10T14:05:03.551Z</t>
  </si>
  <si>
    <t>Row House (Rivitalo) — 3h + k + kph + wc / khh + s + p + terassi — 75 m² — Kurttila, Brinkinmäki, Saunalahti Espoo</t>
  </si>
  <si>
    <t>Kontiotie 32 A Leppäkorpi Vantaa</t>
  </si>
  <si>
    <t>Kontiotie 32 A</t>
  </si>
  <si>
    <t>Leppäkorpi Vantaa</t>
  </si>
  <si>
    <t>Leppäkorpi</t>
  </si>
  <si>
    <t>80513374</t>
  </si>
  <si>
    <t>https://d3ls91xgksobn.cloudfront.net/400x300/etuovimedia/images/property/import/237/2608237/0e76b9541118d347871c0e0e51d244c4/730468e56ed23d681a58fdb8c55aa901/ORIGINAL.jpeg</t>
  </si>
  <si>
    <t>https://d3ls91xgksobn.cloudfront.net/1200x900/etuovimedia/images/property/import/237/2608237/0e76b9541118d347871c0e0e51d244c4/730468e56ed23d681a58fdb8c55aa901/ORIGINAL.jpeg</t>
  </si>
  <si>
    <t>2608237</t>
  </si>
  <si>
    <t>https://www.etuovi.com/kohde/80513374</t>
  </si>
  <si>
    <t>143 000 €</t>
  </si>
  <si>
    <t>2h, k, kph, s, wc, piha</t>
  </si>
  <si>
    <t>2026-06-10T14:05:03.651Z</t>
  </si>
  <si>
    <t>Row House (Rivitalo) — 2h, k, kph, s, wc, piha — 53.5 m² — Leppäkorpi Vantaa</t>
  </si>
  <si>
    <t>Jokiniityntie 16 A 12 Keskusta Kirkkonummi</t>
  </si>
  <si>
    <t>Jokiniityntie 16 A 12</t>
  </si>
  <si>
    <t>Keskusta Kirkkonummi</t>
  </si>
  <si>
    <t>60355290</t>
  </si>
  <si>
    <t>https://d3ls91xgksobn.cloudfront.net/400x300/etuovimedia/images/property/import/557/2594557/0e76b9541118d347871c0e0e51d244c4/45f5462d5942872c01d9a05cf4811f62/ORIGINAL.jpeg</t>
  </si>
  <si>
    <t>https://d3ls91xgksobn.cloudfront.net/1200x900/etuovimedia/images/property/import/557/2594557/0e76b9541118d347871c0e0e51d244c4/45f5462d5942872c01d9a05cf4811f62/ORIGINAL.jpeg</t>
  </si>
  <si>
    <t>2594557</t>
  </si>
  <si>
    <t>https://www.etuovi.com/kohde/60355290</t>
  </si>
  <si>
    <t>239 922 €</t>
  </si>
  <si>
    <t>2026-06-10T14:05:03.668Z</t>
  </si>
  <si>
    <t>Apartment (Kerrostalo) — 3h + kt + s + parveke — 54 m² — Keskusta Kirkkonummi</t>
  </si>
  <si>
    <t>Tiesmäenkuja 2 Hiidenranta Vihti</t>
  </si>
  <si>
    <t>Tiesmäenkuja 2</t>
  </si>
  <si>
    <t>Hiidenranta Vihti</t>
  </si>
  <si>
    <t>Hiidenranta</t>
  </si>
  <si>
    <t>80512650</t>
  </si>
  <si>
    <t>https://d3ls91xgksobn.cloudfront.net/400x300/etuovimedia/images/property/import/236/2608236/0e76b9541118d347871c0e0e51d244c4/c93086bb282123f750f75ae8fd102232/ORIGINAL.jpeg</t>
  </si>
  <si>
    <t>https://d3ls91xgksobn.cloudfront.net/1200x900/etuovimedia/images/property/import/236/2608236/0e76b9541118d347871c0e0e51d244c4/c93086bb282123f750f75ae8fd102232/ORIGINAL.jpeg</t>
  </si>
  <si>
    <t>2608236</t>
  </si>
  <si>
    <t>https://www.etuovi.com/kohde/80512650</t>
  </si>
  <si>
    <t>2026-06-10T14:05:03.687Z</t>
  </si>
  <si>
    <t>Row House (Rivitalo) — 2h + k + s — 53 m² — Hiidenranta Vihti</t>
  </si>
  <si>
    <t>Jokiniityntie 16 A 36 Keskusta Kirkkonummi</t>
  </si>
  <si>
    <t>Jokiniityntie 16 A 36</t>
  </si>
  <si>
    <t>43051989</t>
  </si>
  <si>
    <t>https://d3ls91xgksobn.cloudfront.net/400x300/etuovimedia/images/property/import/560/2594560/0e76b9541118d347871c0e0e51d244c4/dbe514c2d2b6ba1494922f5aed46577b/ORIGINAL.jpeg</t>
  </si>
  <si>
    <t>https://d3ls91xgksobn.cloudfront.net/1200x900/etuovimedia/images/property/import/560/2594560/0e76b9541118d347871c0e0e51d244c4/dbe514c2d2b6ba1494922f5aed46577b/ORIGINAL.jpeg</t>
  </si>
  <si>
    <t>2594560</t>
  </si>
  <si>
    <t>https://www.etuovi.com/kohde/43051989</t>
  </si>
  <si>
    <t>189 800 €</t>
  </si>
  <si>
    <t>1h + kt + yläkerta + parveke + LOFT!</t>
  </si>
  <si>
    <t>2026-06-10T14:05:03.774Z</t>
  </si>
  <si>
    <t>Apartment (Kerrostalo) — 1h + kt + yläkerta + parveke + LOFT! — 49 m² — Keskusta Kirkkonummi</t>
  </si>
  <si>
    <t>Kivimäentie 217 Kivimäki, Parkkiaro Forssa</t>
  </si>
  <si>
    <t>Kivimäentie 217</t>
  </si>
  <si>
    <t>Kivimäki, Parkkiaro Forssa</t>
  </si>
  <si>
    <t>1469</t>
  </si>
  <si>
    <t>Unelma-Asunnot LKV</t>
  </si>
  <si>
    <t>Kivimäki, Parkkiaro</t>
  </si>
  <si>
    <t>20816810</t>
  </si>
  <si>
    <t>https://d3ls91xgksobn.cloudfront.net/400x300/etuovimedia/images/property/import/235/2608235/0e76b9541118d347871c0e0e51d244c4/bd49a8b45c740b7373f741a1f992cb46/ORIGINAL.jpeg</t>
  </si>
  <si>
    <t>https://d3ls91xgksobn.cloudfront.net/1200x900/etuovimedia/images/property/import/235/2608235/0e76b9541118d347871c0e0e51d244c4/bd49a8b45c740b7373f741a1f992cb46/ORIGINAL.jpeg</t>
  </si>
  <si>
    <t>2608235</t>
  </si>
  <si>
    <t>https://www.etuovi.com/kohde/20816810</t>
  </si>
  <si>
    <t>6h, k, kph, s, kellari</t>
  </si>
  <si>
    <t>2026-06-10T14:05:03.846Z</t>
  </si>
  <si>
    <t>Detached House (Omakotitalo) — 6h, k, kph, s, kellari — 121 m² — Kivimäki, Parkkiaro Forssa</t>
  </si>
  <si>
    <t>Jokiniityntie 16 A 40 Keskusta Kirkkonummi</t>
  </si>
  <si>
    <t>Jokiniityntie 16 A 40</t>
  </si>
  <si>
    <t>46748049</t>
  </si>
  <si>
    <t>https://d3ls91xgksobn.cloudfront.net/400x300/etuovimedia/images/property/import/996/2471996/0e76b9541118d347871c0e0e51d244c4/3b07e70f6dec4b343ccd257e68ec78c0/ORIGINAL.jpeg</t>
  </si>
  <si>
    <t>https://d3ls91xgksobn.cloudfront.net/1200x900/etuovimedia/images/property/import/996/2471996/0e76b9541118d347871c0e0e51d244c4/3b07e70f6dec4b343ccd257e68ec78c0/ORIGINAL.jpeg</t>
  </si>
  <si>
    <t>2471996</t>
  </si>
  <si>
    <t>https://www.etuovi.com/kohde/46748049</t>
  </si>
  <si>
    <t>384 911,9 €</t>
  </si>
  <si>
    <t>3h + kt + s + wc + yläkerta + 2x parveke + LOFT!</t>
  </si>
  <si>
    <t>2026-06-10T14:05:03.871Z</t>
  </si>
  <si>
    <t>Apartment (Kerrostalo) — 3h + kt + s + wc + yläkerta + 2x parveke + LOFT! — 99 m² — Keskusta Kirkkonummi</t>
  </si>
  <si>
    <t>Jokiniityntie 16 A 41 Keskusta Kirkkonummi</t>
  </si>
  <si>
    <t>Jokiniityntie 16 A 41</t>
  </si>
  <si>
    <t>65900871</t>
  </si>
  <si>
    <t>https://d3ls91xgksobn.cloudfront.net/400x300/etuovimedia/images/property/import/654/2601654/0e76b9541118d347871c0e0e51d244c4/211a1a5e8f26425048fd9e96a97c3e41/ORIGINAL.jpeg</t>
  </si>
  <si>
    <t>https://d3ls91xgksobn.cloudfront.net/1200x900/etuovimedia/images/property/import/654/2601654/0e76b9541118d347871c0e0e51d244c4/211a1a5e8f26425048fd9e96a97c3e41/ORIGINAL.jpeg</t>
  </si>
  <si>
    <t>2601654</t>
  </si>
  <si>
    <t>https://www.etuovi.com/kohde/65900871</t>
  </si>
  <si>
    <t>344 924 €</t>
  </si>
  <si>
    <t>2026-06-03</t>
  </si>
  <si>
    <t>4h + kt + s + wc + terassi + LOFT!</t>
  </si>
  <si>
    <t>2026-06-10T14:05:03.892Z</t>
  </si>
  <si>
    <t>Apartment (Kerrostalo) — 4h + kt + s + wc + terassi + LOFT! — 83 m² — Keskusta Kirkkonummi</t>
  </si>
  <si>
    <t>Alppijääkärintie 13 Petäjäkangas Kuusamo</t>
  </si>
  <si>
    <t>Alppijääkärintie 13</t>
  </si>
  <si>
    <t>Petäjäkangas Kuusamo</t>
  </si>
  <si>
    <t>Petäjäkangas</t>
  </si>
  <si>
    <t>20017029</t>
  </si>
  <si>
    <t>https://d3ls91xgksobn.cloudfront.net/400x300/etuovimedia/images/property/import/234/2608234/0e76b9541118d347871c0e0e51d244c4/fdcdb00846fb1c082af3291203396db7/ORIGINAL.jpeg</t>
  </si>
  <si>
    <t>https://d3ls91xgksobn.cloudfront.net/1200x900/etuovimedia/images/property/import/234/2608234/0e76b9541118d347871c0e0e51d244c4/fdcdb00846fb1c082af3291203396db7/ORIGINAL.jpeg</t>
  </si>
  <si>
    <t>2608234</t>
  </si>
  <si>
    <t>https://www.etuovi.com/kohde/20017029</t>
  </si>
  <si>
    <t>5h + khh + k + s</t>
  </si>
  <si>
    <t>2026-06-10T14:05:05.749Z</t>
  </si>
  <si>
    <t>Detached House (Omakotitalo) — 5h + khh + k + s — 136 m² — Petäjäkangas Kuusamo</t>
  </si>
  <si>
    <t>Rantaharjuntie 6 Pontus Lappeenranta</t>
  </si>
  <si>
    <t>Rantaharjuntie 6</t>
  </si>
  <si>
    <t>Pontus Lappeenranta</t>
  </si>
  <si>
    <t>1619</t>
  </si>
  <si>
    <t>Sp-Koti Lappeenranta | JR Marketing Oy</t>
  </si>
  <si>
    <t>Katriina Varho</t>
  </si>
  <si>
    <t>Pontus</t>
  </si>
  <si>
    <t>80432178</t>
  </si>
  <si>
    <t>https://d3ls91xgksobn.cloudfront.net/400x300/etuovimedia/images/property/import/15/2239015/0e76b9541118d347871c0e0e51d244c4/67dd9998ab3641160a83a9879ff281a3/ORIGINAL.jpeg</t>
  </si>
  <si>
    <t>https://d3ls91xgksobn.cloudfront.net/1200x900/etuovimedia/images/property/import/15/2239015/0e76b9541118d347871c0e0e51d244c4/67dd9998ab3641160a83a9879ff281a3/ORIGINAL.jpeg</t>
  </si>
  <si>
    <t>https://d3ls91xgksobn.cloudfront.net/1200x900/etuovimedia/images/property/import/15/2239015/0e76b9541118d347871c0e0e51d244c4/f77b661e347ea4e7019f9c9e6d6fac7a/ORIGINAL.jpeg</t>
  </si>
  <si>
    <t>https://d3ls91xgksobn.cloudfront.net/1200x900/etuovimedia/images/property/import/15/2239015/0e76b9541118d347871c0e0e51d244c4/61ced940ce54e5df18a2462d0af7300f/ORIGINAL.jpeg</t>
  </si>
  <si>
    <t>2239015</t>
  </si>
  <si>
    <t>https://www.etuovi.com/kohde/80432178</t>
  </si>
  <si>
    <t>4h + k + s + 2wc</t>
  </si>
  <si>
    <t>2026-06-10T14:05:05.780Z</t>
  </si>
  <si>
    <t>Detached House (Omakotitalo) — 4h + k + s + 2wc — 95 m² — Pontus Lappeenranta</t>
  </si>
  <si>
    <t>Pispalan valtatie 20 Pispala Tampere</t>
  </si>
  <si>
    <t>Pispalan valtatie 20</t>
  </si>
  <si>
    <t>Pispala Tampere</t>
  </si>
  <si>
    <t>1910</t>
  </si>
  <si>
    <t>Pispala</t>
  </si>
  <si>
    <t>68614805</t>
  </si>
  <si>
    <t>https://d3ls91xgksobn.cloudfront.net/400x300/etuovimedia/images/property/import/226/2608226/0e76b9541118d347871c0e0e51d244c4/0a6080a025f29293cea3a22c066e0131/ORIGINAL.jpeg</t>
  </si>
  <si>
    <t>https://d3ls91xgksobn.cloudfront.net/1200x900/etuovimedia/images/property/import/226/2608226/0e76b9541118d347871c0e0e51d244c4/0a6080a025f29293cea3a22c066e0131/ORIGINAL.jpeg</t>
  </si>
  <si>
    <t>2608226</t>
  </si>
  <si>
    <t>https://www.etuovi.com/kohde/68614805</t>
  </si>
  <si>
    <t>4h, ruokailutila, k, khh, wc / kph, kph, s, wc, ullakkohuone, pukuh.</t>
  </si>
  <si>
    <t>2026-06-10T14:05:05.833Z</t>
  </si>
  <si>
    <t>Detached House (Omakotitalo) — 4h, ruokailutila, k, khh, wc / kph, kph, s, wc, ullakkohuone, pukuh. — 162 m² — Pispala Tampere</t>
  </si>
  <si>
    <t>Kattilakoskentie 6 as 2 Kauhajoki</t>
  </si>
  <si>
    <t>Kattilakoskentie 6 as 2</t>
  </si>
  <si>
    <t>925</t>
  </si>
  <si>
    <t>Suupohjan Kiinteistökeskus LKV</t>
  </si>
  <si>
    <t>36260853</t>
  </si>
  <si>
    <t>https://d3ls91xgksobn.cloudfront.net/400x300/etuovimedia/images/property/import/379/2412379/0e76b9541118d347871c0e0e51d244c4/094775a0965b24f9dcda87c8fb7ab0aa/ORIGINAL.jpeg</t>
  </si>
  <si>
    <t>https://d3ls91xgksobn.cloudfront.net/1200x900/etuovimedia/images/property/import/379/2412379/0e76b9541118d347871c0e0e51d244c4/094775a0965b24f9dcda87c8fb7ab0aa/ORIGINAL.jpeg</t>
  </si>
  <si>
    <t>2412379</t>
  </si>
  <si>
    <t>https://www.etuovi.com/kohde/36260853</t>
  </si>
  <si>
    <t>2025-12-03</t>
  </si>
  <si>
    <t>2h, k, kph, s</t>
  </si>
  <si>
    <t>2026-06-10T14:05:05.903Z</t>
  </si>
  <si>
    <t>Row House (Rivitalo) — 2h, k, kph, s — 47 m² — Kauhajoki</t>
  </si>
  <si>
    <t>Kauppiaankatu 1 B 7 Kontiomäki Paltamo</t>
  </si>
  <si>
    <t>Kauppiaankatu 1 B 7</t>
  </si>
  <si>
    <t>Kontiomäki Paltamo</t>
  </si>
  <si>
    <t>Kontiomäki</t>
  </si>
  <si>
    <t>fs2767</t>
  </si>
  <si>
    <t>https://d3ls91xgksobn.cloudfront.net/400x300/etuovimedia/images/property/import/224/2608224/0e76b9541118d347871c0e0e51d244c4/759caa6370b278ee340897a7c5d06371/ORIGINAL.jpeg</t>
  </si>
  <si>
    <t>https://d3ls91xgksobn.cloudfront.net/1200x900/etuovimedia/images/property/import/224/2608224/0e76b9541118d347871c0e0e51d244c4/759caa6370b278ee340897a7c5d06371/ORIGINAL.jpeg</t>
  </si>
  <si>
    <t>2608224</t>
  </si>
  <si>
    <t>https://www.etuovi.com/kohde/fs2767</t>
  </si>
  <si>
    <t>Jouko Meriläinen</t>
  </si>
  <si>
    <t>2026-06-10T14:05:05.921Z</t>
  </si>
  <si>
    <t>Row House (Rivitalo) — 3h + k + s — 83 m² — Kontiomäki Paltamo</t>
  </si>
  <si>
    <t>Soidinkatu 5-7 Lehtikangas Kajaani</t>
  </si>
  <si>
    <t>Soidinkatu 5-7</t>
  </si>
  <si>
    <t>Lehtikangas Kajaani</t>
  </si>
  <si>
    <t>3618</t>
  </si>
  <si>
    <t>Kiinteistömaailma Kajaani | Sotkamon Kodit Oy</t>
  </si>
  <si>
    <t>Isa Kihlström</t>
  </si>
  <si>
    <t>Lehtikangas</t>
  </si>
  <si>
    <t>55367328</t>
  </si>
  <si>
    <t>https://d3ls91xgksobn.cloudfront.net/400x300/etuovimedia/images/property/import/221/2608221/0e76b9541118d347871c0e0e51d244c4/4a1c75528826f4de52510b04f7c0632b/ORIGINAL.jpeg</t>
  </si>
  <si>
    <t>https://d3ls91xgksobn.cloudfront.net/1200x900/etuovimedia/images/property/import/221/2608221/0e76b9541118d347871c0e0e51d244c4/4a1c75528826f4de52510b04f7c0632b/ORIGINAL.jpeg</t>
  </si>
  <si>
    <t>https://d3ls91xgksobn.cloudfront.net/1200x900/etuovimedia/images/property/import/221/2608221/0e76b9541118d347871c0e0e51d244c4/5298d72fd1426d0de59ab777c7cff1e9/ORIGINAL.jpeg</t>
  </si>
  <si>
    <t>2608221</t>
  </si>
  <si>
    <t>https://www.etuovi.com/kohde/55367328</t>
  </si>
  <si>
    <t>4h, k</t>
  </si>
  <si>
    <t>2026-06-10T14:05:05.937Z</t>
  </si>
  <si>
    <t>Apartment (Kerrostalo) — 4h, k — 91 m² — Lehtikangas Kajaani</t>
  </si>
  <si>
    <t>Trillakatu 3 Kilo Espoo</t>
  </si>
  <si>
    <t>Trillakatu 3</t>
  </si>
  <si>
    <t>fs2763</t>
  </si>
  <si>
    <t>https://d3ls91xgksobn.cloudfront.net/400x300/etuovimedia/images/property/import/220/2608220/0e76b9541118d347871c0e0e51d244c4/8c241445db16eb20aa7e15e3b982d647/ORIGINAL.jpeg</t>
  </si>
  <si>
    <t>https://d3ls91xgksobn.cloudfront.net/1200x900/etuovimedia/images/property/import/220/2608220/0e76b9541118d347871c0e0e51d244c4/8c241445db16eb20aa7e15e3b982d647/ORIGINAL.jpeg</t>
  </si>
  <si>
    <t>2608220</t>
  </si>
  <si>
    <t>https://www.etuovi.com/kohde/fs2763</t>
  </si>
  <si>
    <t>33 418,42 €</t>
  </si>
  <si>
    <t>2026-06-10T14:05:05.969Z</t>
  </si>
  <si>
    <t>Apartment (Kerrostalo) — 3H + K + S — 63.5 m² — Kilo Espoo</t>
  </si>
  <si>
    <t>Suvanne 2 ja 4 Suutarila Helsinki</t>
  </si>
  <si>
    <t>Suvanne 2 ja 4</t>
  </si>
  <si>
    <t>fs2762</t>
  </si>
  <si>
    <t>https://d3ls91xgksobn.cloudfront.net/400x300/etuovimedia/images/property/import/219/2608219/0e76b9541118d347871c0e0e51d244c4/cf0fcc79b4ee3522596e521301504423/ORIGINAL.jpeg</t>
  </si>
  <si>
    <t>https://d3ls91xgksobn.cloudfront.net/1200x900/etuovimedia/images/property/import/219/2608219/0e76b9541118d347871c0e0e51d244c4/cf0fcc79b4ee3522596e521301504423/ORIGINAL.jpeg</t>
  </si>
  <si>
    <t>2608219</t>
  </si>
  <si>
    <t>https://www.etuovi.com/kohde/fs2762</t>
  </si>
  <si>
    <t>18 360,03 €</t>
  </si>
  <si>
    <t>2026-06-10T14:05:06.074Z</t>
  </si>
  <si>
    <t>Semi-detached (Paritalo) — 2H + KK + S — 51 m² — Suutarila Helsinki</t>
  </si>
  <si>
    <t>Rasinmäenkatu 11 Jynkkä Kuopio</t>
  </si>
  <si>
    <t>Rasinmäenkatu 11</t>
  </si>
  <si>
    <t>Jynkkä Kuopio</t>
  </si>
  <si>
    <t>Jynkkä</t>
  </si>
  <si>
    <t>21388160</t>
  </si>
  <si>
    <t>https://d3ls91xgksobn.cloudfront.net/400x300/etuovimedia/images/property/import/218/2608218/0e76b9541118d347871c0e0e51d244c4/888a978ef24c6c6d9eef1b4378dd89cf/ORIGINAL.jpeg</t>
  </si>
  <si>
    <t>https://d3ls91xgksobn.cloudfront.net/1200x900/etuovimedia/images/property/import/218/2608218/0e76b9541118d347871c0e0e51d244c4/888a978ef24c6c6d9eef1b4378dd89cf/ORIGINAL.jpeg</t>
  </si>
  <si>
    <t>2608218</t>
  </si>
  <si>
    <t>https://www.etuovi.com/kohde/21388160</t>
  </si>
  <si>
    <t>118 500 €</t>
  </si>
  <si>
    <t>2 h, avok, kph, s, wc, vh, parveke</t>
  </si>
  <si>
    <t>2026-06-10T14:05:06.093Z</t>
  </si>
  <si>
    <t>Row House (Rivitalo) — 2 h, avok, kph, s, wc, vh, parveke — 66.2 m² — Jynkkä Kuopio</t>
  </si>
  <si>
    <t>Satulamaakarintie 1 Vanttila Espoo</t>
  </si>
  <si>
    <t>Satulamaakarintie 1</t>
  </si>
  <si>
    <t>Vanttila Espoo</t>
  </si>
  <si>
    <t>3802</t>
  </si>
  <si>
    <t>Asuntopehtoori Oy LKV, Helsinki</t>
  </si>
  <si>
    <t>Vanttila</t>
  </si>
  <si>
    <t>53057423</t>
  </si>
  <si>
    <t>https://d3ls91xgksobn.cloudfront.net/400x300/etuovimedia/images/property/import/217/2608217/0e76b9541118d347871c0e0e51d244c4/e3be5da67c695657dbbd824f7a974b11/ORIGINAL.jpeg</t>
  </si>
  <si>
    <t>https://d3ls91xgksobn.cloudfront.net/1200x900/etuovimedia/images/property/import/217/2608217/0e76b9541118d347871c0e0e51d244c4/e3be5da67c695657dbbd824f7a974b11/ORIGINAL.jpeg</t>
  </si>
  <si>
    <t>2608217</t>
  </si>
  <si>
    <t>https://www.etuovi.com/kohde/53057423</t>
  </si>
  <si>
    <t>2h + k + kph + s + lasitettu parveke</t>
  </si>
  <si>
    <t>2026-06-10T14:05:06.172Z</t>
  </si>
  <si>
    <t>Apartment (Kerrostalo) — 2h + k + kph + s + lasitettu parveke — 49.5 m² — Vanttila Espoo</t>
  </si>
  <si>
    <t>Naavakalliontie 1 E Tapiola Espoo</t>
  </si>
  <si>
    <t>Naavakalliontie 1 E</t>
  </si>
  <si>
    <t>616134</t>
  </si>
  <si>
    <t>https://d3ls91xgksobn.cloudfront.net/400x300/etuovimedia/images/property/import/648/2533648/0e76b9541118d347871c0e0e51d244c4/4312632d314e8ca16f7c94cc56744d0a/ORIGINAL.jpeg</t>
  </si>
  <si>
    <t>https://d3ls91xgksobn.cloudfront.net/1200x900/etuovimedia/images/property/import/648/2533648/0e76b9541118d347871c0e0e51d244c4/4312632d314e8ca16f7c94cc56744d0a/ORIGINAL.jpeg</t>
  </si>
  <si>
    <t>https://d3ls91xgksobn.cloudfront.net/1200x900/etuovimedia/images/property/import/648/2533648/0e76b9541118d347871c0e0e51d244c4/7cb1d1c0b5060ea8653262e58286ed39/ORIGINAL.jpeg</t>
  </si>
  <si>
    <t>2533648</t>
  </si>
  <si>
    <t>https://www.etuovi.com/kohde/616134</t>
  </si>
  <si>
    <t>2026-04-08</t>
  </si>
  <si>
    <t>2h, k, kph, parveke (yj. 2h + k)</t>
  </si>
  <si>
    <t>2026-06-10T14:05:06.199Z</t>
  </si>
  <si>
    <t>Apartment (Kerrostalo) — 2h, k, kph, parveke (yj. 2h + k) — 54.4 m² — Tapiola Espoo</t>
  </si>
  <si>
    <t>Vuorikatu 7b Itäinen keskusta Turku</t>
  </si>
  <si>
    <t>Vuorikatu 7b</t>
  </si>
  <si>
    <t>Itäinen keskusta Turku</t>
  </si>
  <si>
    <t>Maunula Maija</t>
  </si>
  <si>
    <t>Itäinen keskusta</t>
  </si>
  <si>
    <t>20372402</t>
  </si>
  <si>
    <t>https://d3ls91xgksobn.cloudfront.net/400x300/etuovimedia/images/property/import/213/2608213/0e76b9541118d347871c0e0e51d244c4/a5d99e791ded83df89232ad9f759c10c/ORIGINAL.jpeg</t>
  </si>
  <si>
    <t>https://d3ls91xgksobn.cloudfront.net/1200x900/etuovimedia/images/property/import/213/2608213/0e76b9541118d347871c0e0e51d244c4/a5d99e791ded83df89232ad9f759c10c/ORIGINAL.jpeg</t>
  </si>
  <si>
    <t>https://d3ls91xgksobn.cloudfront.net/1200x900/etuovimedia/images/property/import/213/2608213/0e76b9541118d347871c0e0e51d244c4/5728fbaf98e1a7ef6dd04e84dead6464/ORIGINAL.jpeg</t>
  </si>
  <si>
    <t>https://d3ls91xgksobn.cloudfront.net/1200x900/etuovimedia/images/property/import/213/2608213/0e76b9541118d347871c0e0e51d244c4/bd217598a6a769f09c2f1be4527a3636/ORIGINAL.jpeg</t>
  </si>
  <si>
    <t>2608213</t>
  </si>
  <si>
    <t>https://www.etuovi.com/kohde/20372402</t>
  </si>
  <si>
    <t>(Yj)1 h + kk)</t>
  </si>
  <si>
    <t>2026-06-10T14:05:06.221Z</t>
  </si>
  <si>
    <t>Apartment (Kerrostalo) — (Yj)1 h + kk) — 28 m² — Itäinen keskusta Turku</t>
  </si>
  <si>
    <t>Koskenmäentie 5 A Hyrylä Tuusula</t>
  </si>
  <si>
    <t>Koskenmäentie 5 A</t>
  </si>
  <si>
    <t>Anna Huttunen</t>
  </si>
  <si>
    <t>614647</t>
  </si>
  <si>
    <t>https://d3ls91xgksobn.cloudfront.net/400x300/etuovimedia/images/property/import/177/2534177/0e76b9541118d347871c0e0e51d244c4/3f37a2949e9cf1942d67e114cf16176c/ORIGINAL.jpeg</t>
  </si>
  <si>
    <t>https://d3ls91xgksobn.cloudfront.net/1200x900/etuovimedia/images/property/import/177/2534177/0e76b9541118d347871c0e0e51d244c4/3f37a2949e9cf1942d67e114cf16176c/ORIGINAL.jpeg</t>
  </si>
  <si>
    <t>https://d3ls91xgksobn.cloudfront.net/1200x900/etuovimedia/images/property/import/177/2534177/0e76b9541118d347871c0e0e51d244c4/a58e829d8184ef2aca74e92b416b9c27/ORIGINAL.jpeg</t>
  </si>
  <si>
    <t>https://d3ls91xgksobn.cloudfront.net/1200x900/etuovimedia/images/property/import/177/2534177/0e76b9541118d347871c0e0e51d244c4/07d829fc88dedfc6268df1ad8c70fce3/ORIGINAL.jpeg</t>
  </si>
  <si>
    <t>2534177</t>
  </si>
  <si>
    <t>https://www.etuovi.com/kohde/614647</t>
  </si>
  <si>
    <t>2026-06-10T14:05:06.251Z</t>
  </si>
  <si>
    <t>Apartment (Kerrostalo) — 4h + k — 93 m² — Hyrylä Tuusula</t>
  </si>
  <si>
    <t>Saukonpaadenranta 14 Länsisatama Helsinki</t>
  </si>
  <si>
    <t>Saukonpaadenranta 14</t>
  </si>
  <si>
    <t>Länsisatama Helsinki</t>
  </si>
  <si>
    <t>3560</t>
  </si>
  <si>
    <t>Kiinteistömaailma Helsinki Kamppi | Sydänkoti Real Estate Kamppi Oy</t>
  </si>
  <si>
    <t>Länsisatama</t>
  </si>
  <si>
    <t>41899360</t>
  </si>
  <si>
    <t>https://d3ls91xgksobn.cloudfront.net/400x300/etuovimedia/images/property/import/211/2608211/0e76b9541118d347871c0e0e51d244c4/3a681ae29a6c868dc7e0ffb8e6b43d80/ORIGINAL.jpeg</t>
  </si>
  <si>
    <t>https://d3ls91xgksobn.cloudfront.net/1200x900/etuovimedia/images/property/import/211/2608211/0e76b9541118d347871c0e0e51d244c4/3a681ae29a6c868dc7e0ffb8e6b43d80/ORIGINAL.jpeg</t>
  </si>
  <si>
    <t>2608211</t>
  </si>
  <si>
    <t>https://www.etuovi.com/kohde/41899360</t>
  </si>
  <si>
    <t>2h, avok, kph, lasitettu p, vh</t>
  </si>
  <si>
    <t>2026-06-10T14:05:06.266Z</t>
  </si>
  <si>
    <t>Apartment (Kerrostalo) — 2h, avok, kph, lasitettu p, vh — 37 m² — Länsisatama Helsinki</t>
  </si>
  <si>
    <t>Kyrölänkatu 5 A Hörölä, Kivimaa Lahti</t>
  </si>
  <si>
    <t>Kyrölänkatu 5 A</t>
  </si>
  <si>
    <t>Hörölä, Kivimaa Lahti</t>
  </si>
  <si>
    <t>Vesa Salokanne</t>
  </si>
  <si>
    <t>Hörölä, Kivimaa</t>
  </si>
  <si>
    <t>80510429</t>
  </si>
  <si>
    <t>https://d3ls91xgksobn.cloudfront.net/400x300/etuovimedia/images/property/import/209/2608209/0e76b9541118d347871c0e0e51d244c4/8c24079881822946a8c7e8832da0829f/ORIGINAL.jpeg</t>
  </si>
  <si>
    <t>https://d3ls91xgksobn.cloudfront.net/1200x900/etuovimedia/images/property/import/209/2608209/0e76b9541118d347871c0e0e51d244c4/8c24079881822946a8c7e8832da0829f/ORIGINAL.jpeg</t>
  </si>
  <si>
    <t>https://d3ls91xgksobn.cloudfront.net/1200x900/etuovimedia/images/property/import/209/2608209/0e76b9541118d347871c0e0e51d244c4/320f6c1df797b4e53195c76df0ed61f7/ORIGINAL.jpeg</t>
  </si>
  <si>
    <t>https://d3ls91xgksobn.cloudfront.net/1200x900/etuovimedia/images/property/import/209/2608209/0e76b9541118d347871c0e0e51d244c4/9bf7ca956db7efd3b2d2d73a05c03bb2/ORIGINAL.jpeg</t>
  </si>
  <si>
    <t>2608209</t>
  </si>
  <si>
    <t>https://www.etuovi.com/kohde/80510429</t>
  </si>
  <si>
    <t>2h + k + kh + parv.</t>
  </si>
  <si>
    <t>2026-06-10T14:05:06.281Z</t>
  </si>
  <si>
    <t>Apartment (Kerrostalo) — 2h + k + kh + parv. — 54 m² — Hörölä, Kivimaa Lahti</t>
  </si>
  <si>
    <t>Lotankatu 4 B Painiitty Espoo</t>
  </si>
  <si>
    <t>Lotankatu 4 B</t>
  </si>
  <si>
    <t>Painiitty Espoo</t>
  </si>
  <si>
    <t>Painiitty</t>
  </si>
  <si>
    <t>611595</t>
  </si>
  <si>
    <t>https://d3ls91xgksobn.cloudfront.net/400x300/etuovimedia/images/property/import/137/2437137/0e76b9541118d347871c0e0e51d244c4/128504fbcc5c416b7d92b009750c5dd6/ORIGINAL.jpeg</t>
  </si>
  <si>
    <t>https://d3ls91xgksobn.cloudfront.net/1200x900/etuovimedia/images/property/import/137/2437137/0e76b9541118d347871c0e0e51d244c4/128504fbcc5c416b7d92b009750c5dd6/ORIGINAL.jpeg</t>
  </si>
  <si>
    <t>https://d3ls91xgksobn.cloudfront.net/1200x900/etuovimedia/images/property/import/137/2437137/0e76b9541118d347871c0e0e51d244c4/a7bddc897829472c00082c88225f071d/ORIGINAL.jpeg</t>
  </si>
  <si>
    <t>2437137</t>
  </si>
  <si>
    <t>https://www.etuovi.com/kohde/611595</t>
  </si>
  <si>
    <t>2026-01-05</t>
  </si>
  <si>
    <t>3H + K + S + lasitettu- ja avoterassi.</t>
  </si>
  <si>
    <t>2026-06-10T14:05:06.404Z</t>
  </si>
  <si>
    <t>Apartment (Kerrostalo) — 3H + K + S + lasitettu- ja avoterassi. — 70 m² — Painiitty Espoo</t>
  </si>
  <si>
    <t>Lumpperinmäki 1 Kirkonkylä Nurmijärvi</t>
  </si>
  <si>
    <t>Lumpperinmäki 1</t>
  </si>
  <si>
    <t>Kirkonkylä Nurmijärvi</t>
  </si>
  <si>
    <t>4596</t>
  </si>
  <si>
    <t>Tupa ja Villa LKV Oy</t>
  </si>
  <si>
    <t>https://tupajavilla.fi/</t>
  </si>
  <si>
    <t>63782281</t>
  </si>
  <si>
    <t>https://d3ls91xgksobn.cloudfront.net/400x300/etuovimedia/images/property/import/205/2608205/0e76b9541118d347871c0e0e51d244c4/0bdd5acf2f7c3d63c76fd121ac3e94fc/ORIGINAL.jpeg</t>
  </si>
  <si>
    <t>https://d3ls91xgksobn.cloudfront.net/1200x900/etuovimedia/images/property/import/205/2608205/0e76b9541118d347871c0e0e51d244c4/0bdd5acf2f7c3d63c76fd121ac3e94fc/ORIGINAL.jpeg</t>
  </si>
  <si>
    <t>2608205</t>
  </si>
  <si>
    <t>https://www.etuovi.com/kohde/63782281</t>
  </si>
  <si>
    <t>5h, rt, k, 2 x wc, kph, s, at, varastotilaa</t>
  </si>
  <si>
    <t>2026-06-10T14:05:06.495Z</t>
  </si>
  <si>
    <t>Detached House (Omakotitalo) — 5h, rt, k, 2 x wc, kph, s, at, varastotilaa — 180 m² — Kirkonkylä Nurmijärvi</t>
  </si>
  <si>
    <t>Soraharjuntie 20 C Mellunkylä Helsinki</t>
  </si>
  <si>
    <t>Soraharjuntie 20 C</t>
  </si>
  <si>
    <t>ek6986</t>
  </si>
  <si>
    <t>https://d3ls91xgksobn.cloudfront.net/400x300/etuovimedia/images/property/import/990/2496990/0e76b9541118d347871c0e0e51d244c4/63efbb1485132574ca3e3314ff3734c0/ORIGINAL.jpeg</t>
  </si>
  <si>
    <t>https://d3ls91xgksobn.cloudfront.net/1200x900/etuovimedia/images/property/import/990/2496990/0e76b9541118d347871c0e0e51d244c4/63efbb1485132574ca3e3314ff3734c0/ORIGINAL.jpeg</t>
  </si>
  <si>
    <t>2496990</t>
  </si>
  <si>
    <t>https://www.etuovi.com/kohde/ek6986</t>
  </si>
  <si>
    <t>57 410,69 €</t>
  </si>
  <si>
    <t>2026-06-10T14:05:06.515Z</t>
  </si>
  <si>
    <t>Row House (Rivitalo) — 3h + kt + s — 84 m² — Mellunkylä Helsinki</t>
  </si>
  <si>
    <t>Rääkkölänpolku 2 Ranta-Koivisto Kangasala</t>
  </si>
  <si>
    <t>Rääkkölänpolku 2</t>
  </si>
  <si>
    <t>Ranta-Koivisto Kangasala</t>
  </si>
  <si>
    <t>1064</t>
  </si>
  <si>
    <t>Kiinteistömaailma Kangasala | Kangasalan Kodit Oy</t>
  </si>
  <si>
    <t>Ranta-Koivisto</t>
  </si>
  <si>
    <t>46325305</t>
  </si>
  <si>
    <t>https://d3ls91xgksobn.cloudfront.net/400x300/etuovimedia/images/property/import/202/2608202/0e76b9541118d347871c0e0e51d244c4/b9c666c799ac43dfa2a0951df2528e1d/ORIGINAL.jpeg</t>
  </si>
  <si>
    <t>https://d3ls91xgksobn.cloudfront.net/1200x900/etuovimedia/images/property/import/202/2608202/0e76b9541118d347871c0e0e51d244c4/b9c666c799ac43dfa2a0951df2528e1d/ORIGINAL.jpeg</t>
  </si>
  <si>
    <t>2608202</t>
  </si>
  <si>
    <t>https://www.etuovi.com/kohde/46325305</t>
  </si>
  <si>
    <t>4 mh, oh, avok., 2 eril. wc, khh, 2 kph, s, ask.t., var., at</t>
  </si>
  <si>
    <t>2026-06-10T14:05:06.558Z</t>
  </si>
  <si>
    <t>Detached House (Omakotitalo) — 4 mh, oh, avok., 2 eril. wc, khh, 2 kph, s, ask.t., var., at — 166 m² — Ranta-Koivisto Kangasala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</si>
</sst>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tuovi.com/kohde/215796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03"/>
  <sheetViews>
    <sheetView tabSelected="1" topLeftCell="A689" workbookViewId="0">
      <selection activeCell="A690" sqref="A690"/>
    </sheetView>
  </sheetViews>
  <sheetFormatPr defaultColWidth="31.109375" defaultRowHeight="14.4" x14ac:dyDescent="0.3"/>
  <cols>
    <col min="34" max="34" width="31.109375" style="3"/>
    <col min="40" max="40" width="31.109375" style="1"/>
  </cols>
  <sheetData>
    <row r="1" spans="1:4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336</v>
      </c>
      <c r="AJ1" s="2" t="s">
        <v>335</v>
      </c>
      <c r="AK1" s="2" t="s">
        <v>338</v>
      </c>
      <c r="AL1" s="2" t="s">
        <v>337</v>
      </c>
      <c r="AM1" s="2" t="s">
        <v>339</v>
      </c>
      <c r="AN1" s="2" t="s">
        <v>325</v>
      </c>
    </row>
    <row r="2" spans="1:40" x14ac:dyDescent="0.3">
      <c r="A2" t="s">
        <v>6237</v>
      </c>
      <c r="B2" t="s">
        <v>6238</v>
      </c>
      <c r="C2" t="s">
        <v>6239</v>
      </c>
      <c r="D2" t="s">
        <v>178</v>
      </c>
      <c r="E2" t="s">
        <v>179</v>
      </c>
      <c r="F2" t="s">
        <v>180</v>
      </c>
      <c r="H2">
        <v>82.5</v>
      </c>
      <c r="I2" t="s">
        <v>125</v>
      </c>
      <c r="J2" t="s">
        <v>362</v>
      </c>
      <c r="K2" t="s">
        <v>6240</v>
      </c>
      <c r="L2" t="s">
        <v>6241</v>
      </c>
      <c r="M2" t="s">
        <v>37</v>
      </c>
      <c r="N2" t="s">
        <v>6242</v>
      </c>
      <c r="O2" t="s">
        <v>6243</v>
      </c>
      <c r="R2" t="s">
        <v>37</v>
      </c>
      <c r="S2" t="s">
        <v>37</v>
      </c>
      <c r="T2">
        <v>61.470199999999998</v>
      </c>
      <c r="U2" t="s">
        <v>6244</v>
      </c>
      <c r="V2" t="s">
        <v>6245</v>
      </c>
      <c r="W2">
        <v>24.0108</v>
      </c>
      <c r="X2">
        <v>41378.85</v>
      </c>
      <c r="Y2" t="s">
        <v>6246</v>
      </c>
      <c r="AA2" t="s">
        <v>38</v>
      </c>
      <c r="AB2" t="s">
        <v>39</v>
      </c>
      <c r="AC2" t="s">
        <v>480</v>
      </c>
      <c r="AD2" t="s">
        <v>75</v>
      </c>
      <c r="AE2" t="s">
        <v>141</v>
      </c>
      <c r="AF2" t="s">
        <v>6247</v>
      </c>
      <c r="AG2" t="s">
        <v>6248</v>
      </c>
      <c r="AH2"/>
      <c r="AI2" s="2" t="str">
        <f t="shared" ref="AI2:AI65" si="0">IF(AE2="", "no info", IF(OR(ISNUMBER(SEARCH("kt", AE2)), ISNUMBER(SEARCH("avokeittiö", AE2))), "Open", IF(ISNUMBER(SEARCH("kk", AE2)), "Kitchenette", "Independent")))</f>
        <v>Open</v>
      </c>
      <c r="AJ2" s="2" t="str">
        <f t="shared" ref="AJ2:AJ65" si="1">IF(AE2="", "no info", IF(OR(ISNUMBER(SEARCH(" s ", AE2)), ISNUMBER(SEARCH("sauna", AE2)), ISNUMBER(SEARCH("+ s", AE2))), "YES", "NO"))</f>
        <v>YES</v>
      </c>
      <c r="AK2" s="1" t="str">
        <f t="shared" ref="AK2:AK65" si="2">IF(AE2="", "no info", IF(OR(ISNUMBER(SEARCH("las.p", AE2)), ISNUMBER(SEARCH("lasitettu", AE2))), "Glazed Balcony", IF(OR(ISNUMBER(SEARCH(" p ", AE2)), ISNUMBER(SEARCH("parveke", AE2))), "Standard Balcony", IF(OR(ISNUMBER(SEARCH("terassi", AE2)), ISNUMBER(SEARCH("kuisti", AE2))), "Terrace", "None"))))</f>
        <v>None</v>
      </c>
      <c r="AL2" s="1" t="str">
        <f t="shared" ref="AL2:AL65" si="3">IF(AE2="", "no info", IF(OR(ISNUMBER(SEARCH("2wc", AE2)), ISNUMBER(SEARCH("2xwc", AE2))), "2 Toilets", "1 Toilet"))</f>
        <v>1 Toilet</v>
      </c>
      <c r="AM2" s="1" t="str">
        <f t="shared" ref="AM2:AM65" si="4">IF(AE2="", "no info", IF(OR(ISNUMBER(SEARCH("vh", AE2)), ISNUMBER(SEARCH("var", AE2))), "YES", "NO"))</f>
        <v>NO</v>
      </c>
      <c r="AN2" s="1" t="str">
        <f>VLOOKUP(J2, 'Regions and Cities'!A:B, 2, FALSE)</f>
        <v>Pirkanmaa</v>
      </c>
    </row>
    <row r="3" spans="1:40" x14ac:dyDescent="0.3">
      <c r="A3" t="s">
        <v>7987</v>
      </c>
      <c r="B3" t="s">
        <v>7988</v>
      </c>
      <c r="C3" t="s">
        <v>5948</v>
      </c>
      <c r="D3" t="s">
        <v>7989</v>
      </c>
      <c r="E3" t="s">
        <v>7990</v>
      </c>
      <c r="F3" t="s">
        <v>105</v>
      </c>
      <c r="H3">
        <v>45</v>
      </c>
      <c r="I3" t="s">
        <v>296</v>
      </c>
      <c r="J3" t="s">
        <v>126</v>
      </c>
      <c r="K3" t="s">
        <v>5952</v>
      </c>
      <c r="L3" t="s">
        <v>7991</v>
      </c>
      <c r="M3" t="s">
        <v>37</v>
      </c>
      <c r="N3" t="s">
        <v>7992</v>
      </c>
      <c r="O3" t="s">
        <v>7993</v>
      </c>
      <c r="R3" t="s">
        <v>37</v>
      </c>
      <c r="S3" t="s">
        <v>37</v>
      </c>
      <c r="T3">
        <v>60.155130999999997</v>
      </c>
      <c r="U3" t="s">
        <v>7994</v>
      </c>
      <c r="V3" t="s">
        <v>7995</v>
      </c>
      <c r="W3">
        <v>24.746499</v>
      </c>
      <c r="X3">
        <v>149000</v>
      </c>
      <c r="Y3" t="s">
        <v>261</v>
      </c>
      <c r="AA3" t="s">
        <v>38</v>
      </c>
      <c r="AB3" t="s">
        <v>39</v>
      </c>
      <c r="AC3" t="s">
        <v>6510</v>
      </c>
      <c r="AD3" t="s">
        <v>40</v>
      </c>
      <c r="AE3" t="s">
        <v>7996</v>
      </c>
      <c r="AF3" t="s">
        <v>7997</v>
      </c>
      <c r="AG3" t="s">
        <v>7998</v>
      </c>
      <c r="AH3">
        <v>45</v>
      </c>
      <c r="AI3" s="2" t="str">
        <f t="shared" si="0"/>
        <v>Kitchenette</v>
      </c>
      <c r="AJ3" s="2" t="str">
        <f t="shared" si="1"/>
        <v>NO</v>
      </c>
      <c r="AK3" s="1" t="str">
        <f t="shared" si="2"/>
        <v>None</v>
      </c>
      <c r="AL3" s="1" t="str">
        <f t="shared" si="3"/>
        <v>1 Toilet</v>
      </c>
      <c r="AM3" s="1" t="str">
        <f t="shared" si="4"/>
        <v>NO</v>
      </c>
      <c r="AN3" s="1" t="str">
        <f>VLOOKUP(J3, 'Regions and Cities'!A:B, 2, FALSE)</f>
        <v>Uusimaa</v>
      </c>
    </row>
    <row r="4" spans="1:40" x14ac:dyDescent="0.3">
      <c r="A4" t="s">
        <v>1027</v>
      </c>
      <c r="B4" t="s">
        <v>1028</v>
      </c>
      <c r="C4" t="s">
        <v>1029</v>
      </c>
      <c r="D4" t="s">
        <v>1030</v>
      </c>
      <c r="E4" t="s">
        <v>1031</v>
      </c>
      <c r="F4" t="s">
        <v>1032</v>
      </c>
      <c r="G4" t="s">
        <v>1033</v>
      </c>
      <c r="H4">
        <v>195</v>
      </c>
      <c r="I4" t="s">
        <v>909</v>
      </c>
      <c r="J4" t="s">
        <v>354</v>
      </c>
      <c r="K4" t="s">
        <v>1034</v>
      </c>
      <c r="L4" t="s">
        <v>1035</v>
      </c>
      <c r="M4" t="s">
        <v>37</v>
      </c>
      <c r="N4" t="s">
        <v>1036</v>
      </c>
      <c r="O4" t="s">
        <v>1037</v>
      </c>
      <c r="P4" t="s">
        <v>1038</v>
      </c>
      <c r="R4" t="s">
        <v>37</v>
      </c>
      <c r="S4" t="s">
        <v>37</v>
      </c>
      <c r="T4">
        <v>60.749549999999999</v>
      </c>
      <c r="U4" t="s">
        <v>1039</v>
      </c>
      <c r="V4" t="s">
        <v>1040</v>
      </c>
      <c r="W4">
        <v>24.780108999999999</v>
      </c>
      <c r="X4">
        <v>229000</v>
      </c>
      <c r="Y4" t="s">
        <v>1041</v>
      </c>
      <c r="AA4" t="s">
        <v>63</v>
      </c>
      <c r="AB4" t="s">
        <v>39</v>
      </c>
      <c r="AC4" t="s">
        <v>480</v>
      </c>
      <c r="AD4" t="s">
        <v>55</v>
      </c>
      <c r="AE4" t="s">
        <v>1042</v>
      </c>
      <c r="AF4" t="s">
        <v>1043</v>
      </c>
      <c r="AG4" t="s">
        <v>1044</v>
      </c>
      <c r="AH4">
        <v>287</v>
      </c>
      <c r="AI4" s="2" t="str">
        <f t="shared" si="0"/>
        <v>Independent</v>
      </c>
      <c r="AJ4" s="2" t="str">
        <f t="shared" si="1"/>
        <v>NO</v>
      </c>
      <c r="AK4" s="1" t="str">
        <f t="shared" si="2"/>
        <v>Terrace</v>
      </c>
      <c r="AL4" s="1" t="str">
        <f t="shared" si="3"/>
        <v>1 Toilet</v>
      </c>
      <c r="AM4" s="1" t="str">
        <f t="shared" si="4"/>
        <v>NO</v>
      </c>
      <c r="AN4" s="1" t="str">
        <f>VLOOKUP(J4, 'Regions and Cities'!A:B, 2, FALSE)</f>
        <v>Kanta-Häme</v>
      </c>
    </row>
    <row r="5" spans="1:40" x14ac:dyDescent="0.3">
      <c r="A5" t="s">
        <v>716</v>
      </c>
      <c r="B5" t="s">
        <v>717</v>
      </c>
      <c r="C5" t="s">
        <v>718</v>
      </c>
      <c r="D5" t="s">
        <v>719</v>
      </c>
      <c r="E5" t="s">
        <v>720</v>
      </c>
      <c r="F5" t="s">
        <v>721</v>
      </c>
      <c r="H5">
        <v>130</v>
      </c>
      <c r="I5" t="s">
        <v>490</v>
      </c>
      <c r="J5" t="s">
        <v>60</v>
      </c>
      <c r="K5" t="s">
        <v>722</v>
      </c>
      <c r="L5" t="s">
        <v>723</v>
      </c>
      <c r="M5" t="s">
        <v>37</v>
      </c>
      <c r="N5" t="s">
        <v>724</v>
      </c>
      <c r="O5" t="s">
        <v>725</v>
      </c>
      <c r="R5" t="s">
        <v>37</v>
      </c>
      <c r="S5" t="s">
        <v>37</v>
      </c>
      <c r="T5">
        <v>61.072645000000001</v>
      </c>
      <c r="U5" t="s">
        <v>726</v>
      </c>
      <c r="V5" t="s">
        <v>727</v>
      </c>
      <c r="W5">
        <v>25.000999</v>
      </c>
      <c r="X5">
        <v>159000</v>
      </c>
      <c r="Y5" t="s">
        <v>83</v>
      </c>
      <c r="AA5" t="s">
        <v>63</v>
      </c>
      <c r="AB5" t="s">
        <v>39</v>
      </c>
      <c r="AC5" t="s">
        <v>480</v>
      </c>
      <c r="AD5" t="s">
        <v>55</v>
      </c>
      <c r="AE5" t="s">
        <v>728</v>
      </c>
      <c r="AF5" t="s">
        <v>729</v>
      </c>
      <c r="AG5" t="s">
        <v>730</v>
      </c>
      <c r="AH5">
        <v>175</v>
      </c>
      <c r="AI5" s="2" t="str">
        <f t="shared" si="0"/>
        <v>Kitchenette</v>
      </c>
      <c r="AJ5" s="2" t="str">
        <f t="shared" si="1"/>
        <v>YES</v>
      </c>
      <c r="AK5" s="1" t="str">
        <f t="shared" si="2"/>
        <v>None</v>
      </c>
      <c r="AL5" s="1" t="str">
        <f t="shared" si="3"/>
        <v>1 Toilet</v>
      </c>
      <c r="AM5" s="1" t="str">
        <f t="shared" si="4"/>
        <v>YES</v>
      </c>
      <c r="AN5" s="1" t="str">
        <f>VLOOKUP(J5, 'Regions and Cities'!A:B, 2, FALSE)</f>
        <v>Kanta-Häme</v>
      </c>
    </row>
    <row r="6" spans="1:40" x14ac:dyDescent="0.3">
      <c r="A6" t="s">
        <v>1380</v>
      </c>
      <c r="B6" t="s">
        <v>1381</v>
      </c>
      <c r="C6" t="s">
        <v>1382</v>
      </c>
      <c r="D6" t="s">
        <v>906</v>
      </c>
      <c r="E6" t="s">
        <v>907</v>
      </c>
      <c r="F6" t="s">
        <v>105</v>
      </c>
      <c r="G6" t="s">
        <v>1383</v>
      </c>
      <c r="H6">
        <v>128</v>
      </c>
      <c r="I6" t="s">
        <v>136</v>
      </c>
      <c r="J6" t="s">
        <v>350</v>
      </c>
      <c r="K6" t="s">
        <v>1384</v>
      </c>
      <c r="L6" t="s">
        <v>1385</v>
      </c>
      <c r="M6" t="s">
        <v>37</v>
      </c>
      <c r="N6" t="s">
        <v>1386</v>
      </c>
      <c r="O6" t="s">
        <v>1387</v>
      </c>
      <c r="P6" t="s">
        <v>1388</v>
      </c>
      <c r="R6" t="s">
        <v>37</v>
      </c>
      <c r="S6" t="s">
        <v>37</v>
      </c>
      <c r="T6">
        <v>62.625844999999998</v>
      </c>
      <c r="U6" t="s">
        <v>1389</v>
      </c>
      <c r="V6" t="s">
        <v>1390</v>
      </c>
      <c r="W6">
        <v>29.832985999999998</v>
      </c>
      <c r="X6">
        <v>249000</v>
      </c>
      <c r="Y6" t="s">
        <v>254</v>
      </c>
      <c r="AA6" t="s">
        <v>63</v>
      </c>
      <c r="AB6" t="s">
        <v>39</v>
      </c>
      <c r="AC6" t="s">
        <v>480</v>
      </c>
      <c r="AD6" t="s">
        <v>75</v>
      </c>
      <c r="AE6" t="s">
        <v>1391</v>
      </c>
      <c r="AF6" t="s">
        <v>1392</v>
      </c>
      <c r="AG6" t="s">
        <v>1393</v>
      </c>
      <c r="AH6">
        <v>163</v>
      </c>
      <c r="AI6" s="2" t="str">
        <f t="shared" si="0"/>
        <v>Independent</v>
      </c>
      <c r="AJ6" s="2" t="str">
        <f t="shared" si="1"/>
        <v>NO</v>
      </c>
      <c r="AK6" s="1" t="str">
        <f t="shared" si="2"/>
        <v>None</v>
      </c>
      <c r="AL6" s="1" t="str">
        <f t="shared" si="3"/>
        <v>1 Toilet</v>
      </c>
      <c r="AM6" s="1" t="str">
        <f t="shared" si="4"/>
        <v>NO</v>
      </c>
      <c r="AN6" s="1" t="str">
        <f>VLOOKUP(J6, 'Regions and Cities'!A:B, 2, FALSE)</f>
        <v>Pohjois-Karjala</v>
      </c>
    </row>
    <row r="7" spans="1:40" x14ac:dyDescent="0.3">
      <c r="A7" t="s">
        <v>8454</v>
      </c>
      <c r="B7" t="s">
        <v>8455</v>
      </c>
      <c r="C7" t="s">
        <v>8456</v>
      </c>
      <c r="D7" t="s">
        <v>2058</v>
      </c>
      <c r="E7" t="s">
        <v>2059</v>
      </c>
      <c r="F7" t="s">
        <v>79</v>
      </c>
      <c r="G7" t="s">
        <v>2060</v>
      </c>
      <c r="H7">
        <v>187</v>
      </c>
      <c r="I7" t="s">
        <v>252</v>
      </c>
      <c r="J7" t="s">
        <v>422</v>
      </c>
      <c r="K7" t="s">
        <v>8457</v>
      </c>
      <c r="L7" t="s">
        <v>8458</v>
      </c>
      <c r="M7" t="s">
        <v>37</v>
      </c>
      <c r="N7" t="s">
        <v>8459</v>
      </c>
      <c r="O7" t="s">
        <v>8460</v>
      </c>
      <c r="P7" t="s">
        <v>8461</v>
      </c>
      <c r="R7" t="s">
        <v>37</v>
      </c>
      <c r="S7" t="s">
        <v>37</v>
      </c>
      <c r="T7">
        <v>61.885362999999998</v>
      </c>
      <c r="U7" t="s">
        <v>8462</v>
      </c>
      <c r="V7" t="s">
        <v>8463</v>
      </c>
      <c r="W7">
        <v>28.801368</v>
      </c>
      <c r="X7">
        <v>65000</v>
      </c>
      <c r="Y7" t="s">
        <v>8464</v>
      </c>
      <c r="AA7" t="s">
        <v>54</v>
      </c>
      <c r="AB7" t="s">
        <v>39</v>
      </c>
      <c r="AC7" t="s">
        <v>6510</v>
      </c>
      <c r="AD7" t="s">
        <v>46</v>
      </c>
      <c r="AE7" t="s">
        <v>47</v>
      </c>
      <c r="AF7" t="s">
        <v>8465</v>
      </c>
      <c r="AG7" t="s">
        <v>8466</v>
      </c>
      <c r="AH7">
        <v>187</v>
      </c>
      <c r="AI7" s="2" t="str">
        <f t="shared" si="0"/>
        <v>Independent</v>
      </c>
      <c r="AJ7" s="2" t="str">
        <f t="shared" si="1"/>
        <v>NO</v>
      </c>
      <c r="AK7" s="1" t="str">
        <f t="shared" si="2"/>
        <v>None</v>
      </c>
      <c r="AL7" s="1" t="str">
        <f t="shared" si="3"/>
        <v>1 Toilet</v>
      </c>
      <c r="AM7" s="1" t="str">
        <f t="shared" si="4"/>
        <v>NO</v>
      </c>
      <c r="AN7" s="1" t="str">
        <f>VLOOKUP(J7, 'Regions and Cities'!A:B, 2, FALSE)</f>
        <v>Etelä-Savo</v>
      </c>
    </row>
    <row r="8" spans="1:40" x14ac:dyDescent="0.3">
      <c r="A8" t="s">
        <v>3047</v>
      </c>
      <c r="B8" t="s">
        <v>3048</v>
      </c>
      <c r="C8" t="s">
        <v>3049</v>
      </c>
      <c r="D8" t="s">
        <v>3050</v>
      </c>
      <c r="E8" t="s">
        <v>3051</v>
      </c>
      <c r="F8" t="s">
        <v>3052</v>
      </c>
      <c r="H8">
        <v>151</v>
      </c>
      <c r="I8" t="s">
        <v>3053</v>
      </c>
      <c r="J8" t="s">
        <v>445</v>
      </c>
      <c r="K8" t="s">
        <v>3054</v>
      </c>
      <c r="L8" t="s">
        <v>3055</v>
      </c>
      <c r="M8" t="s">
        <v>37</v>
      </c>
      <c r="N8" t="s">
        <v>3056</v>
      </c>
      <c r="O8" t="s">
        <v>3057</v>
      </c>
      <c r="R8" t="s">
        <v>37</v>
      </c>
      <c r="S8" t="s">
        <v>37</v>
      </c>
      <c r="T8">
        <v>63.584459000000003</v>
      </c>
      <c r="U8" t="s">
        <v>3058</v>
      </c>
      <c r="V8" t="s">
        <v>3059</v>
      </c>
      <c r="W8">
        <v>23.088830999999999</v>
      </c>
      <c r="X8">
        <v>85000</v>
      </c>
      <c r="Y8" t="s">
        <v>3060</v>
      </c>
      <c r="AA8" t="s">
        <v>63</v>
      </c>
      <c r="AB8" t="s">
        <v>39</v>
      </c>
      <c r="AC8" t="s">
        <v>480</v>
      </c>
      <c r="AD8" t="s">
        <v>64</v>
      </c>
      <c r="AE8" t="s">
        <v>3061</v>
      </c>
      <c r="AF8" t="s">
        <v>3062</v>
      </c>
      <c r="AG8" t="s">
        <v>3063</v>
      </c>
      <c r="AH8">
        <v>200</v>
      </c>
      <c r="AI8" s="2" t="str">
        <f t="shared" si="0"/>
        <v>Independent</v>
      </c>
      <c r="AJ8" s="2" t="str">
        <f t="shared" si="1"/>
        <v>NO</v>
      </c>
      <c r="AK8" s="1" t="str">
        <f t="shared" si="2"/>
        <v>None</v>
      </c>
      <c r="AL8" s="1" t="str">
        <f t="shared" si="3"/>
        <v>1 Toilet</v>
      </c>
      <c r="AM8" s="1" t="str">
        <f t="shared" si="4"/>
        <v>NO</v>
      </c>
      <c r="AN8" s="1" t="str">
        <f>VLOOKUP(J8, 'Regions and Cities'!A:B, 2, FALSE)</f>
        <v>Pohjanmaa</v>
      </c>
    </row>
    <row r="9" spans="1:40" x14ac:dyDescent="0.3">
      <c r="A9" t="s">
        <v>2464</v>
      </c>
      <c r="B9" t="s">
        <v>2465</v>
      </c>
      <c r="C9" t="s">
        <v>2466</v>
      </c>
      <c r="D9" t="s">
        <v>2467</v>
      </c>
      <c r="E9" t="s">
        <v>2468</v>
      </c>
      <c r="F9" t="s">
        <v>218</v>
      </c>
      <c r="H9">
        <v>110</v>
      </c>
      <c r="I9" t="s">
        <v>925</v>
      </c>
      <c r="J9" t="s">
        <v>381</v>
      </c>
      <c r="K9" t="s">
        <v>2469</v>
      </c>
      <c r="L9" t="s">
        <v>2470</v>
      </c>
      <c r="M9" t="s">
        <v>37</v>
      </c>
      <c r="N9" t="s">
        <v>2471</v>
      </c>
      <c r="O9" t="s">
        <v>2472</v>
      </c>
      <c r="R9" t="s">
        <v>37</v>
      </c>
      <c r="S9" t="s">
        <v>37</v>
      </c>
      <c r="T9">
        <v>60.498601999999998</v>
      </c>
      <c r="U9" t="s">
        <v>2473</v>
      </c>
      <c r="V9" t="s">
        <v>2474</v>
      </c>
      <c r="W9">
        <v>26.440601999999998</v>
      </c>
      <c r="X9">
        <v>59000</v>
      </c>
      <c r="Y9" t="s">
        <v>544</v>
      </c>
      <c r="AA9" t="s">
        <v>63</v>
      </c>
      <c r="AB9" t="s">
        <v>39</v>
      </c>
      <c r="AC9" t="s">
        <v>480</v>
      </c>
      <c r="AD9" t="s">
        <v>75</v>
      </c>
      <c r="AE9" t="s">
        <v>869</v>
      </c>
      <c r="AF9" t="s">
        <v>2475</v>
      </c>
      <c r="AG9" t="s">
        <v>2476</v>
      </c>
      <c r="AH9">
        <v>136</v>
      </c>
      <c r="AI9" s="2" t="str">
        <f t="shared" si="0"/>
        <v>Independent</v>
      </c>
      <c r="AJ9" s="2" t="str">
        <f t="shared" si="1"/>
        <v>YES</v>
      </c>
      <c r="AK9" s="1" t="str">
        <f t="shared" si="2"/>
        <v>None</v>
      </c>
      <c r="AL9" s="1" t="str">
        <f t="shared" si="3"/>
        <v>1 Toilet</v>
      </c>
      <c r="AM9" s="1" t="str">
        <f t="shared" si="4"/>
        <v>NO</v>
      </c>
      <c r="AN9" s="1" t="str">
        <f>VLOOKUP(J9, 'Regions and Cities'!A:B, 2, FALSE)</f>
        <v>Uusimaa</v>
      </c>
    </row>
    <row r="10" spans="1:40" x14ac:dyDescent="0.3">
      <c r="A10" t="s">
        <v>687</v>
      </c>
      <c r="B10" t="s">
        <v>688</v>
      </c>
      <c r="C10" t="s">
        <v>689</v>
      </c>
      <c r="D10" t="s">
        <v>690</v>
      </c>
      <c r="E10" t="s">
        <v>691</v>
      </c>
      <c r="H10">
        <v>112</v>
      </c>
      <c r="I10" t="s">
        <v>119</v>
      </c>
      <c r="J10" t="s">
        <v>265</v>
      </c>
      <c r="K10" t="s">
        <v>692</v>
      </c>
      <c r="L10" t="s">
        <v>693</v>
      </c>
      <c r="M10" t="s">
        <v>37</v>
      </c>
      <c r="N10" t="s">
        <v>694</v>
      </c>
      <c r="O10" t="s">
        <v>695</v>
      </c>
      <c r="R10" t="s">
        <v>37</v>
      </c>
      <c r="S10" t="s">
        <v>37</v>
      </c>
      <c r="T10">
        <v>65.044658999999996</v>
      </c>
      <c r="U10" t="s">
        <v>696</v>
      </c>
      <c r="V10" t="s">
        <v>697</v>
      </c>
      <c r="W10">
        <v>25.496587000000002</v>
      </c>
      <c r="X10">
        <v>155000</v>
      </c>
      <c r="Y10" t="s">
        <v>231</v>
      </c>
      <c r="AA10" t="s">
        <v>45</v>
      </c>
      <c r="AB10" t="s">
        <v>39</v>
      </c>
      <c r="AC10" t="s">
        <v>480</v>
      </c>
      <c r="AD10" t="s">
        <v>55</v>
      </c>
      <c r="AE10" t="s">
        <v>698</v>
      </c>
      <c r="AF10" t="s">
        <v>699</v>
      </c>
      <c r="AG10" t="s">
        <v>700</v>
      </c>
      <c r="AH10">
        <v>112</v>
      </c>
      <c r="AI10" s="2" t="str">
        <f t="shared" si="0"/>
        <v>Independent</v>
      </c>
      <c r="AJ10" s="2" t="str">
        <f t="shared" si="1"/>
        <v>YES</v>
      </c>
      <c r="AK10" s="1" t="str">
        <f t="shared" si="2"/>
        <v>None</v>
      </c>
      <c r="AL10" s="1" t="str">
        <f t="shared" si="3"/>
        <v>1 Toilet</v>
      </c>
      <c r="AM10" s="1" t="str">
        <f t="shared" si="4"/>
        <v>NO</v>
      </c>
      <c r="AN10" s="1" t="str">
        <f>VLOOKUP(J10, 'Regions and Cities'!A:B, 2, FALSE)</f>
        <v>Pohjois-Pohjanmaa</v>
      </c>
    </row>
    <row r="11" spans="1:40" x14ac:dyDescent="0.3">
      <c r="A11" t="s">
        <v>6911</v>
      </c>
      <c r="B11" t="s">
        <v>6912</v>
      </c>
      <c r="C11" t="s">
        <v>4540</v>
      </c>
      <c r="D11" t="s">
        <v>6860</v>
      </c>
      <c r="E11" t="s">
        <v>6861</v>
      </c>
      <c r="F11" t="s">
        <v>79</v>
      </c>
      <c r="G11" t="s">
        <v>6862</v>
      </c>
      <c r="H11">
        <v>85</v>
      </c>
      <c r="I11" t="s">
        <v>490</v>
      </c>
      <c r="J11" t="s">
        <v>73</v>
      </c>
      <c r="K11" t="s">
        <v>4541</v>
      </c>
      <c r="L11" t="s">
        <v>6913</v>
      </c>
      <c r="M11" t="s">
        <v>37</v>
      </c>
      <c r="N11" t="s">
        <v>6914</v>
      </c>
      <c r="O11" t="s">
        <v>6915</v>
      </c>
      <c r="P11" t="s">
        <v>6916</v>
      </c>
      <c r="R11" t="s">
        <v>37</v>
      </c>
      <c r="S11" t="s">
        <v>37</v>
      </c>
      <c r="T11">
        <v>62.248953999999998</v>
      </c>
      <c r="U11" t="s">
        <v>6917</v>
      </c>
      <c r="V11" t="s">
        <v>6918</v>
      </c>
      <c r="W11">
        <v>25.755734</v>
      </c>
      <c r="X11">
        <v>165000</v>
      </c>
      <c r="Y11" t="s">
        <v>44</v>
      </c>
      <c r="AA11" t="s">
        <v>38</v>
      </c>
      <c r="AB11" t="s">
        <v>39</v>
      </c>
      <c r="AC11" t="s">
        <v>6510</v>
      </c>
      <c r="AD11" t="s">
        <v>75</v>
      </c>
      <c r="AE11" t="s">
        <v>6919</v>
      </c>
      <c r="AF11" t="s">
        <v>6920</v>
      </c>
      <c r="AG11" t="s">
        <v>6921</v>
      </c>
      <c r="AH11">
        <v>85</v>
      </c>
      <c r="AI11" s="2" t="str">
        <f t="shared" si="0"/>
        <v>Independent</v>
      </c>
      <c r="AJ11" s="2" t="str">
        <f t="shared" si="1"/>
        <v>NO</v>
      </c>
      <c r="AK11" s="1" t="str">
        <f t="shared" si="2"/>
        <v>None</v>
      </c>
      <c r="AL11" s="1" t="str">
        <f t="shared" si="3"/>
        <v>1 Toilet</v>
      </c>
      <c r="AM11" s="1" t="str">
        <f t="shared" si="4"/>
        <v>NO</v>
      </c>
      <c r="AN11" s="1" t="str">
        <f>VLOOKUP(J11, 'Regions and Cities'!A:B, 2, FALSE)</f>
        <v>Keski-Suomi</v>
      </c>
    </row>
    <row r="12" spans="1:40" x14ac:dyDescent="0.3">
      <c r="A12" t="s">
        <v>7694</v>
      </c>
      <c r="B12" t="s">
        <v>7695</v>
      </c>
      <c r="C12" t="s">
        <v>7696</v>
      </c>
      <c r="D12" t="s">
        <v>1095</v>
      </c>
      <c r="E12" t="s">
        <v>1096</v>
      </c>
      <c r="F12" t="s">
        <v>105</v>
      </c>
      <c r="H12">
        <v>142</v>
      </c>
      <c r="I12" t="s">
        <v>136</v>
      </c>
      <c r="J12" t="s">
        <v>137</v>
      </c>
      <c r="K12" t="s">
        <v>7697</v>
      </c>
      <c r="L12" t="s">
        <v>7698</v>
      </c>
      <c r="M12" t="s">
        <v>37</v>
      </c>
      <c r="N12" t="s">
        <v>7699</v>
      </c>
      <c r="O12" t="s">
        <v>7700</v>
      </c>
      <c r="R12" t="s">
        <v>37</v>
      </c>
      <c r="S12" t="s">
        <v>37</v>
      </c>
      <c r="T12">
        <v>60.234647000000002</v>
      </c>
      <c r="U12" t="s">
        <v>7701</v>
      </c>
      <c r="V12" t="s">
        <v>7702</v>
      </c>
      <c r="W12">
        <v>24.845282000000001</v>
      </c>
      <c r="X12">
        <v>468000</v>
      </c>
      <c r="Y12" t="s">
        <v>7703</v>
      </c>
      <c r="AA12" t="s">
        <v>54</v>
      </c>
      <c r="AB12" t="s">
        <v>39</v>
      </c>
      <c r="AC12" t="s">
        <v>6510</v>
      </c>
      <c r="AD12" t="s">
        <v>55</v>
      </c>
      <c r="AE12" t="s">
        <v>7704</v>
      </c>
      <c r="AF12" t="s">
        <v>7705</v>
      </c>
      <c r="AG12" t="s">
        <v>7706</v>
      </c>
      <c r="AH12"/>
      <c r="AI12" s="2" t="str">
        <f t="shared" si="0"/>
        <v>Independent</v>
      </c>
      <c r="AJ12" s="2" t="str">
        <f t="shared" si="1"/>
        <v>NO</v>
      </c>
      <c r="AK12" s="1" t="str">
        <f t="shared" si="2"/>
        <v>None</v>
      </c>
      <c r="AL12" s="1" t="str">
        <f t="shared" si="3"/>
        <v>1 Toilet</v>
      </c>
      <c r="AM12" s="1" t="str">
        <f t="shared" si="4"/>
        <v>NO</v>
      </c>
      <c r="AN12" s="1" t="str">
        <f>VLOOKUP(J12, 'Regions and Cities'!A:B, 2, FALSE)</f>
        <v>Uusimaa</v>
      </c>
    </row>
    <row r="13" spans="1:40" x14ac:dyDescent="0.3">
      <c r="A13" t="s">
        <v>6887</v>
      </c>
      <c r="B13" t="s">
        <v>6888</v>
      </c>
      <c r="C13" t="s">
        <v>146</v>
      </c>
      <c r="D13" t="s">
        <v>35</v>
      </c>
      <c r="E13" t="s">
        <v>6889</v>
      </c>
      <c r="H13">
        <v>80</v>
      </c>
      <c r="I13" t="s">
        <v>272</v>
      </c>
      <c r="J13" t="s">
        <v>126</v>
      </c>
      <c r="K13" t="s">
        <v>148</v>
      </c>
      <c r="L13" t="s">
        <v>6890</v>
      </c>
      <c r="M13" t="s">
        <v>37</v>
      </c>
      <c r="N13" t="s">
        <v>6891</v>
      </c>
      <c r="O13" t="s">
        <v>6892</v>
      </c>
      <c r="R13" t="s">
        <v>37</v>
      </c>
      <c r="S13" t="s">
        <v>37</v>
      </c>
      <c r="T13">
        <v>60.230597000000003</v>
      </c>
      <c r="U13" t="s">
        <v>6893</v>
      </c>
      <c r="V13" t="s">
        <v>6894</v>
      </c>
      <c r="W13">
        <v>24.713927999999999</v>
      </c>
      <c r="X13">
        <v>259000</v>
      </c>
      <c r="Y13" t="s">
        <v>67</v>
      </c>
      <c r="AA13" t="s">
        <v>45</v>
      </c>
      <c r="AB13" t="s">
        <v>39</v>
      </c>
      <c r="AC13" t="s">
        <v>6510</v>
      </c>
      <c r="AD13" t="s">
        <v>46</v>
      </c>
      <c r="AE13" t="s">
        <v>6895</v>
      </c>
      <c r="AF13" t="s">
        <v>6896</v>
      </c>
      <c r="AG13" t="s">
        <v>6897</v>
      </c>
      <c r="AH13">
        <v>80</v>
      </c>
      <c r="AI13" s="2" t="str">
        <f t="shared" si="0"/>
        <v>Independent</v>
      </c>
      <c r="AJ13" s="2" t="str">
        <f t="shared" si="1"/>
        <v>YES</v>
      </c>
      <c r="AK13" s="1" t="str">
        <f t="shared" si="2"/>
        <v>None</v>
      </c>
      <c r="AL13" s="1" t="str">
        <f t="shared" si="3"/>
        <v>1 Toilet</v>
      </c>
      <c r="AM13" s="1" t="str">
        <f t="shared" si="4"/>
        <v>NO</v>
      </c>
      <c r="AN13" s="1" t="str">
        <f>VLOOKUP(J13, 'Regions and Cities'!A:B, 2, FALSE)</f>
        <v>Uusimaa</v>
      </c>
    </row>
    <row r="14" spans="1:40" x14ac:dyDescent="0.3">
      <c r="A14" t="s">
        <v>950</v>
      </c>
      <c r="B14" t="s">
        <v>951</v>
      </c>
      <c r="C14" t="s">
        <v>952</v>
      </c>
      <c r="D14" t="s">
        <v>953</v>
      </c>
      <c r="E14" t="s">
        <v>954</v>
      </c>
      <c r="F14" t="s">
        <v>58</v>
      </c>
      <c r="H14">
        <v>42</v>
      </c>
      <c r="I14" t="s">
        <v>296</v>
      </c>
      <c r="J14" t="s">
        <v>107</v>
      </c>
      <c r="K14" t="s">
        <v>955</v>
      </c>
      <c r="L14" t="s">
        <v>956</v>
      </c>
      <c r="M14" t="s">
        <v>37</v>
      </c>
      <c r="N14" t="s">
        <v>957</v>
      </c>
      <c r="O14" t="s">
        <v>958</v>
      </c>
      <c r="R14" t="s">
        <v>37</v>
      </c>
      <c r="S14" t="s">
        <v>37</v>
      </c>
      <c r="T14">
        <v>60.622129999999999</v>
      </c>
      <c r="U14" t="s">
        <v>959</v>
      </c>
      <c r="V14" t="s">
        <v>960</v>
      </c>
      <c r="W14">
        <v>24.84667</v>
      </c>
      <c r="X14">
        <v>58000</v>
      </c>
      <c r="Y14" t="s">
        <v>626</v>
      </c>
      <c r="AA14" t="s">
        <v>38</v>
      </c>
      <c r="AB14" t="s">
        <v>39</v>
      </c>
      <c r="AC14" t="s">
        <v>480</v>
      </c>
      <c r="AD14" t="s">
        <v>202</v>
      </c>
      <c r="AE14" t="s">
        <v>961</v>
      </c>
      <c r="AF14" t="s">
        <v>962</v>
      </c>
      <c r="AG14" t="s">
        <v>963</v>
      </c>
      <c r="AH14">
        <v>42</v>
      </c>
      <c r="AI14" s="2" t="str">
        <f t="shared" si="0"/>
        <v>Independent</v>
      </c>
      <c r="AJ14" s="2" t="str">
        <f t="shared" si="1"/>
        <v>NO</v>
      </c>
      <c r="AK14" s="1" t="str">
        <f t="shared" si="2"/>
        <v>None</v>
      </c>
      <c r="AL14" s="1" t="str">
        <f t="shared" si="3"/>
        <v>1 Toilet</v>
      </c>
      <c r="AM14" s="1" t="str">
        <f t="shared" si="4"/>
        <v>NO</v>
      </c>
      <c r="AN14" s="1" t="str">
        <f>VLOOKUP(J14, 'Regions and Cities'!A:B, 2, FALSE)</f>
        <v>Uusimaa</v>
      </c>
    </row>
    <row r="15" spans="1:40" x14ac:dyDescent="0.3">
      <c r="A15" t="s">
        <v>6545</v>
      </c>
      <c r="B15" t="s">
        <v>6546</v>
      </c>
      <c r="C15" t="s">
        <v>6547</v>
      </c>
      <c r="D15" t="s">
        <v>258</v>
      </c>
      <c r="E15" t="s">
        <v>259</v>
      </c>
      <c r="F15" t="s">
        <v>50</v>
      </c>
      <c r="G15" t="s">
        <v>6548</v>
      </c>
      <c r="H15">
        <v>54</v>
      </c>
      <c r="I15" t="s">
        <v>181</v>
      </c>
      <c r="J15" t="s">
        <v>171</v>
      </c>
      <c r="K15" t="s">
        <v>6549</v>
      </c>
      <c r="L15" t="s">
        <v>6550</v>
      </c>
      <c r="M15" t="s">
        <v>37</v>
      </c>
      <c r="N15" t="s">
        <v>6551</v>
      </c>
      <c r="O15" t="s">
        <v>6552</v>
      </c>
      <c r="P15" t="s">
        <v>6553</v>
      </c>
      <c r="R15" t="s">
        <v>37</v>
      </c>
      <c r="S15" t="s">
        <v>37</v>
      </c>
      <c r="T15">
        <v>60.501660000000001</v>
      </c>
      <c r="U15" t="s">
        <v>6554</v>
      </c>
      <c r="V15" t="s">
        <v>6555</v>
      </c>
      <c r="W15">
        <v>22.461259999999999</v>
      </c>
      <c r="X15">
        <v>179000</v>
      </c>
      <c r="Y15" t="s">
        <v>117</v>
      </c>
      <c r="AA15" t="s">
        <v>38</v>
      </c>
      <c r="AB15" t="s">
        <v>39</v>
      </c>
      <c r="AC15" t="s">
        <v>6510</v>
      </c>
      <c r="AD15" t="s">
        <v>40</v>
      </c>
      <c r="AE15" t="s">
        <v>6556</v>
      </c>
      <c r="AF15" t="s">
        <v>6557</v>
      </c>
      <c r="AG15" t="s">
        <v>6558</v>
      </c>
      <c r="AH15">
        <v>54</v>
      </c>
      <c r="AI15" s="2" t="str">
        <f t="shared" si="0"/>
        <v>Independent</v>
      </c>
      <c r="AJ15" s="2" t="str">
        <f t="shared" si="1"/>
        <v>YES</v>
      </c>
      <c r="AK15" s="1" t="str">
        <f t="shared" si="2"/>
        <v>Glazed Balcony</v>
      </c>
      <c r="AL15" s="1" t="str">
        <f t="shared" si="3"/>
        <v>1 Toilet</v>
      </c>
      <c r="AM15" s="1" t="str">
        <f t="shared" si="4"/>
        <v>YES</v>
      </c>
      <c r="AN15" s="1" t="str">
        <f>VLOOKUP(J15, 'Regions and Cities'!A:B, 2, FALSE)</f>
        <v>Varsinais-Suomi</v>
      </c>
    </row>
    <row r="16" spans="1:40" x14ac:dyDescent="0.3">
      <c r="A16" t="s">
        <v>5141</v>
      </c>
      <c r="B16" t="s">
        <v>5142</v>
      </c>
      <c r="C16" t="s">
        <v>5143</v>
      </c>
      <c r="D16" t="s">
        <v>2226</v>
      </c>
      <c r="E16" t="s">
        <v>2227</v>
      </c>
      <c r="F16" t="s">
        <v>79</v>
      </c>
      <c r="G16" t="s">
        <v>5111</v>
      </c>
      <c r="H16">
        <v>114.1</v>
      </c>
      <c r="I16" t="s">
        <v>5144</v>
      </c>
      <c r="J16" t="s">
        <v>411</v>
      </c>
      <c r="K16" t="s">
        <v>405</v>
      </c>
      <c r="L16" t="s">
        <v>5145</v>
      </c>
      <c r="M16" t="s">
        <v>37</v>
      </c>
      <c r="N16" t="s">
        <v>5146</v>
      </c>
      <c r="O16" t="s">
        <v>5147</v>
      </c>
      <c r="P16" t="s">
        <v>5148</v>
      </c>
      <c r="Q16" t="s">
        <v>5149</v>
      </c>
      <c r="R16" t="s">
        <v>37</v>
      </c>
      <c r="S16" t="s">
        <v>37</v>
      </c>
      <c r="T16">
        <v>65.325361000000001</v>
      </c>
      <c r="U16" t="s">
        <v>5150</v>
      </c>
      <c r="V16" t="s">
        <v>5151</v>
      </c>
      <c r="W16">
        <v>25.370547999999999</v>
      </c>
      <c r="X16">
        <v>168000</v>
      </c>
      <c r="Y16" t="s">
        <v>2613</v>
      </c>
      <c r="AA16" t="s">
        <v>63</v>
      </c>
      <c r="AB16" t="s">
        <v>39</v>
      </c>
      <c r="AC16" t="s">
        <v>5152</v>
      </c>
      <c r="AD16" t="s">
        <v>75</v>
      </c>
      <c r="AE16" t="s">
        <v>5153</v>
      </c>
      <c r="AF16" t="s">
        <v>5154</v>
      </c>
      <c r="AG16" t="s">
        <v>5155</v>
      </c>
      <c r="AH16">
        <v>125</v>
      </c>
      <c r="AI16" s="2" t="str">
        <f t="shared" si="0"/>
        <v>Independent</v>
      </c>
      <c r="AJ16" s="2" t="str">
        <f t="shared" si="1"/>
        <v>NO</v>
      </c>
      <c r="AK16" s="1" t="str">
        <f t="shared" si="2"/>
        <v>None</v>
      </c>
      <c r="AL16" s="1" t="str">
        <f t="shared" si="3"/>
        <v>1 Toilet</v>
      </c>
      <c r="AM16" s="1" t="str">
        <f t="shared" si="4"/>
        <v>NO</v>
      </c>
      <c r="AN16" s="1" t="str">
        <f>VLOOKUP(J16, 'Regions and Cities'!A:B, 2, FALSE)</f>
        <v>Pohjois-Pohjanmaa</v>
      </c>
    </row>
    <row r="17" spans="1:40" x14ac:dyDescent="0.3">
      <c r="A17" t="s">
        <v>3828</v>
      </c>
      <c r="B17" t="s">
        <v>3829</v>
      </c>
      <c r="C17" t="s">
        <v>3830</v>
      </c>
      <c r="D17" t="s">
        <v>3831</v>
      </c>
      <c r="E17" t="s">
        <v>3832</v>
      </c>
      <c r="F17" t="s">
        <v>452</v>
      </c>
      <c r="G17" t="s">
        <v>3833</v>
      </c>
      <c r="H17">
        <v>113</v>
      </c>
      <c r="I17" t="s">
        <v>125</v>
      </c>
      <c r="J17" t="s">
        <v>175</v>
      </c>
      <c r="K17" t="s">
        <v>3834</v>
      </c>
      <c r="L17" t="s">
        <v>3835</v>
      </c>
      <c r="M17" t="s">
        <v>37</v>
      </c>
      <c r="N17" t="s">
        <v>3836</v>
      </c>
      <c r="O17" t="s">
        <v>3837</v>
      </c>
      <c r="P17" t="s">
        <v>3838</v>
      </c>
      <c r="R17" t="s">
        <v>37</v>
      </c>
      <c r="S17" t="s">
        <v>37</v>
      </c>
      <c r="T17">
        <v>61.163482000000002</v>
      </c>
      <c r="U17" t="s">
        <v>3839</v>
      </c>
      <c r="V17" t="s">
        <v>3840</v>
      </c>
      <c r="W17">
        <v>23.850695999999999</v>
      </c>
      <c r="X17">
        <v>319000</v>
      </c>
      <c r="Y17" t="s">
        <v>1955</v>
      </c>
      <c r="AA17" t="s">
        <v>63</v>
      </c>
      <c r="AB17" t="s">
        <v>39</v>
      </c>
      <c r="AC17" t="s">
        <v>3841</v>
      </c>
      <c r="AD17" t="s">
        <v>55</v>
      </c>
      <c r="AE17" t="s">
        <v>3842</v>
      </c>
      <c r="AF17" t="s">
        <v>3843</v>
      </c>
      <c r="AG17" t="s">
        <v>3844</v>
      </c>
      <c r="AH17">
        <v>125</v>
      </c>
      <c r="AI17" s="2" t="str">
        <f t="shared" si="0"/>
        <v>Independent</v>
      </c>
      <c r="AJ17" s="2" t="str">
        <f t="shared" si="1"/>
        <v>NO</v>
      </c>
      <c r="AK17" s="1" t="str">
        <f t="shared" si="2"/>
        <v>None</v>
      </c>
      <c r="AL17" s="1" t="str">
        <f t="shared" si="3"/>
        <v>1 Toilet</v>
      </c>
      <c r="AM17" s="1" t="str">
        <f t="shared" si="4"/>
        <v>NO</v>
      </c>
      <c r="AN17" s="1" t="str">
        <f>VLOOKUP(J17, 'Regions and Cities'!A:B, 2, FALSE)</f>
        <v>Pirkanmaa</v>
      </c>
    </row>
    <row r="18" spans="1:40" x14ac:dyDescent="0.3">
      <c r="A18" t="s">
        <v>2223</v>
      </c>
      <c r="B18" t="s">
        <v>2224</v>
      </c>
      <c r="C18" t="s">
        <v>2225</v>
      </c>
      <c r="D18" t="s">
        <v>2226</v>
      </c>
      <c r="E18" t="s">
        <v>2227</v>
      </c>
      <c r="F18" t="s">
        <v>79</v>
      </c>
      <c r="G18" t="s">
        <v>2228</v>
      </c>
      <c r="H18">
        <v>78</v>
      </c>
      <c r="I18" t="s">
        <v>109</v>
      </c>
      <c r="J18" t="s">
        <v>265</v>
      </c>
      <c r="K18" t="s">
        <v>131</v>
      </c>
      <c r="L18" t="s">
        <v>2229</v>
      </c>
      <c r="M18" t="s">
        <v>37</v>
      </c>
      <c r="N18" t="s">
        <v>2230</v>
      </c>
      <c r="O18" t="s">
        <v>2231</v>
      </c>
      <c r="P18" t="s">
        <v>2232</v>
      </c>
      <c r="R18" t="s">
        <v>37</v>
      </c>
      <c r="S18" t="s">
        <v>37</v>
      </c>
      <c r="T18">
        <v>65.008583000000002</v>
      </c>
      <c r="U18" t="s">
        <v>2233</v>
      </c>
      <c r="V18" t="s">
        <v>2234</v>
      </c>
      <c r="W18">
        <v>25.472414000000001</v>
      </c>
      <c r="X18">
        <v>393000</v>
      </c>
      <c r="Y18" t="s">
        <v>2235</v>
      </c>
      <c r="AA18" t="s">
        <v>38</v>
      </c>
      <c r="AB18" t="s">
        <v>39</v>
      </c>
      <c r="AC18" t="s">
        <v>480</v>
      </c>
      <c r="AD18" t="s">
        <v>46</v>
      </c>
      <c r="AE18" t="s">
        <v>2236</v>
      </c>
      <c r="AF18" t="s">
        <v>2237</v>
      </c>
      <c r="AG18" t="s">
        <v>2238</v>
      </c>
      <c r="AH18">
        <v>78</v>
      </c>
      <c r="AI18" s="2" t="str">
        <f t="shared" si="0"/>
        <v>Independent</v>
      </c>
      <c r="AJ18" s="2" t="str">
        <f t="shared" si="1"/>
        <v>NO</v>
      </c>
      <c r="AK18" s="1" t="str">
        <f t="shared" si="2"/>
        <v>None</v>
      </c>
      <c r="AL18" s="1" t="str">
        <f t="shared" si="3"/>
        <v>1 Toilet</v>
      </c>
      <c r="AM18" s="1" t="str">
        <f t="shared" si="4"/>
        <v>NO</v>
      </c>
      <c r="AN18" s="1" t="str">
        <f>VLOOKUP(J18, 'Regions and Cities'!A:B, 2, FALSE)</f>
        <v>Pohjois-Pohjanmaa</v>
      </c>
    </row>
    <row r="19" spans="1:40" x14ac:dyDescent="0.3">
      <c r="A19" t="s">
        <v>1289</v>
      </c>
      <c r="B19" t="s">
        <v>1290</v>
      </c>
      <c r="C19" t="s">
        <v>1291</v>
      </c>
      <c r="D19" t="s">
        <v>1292</v>
      </c>
      <c r="E19" t="s">
        <v>1293</v>
      </c>
      <c r="F19" t="s">
        <v>79</v>
      </c>
      <c r="G19" t="s">
        <v>1294</v>
      </c>
      <c r="H19">
        <v>63</v>
      </c>
      <c r="I19" t="s">
        <v>848</v>
      </c>
      <c r="J19" t="s">
        <v>361</v>
      </c>
      <c r="K19" t="s">
        <v>1295</v>
      </c>
      <c r="L19" t="s">
        <v>1296</v>
      </c>
      <c r="M19" t="s">
        <v>37</v>
      </c>
      <c r="N19" t="s">
        <v>1297</v>
      </c>
      <c r="O19" t="s">
        <v>1298</v>
      </c>
      <c r="P19" t="s">
        <v>1299</v>
      </c>
      <c r="Q19" t="s">
        <v>1300</v>
      </c>
      <c r="R19" t="s">
        <v>37</v>
      </c>
      <c r="S19" t="s">
        <v>37</v>
      </c>
      <c r="T19">
        <v>62.740527</v>
      </c>
      <c r="U19" t="s">
        <v>1301</v>
      </c>
      <c r="V19" t="s">
        <v>1302</v>
      </c>
      <c r="W19">
        <v>22.871635000000001</v>
      </c>
      <c r="X19">
        <v>160000</v>
      </c>
      <c r="Y19" t="s">
        <v>1303</v>
      </c>
      <c r="AA19" t="s">
        <v>45</v>
      </c>
      <c r="AB19" t="s">
        <v>39</v>
      </c>
      <c r="AC19" t="s">
        <v>1304</v>
      </c>
      <c r="AD19" t="s">
        <v>46</v>
      </c>
      <c r="AE19" t="s">
        <v>196</v>
      </c>
      <c r="AF19" t="s">
        <v>1305</v>
      </c>
      <c r="AG19" t="s">
        <v>1306</v>
      </c>
      <c r="AH19">
        <v>63</v>
      </c>
      <c r="AI19" s="2" t="str">
        <f t="shared" si="0"/>
        <v>Independent</v>
      </c>
      <c r="AJ19" s="2" t="str">
        <f t="shared" si="1"/>
        <v>YES</v>
      </c>
      <c r="AK19" s="1" t="str">
        <f t="shared" si="2"/>
        <v>None</v>
      </c>
      <c r="AL19" s="1" t="str">
        <f t="shared" si="3"/>
        <v>1 Toilet</v>
      </c>
      <c r="AM19" s="1" t="str">
        <f t="shared" si="4"/>
        <v>NO</v>
      </c>
      <c r="AN19" s="1" t="str">
        <f>VLOOKUP(J19, 'Regions and Cities'!A:B, 2, FALSE)</f>
        <v>Etelä-Pohjanmaa</v>
      </c>
    </row>
    <row r="20" spans="1:40" x14ac:dyDescent="0.3">
      <c r="A20" t="s">
        <v>5728</v>
      </c>
      <c r="B20" t="s">
        <v>5729</v>
      </c>
      <c r="C20" t="s">
        <v>5730</v>
      </c>
      <c r="D20" t="s">
        <v>571</v>
      </c>
      <c r="E20" t="s">
        <v>572</v>
      </c>
      <c r="H20">
        <v>50</v>
      </c>
      <c r="I20" t="s">
        <v>125</v>
      </c>
      <c r="J20" t="s">
        <v>36</v>
      </c>
      <c r="K20" t="s">
        <v>5731</v>
      </c>
      <c r="L20" t="s">
        <v>5732</v>
      </c>
      <c r="M20" t="s">
        <v>37</v>
      </c>
      <c r="N20" t="s">
        <v>5733</v>
      </c>
      <c r="O20" t="s">
        <v>5734</v>
      </c>
      <c r="R20" t="s">
        <v>37</v>
      </c>
      <c r="S20" t="s">
        <v>37</v>
      </c>
      <c r="T20">
        <v>60.389479999999999</v>
      </c>
      <c r="U20" t="s">
        <v>5735</v>
      </c>
      <c r="V20" t="s">
        <v>5736</v>
      </c>
      <c r="W20">
        <v>25.657540000000001</v>
      </c>
      <c r="X20">
        <v>209000</v>
      </c>
      <c r="Y20" t="s">
        <v>1484</v>
      </c>
      <c r="AA20" t="s">
        <v>38</v>
      </c>
      <c r="AB20" t="s">
        <v>39</v>
      </c>
      <c r="AC20" t="s">
        <v>5737</v>
      </c>
      <c r="AD20" t="s">
        <v>40</v>
      </c>
      <c r="AE20" t="s">
        <v>5738</v>
      </c>
      <c r="AF20" t="s">
        <v>5739</v>
      </c>
      <c r="AG20" t="s">
        <v>5740</v>
      </c>
      <c r="AH20">
        <v>50</v>
      </c>
      <c r="AI20" s="2" t="str">
        <f t="shared" si="0"/>
        <v>Independent</v>
      </c>
      <c r="AJ20" s="2" t="str">
        <f t="shared" si="1"/>
        <v>YES</v>
      </c>
      <c r="AK20" s="1" t="str">
        <f t="shared" si="2"/>
        <v>Glazed Balcony</v>
      </c>
      <c r="AL20" s="1" t="str">
        <f t="shared" si="3"/>
        <v>1 Toilet</v>
      </c>
      <c r="AM20" s="1" t="str">
        <f t="shared" si="4"/>
        <v>NO</v>
      </c>
      <c r="AN20" s="1" t="str">
        <f>VLOOKUP(J20, 'Regions and Cities'!A:B, 2, FALSE)</f>
        <v>Uusimaa</v>
      </c>
    </row>
    <row r="21" spans="1:40" x14ac:dyDescent="0.3">
      <c r="A21" t="s">
        <v>7530</v>
      </c>
      <c r="B21" t="s">
        <v>7531</v>
      </c>
      <c r="C21" t="s">
        <v>426</v>
      </c>
      <c r="D21" t="s">
        <v>7532</v>
      </c>
      <c r="E21" t="s">
        <v>7533</v>
      </c>
      <c r="F21" t="s">
        <v>752</v>
      </c>
      <c r="H21">
        <v>65</v>
      </c>
      <c r="J21" t="s">
        <v>426</v>
      </c>
      <c r="L21" t="s">
        <v>7534</v>
      </c>
      <c r="M21" t="s">
        <v>37</v>
      </c>
      <c r="N21" t="s">
        <v>7535</v>
      </c>
      <c r="O21" t="s">
        <v>7536</v>
      </c>
      <c r="R21" t="s">
        <v>37</v>
      </c>
      <c r="S21" t="s">
        <v>37</v>
      </c>
      <c r="T21">
        <v>63.980620000000002</v>
      </c>
      <c r="U21" t="s">
        <v>7537</v>
      </c>
      <c r="V21" t="s">
        <v>7538</v>
      </c>
      <c r="W21">
        <v>25.760580000000001</v>
      </c>
      <c r="X21">
        <v>16000</v>
      </c>
      <c r="Y21" t="s">
        <v>7539</v>
      </c>
      <c r="AA21" t="s">
        <v>38</v>
      </c>
      <c r="AB21" t="s">
        <v>39</v>
      </c>
      <c r="AC21" t="s">
        <v>6510</v>
      </c>
      <c r="AD21" t="s">
        <v>40</v>
      </c>
      <c r="AE21" t="s">
        <v>7540</v>
      </c>
      <c r="AF21" t="s">
        <v>7541</v>
      </c>
      <c r="AG21" t="s">
        <v>7542</v>
      </c>
      <c r="AH21">
        <v>65</v>
      </c>
      <c r="AI21" s="2" t="str">
        <f t="shared" si="0"/>
        <v>Independent</v>
      </c>
      <c r="AJ21" s="2" t="str">
        <f t="shared" si="1"/>
        <v>YES</v>
      </c>
      <c r="AK21" s="1" t="str">
        <f t="shared" si="2"/>
        <v>None</v>
      </c>
      <c r="AL21" s="1" t="str">
        <f t="shared" si="3"/>
        <v>1 Toilet</v>
      </c>
      <c r="AM21" s="1" t="str">
        <f t="shared" si="4"/>
        <v>YES</v>
      </c>
      <c r="AN21" s="1" t="str">
        <f>VLOOKUP(J21, 'Regions and Cities'!A:B, 2, FALSE)</f>
        <v>Pohjois-Pohjanmaa</v>
      </c>
    </row>
    <row r="22" spans="1:40" x14ac:dyDescent="0.3">
      <c r="A22" t="s">
        <v>5346</v>
      </c>
      <c r="B22" t="s">
        <v>5347</v>
      </c>
      <c r="C22" t="s">
        <v>5348</v>
      </c>
      <c r="D22" t="s">
        <v>5349</v>
      </c>
      <c r="E22" t="s">
        <v>5350</v>
      </c>
      <c r="F22" t="s">
        <v>5351</v>
      </c>
      <c r="H22">
        <v>85</v>
      </c>
      <c r="I22" t="s">
        <v>2283</v>
      </c>
      <c r="J22" t="s">
        <v>404</v>
      </c>
      <c r="K22" t="s">
        <v>5352</v>
      </c>
      <c r="L22" t="s">
        <v>5353</v>
      </c>
      <c r="M22" t="s">
        <v>37</v>
      </c>
      <c r="N22" t="s">
        <v>5354</v>
      </c>
      <c r="O22" t="s">
        <v>5355</v>
      </c>
      <c r="R22" t="s">
        <v>37</v>
      </c>
      <c r="S22" t="s">
        <v>37</v>
      </c>
      <c r="T22">
        <v>60.512999999999998</v>
      </c>
      <c r="U22" t="s">
        <v>5356</v>
      </c>
      <c r="V22" t="s">
        <v>5357</v>
      </c>
      <c r="W22">
        <v>26.955459999999999</v>
      </c>
      <c r="X22">
        <v>145000</v>
      </c>
      <c r="Y22" t="s">
        <v>3259</v>
      </c>
      <c r="AA22" t="s">
        <v>54</v>
      </c>
      <c r="AB22" t="s">
        <v>39</v>
      </c>
      <c r="AC22" t="s">
        <v>480</v>
      </c>
      <c r="AD22" t="s">
        <v>75</v>
      </c>
      <c r="AE22" t="s">
        <v>5358</v>
      </c>
      <c r="AF22" t="s">
        <v>5359</v>
      </c>
      <c r="AG22" t="s">
        <v>5360</v>
      </c>
      <c r="AH22">
        <v>85</v>
      </c>
      <c r="AI22" s="2" t="str">
        <f t="shared" si="0"/>
        <v>Independent</v>
      </c>
      <c r="AJ22" s="2" t="str">
        <f t="shared" si="1"/>
        <v>YES</v>
      </c>
      <c r="AK22" s="1" t="str">
        <f t="shared" si="2"/>
        <v>None</v>
      </c>
      <c r="AL22" s="1" t="str">
        <f t="shared" si="3"/>
        <v>1 Toilet</v>
      </c>
      <c r="AM22" s="1" t="str">
        <f t="shared" si="4"/>
        <v>YES</v>
      </c>
      <c r="AN22" s="1" t="str">
        <f>VLOOKUP(J22, 'Regions and Cities'!A:B, 2, FALSE)</f>
        <v>Kymenlaakso</v>
      </c>
    </row>
    <row r="23" spans="1:40" x14ac:dyDescent="0.3">
      <c r="A23" t="s">
        <v>7363</v>
      </c>
      <c r="B23" t="s">
        <v>7364</v>
      </c>
      <c r="C23" t="s">
        <v>7365</v>
      </c>
      <c r="D23" t="s">
        <v>7366</v>
      </c>
      <c r="E23" t="s">
        <v>7367</v>
      </c>
      <c r="F23" t="s">
        <v>7368</v>
      </c>
      <c r="G23" t="s">
        <v>7369</v>
      </c>
      <c r="H23">
        <v>106</v>
      </c>
      <c r="I23" t="s">
        <v>189</v>
      </c>
      <c r="J23" t="s">
        <v>341</v>
      </c>
      <c r="K23" t="s">
        <v>7370</v>
      </c>
      <c r="L23" t="s">
        <v>7371</v>
      </c>
      <c r="M23" t="s">
        <v>37</v>
      </c>
      <c r="N23" t="s">
        <v>7372</v>
      </c>
      <c r="O23" t="s">
        <v>7373</v>
      </c>
      <c r="P23" t="s">
        <v>7374</v>
      </c>
      <c r="R23" t="s">
        <v>111</v>
      </c>
      <c r="S23" t="s">
        <v>37</v>
      </c>
      <c r="T23">
        <v>61.518953000000003</v>
      </c>
      <c r="U23" t="s">
        <v>7375</v>
      </c>
      <c r="V23" t="s">
        <v>7376</v>
      </c>
      <c r="W23">
        <v>21.840223000000002</v>
      </c>
      <c r="X23">
        <v>289000</v>
      </c>
      <c r="Y23" t="s">
        <v>3644</v>
      </c>
      <c r="AA23" t="s">
        <v>63</v>
      </c>
      <c r="AB23" t="s">
        <v>39</v>
      </c>
      <c r="AC23" t="s">
        <v>6510</v>
      </c>
      <c r="AD23" t="s">
        <v>75</v>
      </c>
      <c r="AE23" t="s">
        <v>7377</v>
      </c>
      <c r="AF23" t="s">
        <v>7378</v>
      </c>
      <c r="AG23" t="s">
        <v>7379</v>
      </c>
      <c r="AH23">
        <v>135</v>
      </c>
      <c r="AI23" s="2" t="str">
        <f t="shared" si="0"/>
        <v>Independent</v>
      </c>
      <c r="AJ23" s="2" t="str">
        <f t="shared" si="1"/>
        <v>NO</v>
      </c>
      <c r="AK23" s="1" t="str">
        <f t="shared" si="2"/>
        <v>Terrace</v>
      </c>
      <c r="AL23" s="1" t="str">
        <f t="shared" si="3"/>
        <v>1 Toilet</v>
      </c>
      <c r="AM23" s="1" t="str">
        <f t="shared" si="4"/>
        <v>YES</v>
      </c>
      <c r="AN23" s="1" t="str">
        <f>VLOOKUP(J23, 'Regions and Cities'!A:B, 2, FALSE)</f>
        <v>Satakunta</v>
      </c>
    </row>
    <row r="24" spans="1:40" x14ac:dyDescent="0.3">
      <c r="A24" t="s">
        <v>9666</v>
      </c>
      <c r="B24" t="s">
        <v>9667</v>
      </c>
      <c r="C24" t="s">
        <v>9668</v>
      </c>
      <c r="D24" t="s">
        <v>2892</v>
      </c>
      <c r="E24" t="s">
        <v>2893</v>
      </c>
      <c r="F24" t="s">
        <v>2894</v>
      </c>
      <c r="H24">
        <v>136</v>
      </c>
      <c r="I24" t="s">
        <v>589</v>
      </c>
      <c r="J24" t="s">
        <v>386</v>
      </c>
      <c r="K24" t="s">
        <v>9669</v>
      </c>
      <c r="L24" t="s">
        <v>9670</v>
      </c>
      <c r="M24" t="s">
        <v>37</v>
      </c>
      <c r="N24" t="s">
        <v>9671</v>
      </c>
      <c r="O24" t="s">
        <v>9672</v>
      </c>
      <c r="R24" t="s">
        <v>37</v>
      </c>
      <c r="S24" t="s">
        <v>37</v>
      </c>
      <c r="T24">
        <v>65.992964000000001</v>
      </c>
      <c r="U24" t="s">
        <v>9673</v>
      </c>
      <c r="V24" t="s">
        <v>9674</v>
      </c>
      <c r="W24">
        <v>29.175608</v>
      </c>
      <c r="X24">
        <v>139000</v>
      </c>
      <c r="Y24" t="s">
        <v>74</v>
      </c>
      <c r="AA24" t="s">
        <v>63</v>
      </c>
      <c r="AB24" t="s">
        <v>39</v>
      </c>
      <c r="AC24" t="s">
        <v>6510</v>
      </c>
      <c r="AD24" t="s">
        <v>55</v>
      </c>
      <c r="AE24" t="s">
        <v>9675</v>
      </c>
      <c r="AF24" t="s">
        <v>9676</v>
      </c>
      <c r="AG24" t="s">
        <v>9677</v>
      </c>
      <c r="AH24">
        <v>183</v>
      </c>
      <c r="AI24" s="2" t="str">
        <f t="shared" si="0"/>
        <v>Independent</v>
      </c>
      <c r="AJ24" s="2" t="str">
        <f t="shared" si="1"/>
        <v>YES</v>
      </c>
      <c r="AK24" s="1" t="str">
        <f t="shared" si="2"/>
        <v>None</v>
      </c>
      <c r="AL24" s="1" t="str">
        <f t="shared" si="3"/>
        <v>1 Toilet</v>
      </c>
      <c r="AM24" s="1" t="str">
        <f t="shared" si="4"/>
        <v>NO</v>
      </c>
      <c r="AN24" s="1" t="str">
        <f>VLOOKUP(J24, 'Regions and Cities'!A:B, 2, FALSE)</f>
        <v>Pohjois-Pohjanmaa</v>
      </c>
    </row>
    <row r="25" spans="1:40" x14ac:dyDescent="0.3">
      <c r="A25" t="s">
        <v>8467</v>
      </c>
      <c r="B25" t="s">
        <v>8468</v>
      </c>
      <c r="C25" t="s">
        <v>8469</v>
      </c>
      <c r="D25" t="s">
        <v>535</v>
      </c>
      <c r="E25" t="s">
        <v>536</v>
      </c>
      <c r="F25" t="s">
        <v>79</v>
      </c>
      <c r="G25" t="s">
        <v>4794</v>
      </c>
      <c r="H25">
        <v>82</v>
      </c>
      <c r="I25" t="s">
        <v>818</v>
      </c>
      <c r="J25" t="s">
        <v>341</v>
      </c>
      <c r="K25" t="s">
        <v>8470</v>
      </c>
      <c r="L25" t="s">
        <v>8471</v>
      </c>
      <c r="M25" t="s">
        <v>37</v>
      </c>
      <c r="N25" t="s">
        <v>8472</v>
      </c>
      <c r="O25" t="s">
        <v>8473</v>
      </c>
      <c r="P25" t="s">
        <v>8474</v>
      </c>
      <c r="Q25" t="s">
        <v>8475</v>
      </c>
      <c r="R25" t="s">
        <v>37</v>
      </c>
      <c r="S25" t="s">
        <v>37</v>
      </c>
      <c r="T25">
        <v>61.611382999999996</v>
      </c>
      <c r="U25" t="s">
        <v>8476</v>
      </c>
      <c r="V25" t="s">
        <v>8477</v>
      </c>
      <c r="W25">
        <v>21.446838</v>
      </c>
      <c r="X25">
        <v>125000</v>
      </c>
      <c r="Y25" t="s">
        <v>6636</v>
      </c>
      <c r="AA25" t="s">
        <v>63</v>
      </c>
      <c r="AB25" t="s">
        <v>39</v>
      </c>
      <c r="AC25" t="s">
        <v>6510</v>
      </c>
      <c r="AD25" t="s">
        <v>75</v>
      </c>
      <c r="AE25" t="s">
        <v>869</v>
      </c>
      <c r="AF25" t="s">
        <v>8478</v>
      </c>
      <c r="AG25" t="s">
        <v>8479</v>
      </c>
      <c r="AH25">
        <v>82</v>
      </c>
      <c r="AI25" s="2" t="str">
        <f t="shared" si="0"/>
        <v>Independent</v>
      </c>
      <c r="AJ25" s="2" t="str">
        <f t="shared" si="1"/>
        <v>YES</v>
      </c>
      <c r="AK25" s="1" t="str">
        <f t="shared" si="2"/>
        <v>None</v>
      </c>
      <c r="AL25" s="1" t="str">
        <f t="shared" si="3"/>
        <v>1 Toilet</v>
      </c>
      <c r="AM25" s="1" t="str">
        <f t="shared" si="4"/>
        <v>NO</v>
      </c>
      <c r="AN25" s="1" t="str">
        <f>VLOOKUP(J25, 'Regions and Cities'!A:B, 2, FALSE)</f>
        <v>Satakunta</v>
      </c>
    </row>
    <row r="26" spans="1:40" x14ac:dyDescent="0.3">
      <c r="A26" t="s">
        <v>5568</v>
      </c>
      <c r="B26" t="s">
        <v>5569</v>
      </c>
      <c r="C26" t="s">
        <v>5570</v>
      </c>
      <c r="D26" t="s">
        <v>938</v>
      </c>
      <c r="E26" t="s">
        <v>939</v>
      </c>
      <c r="F26" t="s">
        <v>187</v>
      </c>
      <c r="H26">
        <v>118.5</v>
      </c>
      <c r="I26" t="s">
        <v>237</v>
      </c>
      <c r="J26" t="s">
        <v>130</v>
      </c>
      <c r="K26" t="s">
        <v>5571</v>
      </c>
      <c r="L26" t="s">
        <v>5572</v>
      </c>
      <c r="M26" t="s">
        <v>37</v>
      </c>
      <c r="N26" t="s">
        <v>5573</v>
      </c>
      <c r="O26" t="s">
        <v>5574</v>
      </c>
      <c r="R26" t="s">
        <v>37</v>
      </c>
      <c r="S26" t="s">
        <v>37</v>
      </c>
      <c r="T26">
        <v>62.936259999999997</v>
      </c>
      <c r="U26" t="s">
        <v>5575</v>
      </c>
      <c r="V26" t="s">
        <v>5576</v>
      </c>
      <c r="W26">
        <v>27.136399999999998</v>
      </c>
      <c r="X26">
        <v>79000</v>
      </c>
      <c r="Y26" t="s">
        <v>229</v>
      </c>
      <c r="AA26" t="s">
        <v>63</v>
      </c>
      <c r="AB26" t="s">
        <v>39</v>
      </c>
      <c r="AC26" t="s">
        <v>480</v>
      </c>
      <c r="AD26" t="s">
        <v>55</v>
      </c>
      <c r="AE26" t="s">
        <v>5577</v>
      </c>
      <c r="AF26" t="s">
        <v>5578</v>
      </c>
      <c r="AG26" t="s">
        <v>5579</v>
      </c>
      <c r="AH26">
        <v>136</v>
      </c>
      <c r="AI26" s="2" t="str">
        <f t="shared" si="0"/>
        <v>Independent</v>
      </c>
      <c r="AJ26" s="2" t="str">
        <f t="shared" si="1"/>
        <v>NO</v>
      </c>
      <c r="AK26" s="1" t="str">
        <f t="shared" si="2"/>
        <v>None</v>
      </c>
      <c r="AL26" s="1" t="str">
        <f t="shared" si="3"/>
        <v>1 Toilet</v>
      </c>
      <c r="AM26" s="1" t="str">
        <f t="shared" si="4"/>
        <v>NO</v>
      </c>
      <c r="AN26" s="1" t="str">
        <f>VLOOKUP(J26, 'Regions and Cities'!A:B, 2, FALSE)</f>
        <v>Pohjois-Savo</v>
      </c>
    </row>
    <row r="27" spans="1:40" x14ac:dyDescent="0.3">
      <c r="A27" t="s">
        <v>532</v>
      </c>
      <c r="B27" t="s">
        <v>533</v>
      </c>
      <c r="C27" t="s">
        <v>534</v>
      </c>
      <c r="D27" t="s">
        <v>535</v>
      </c>
      <c r="E27" t="s">
        <v>536</v>
      </c>
      <c r="F27" t="s">
        <v>79</v>
      </c>
      <c r="G27" t="s">
        <v>537</v>
      </c>
      <c r="H27">
        <v>38</v>
      </c>
      <c r="I27" t="s">
        <v>174</v>
      </c>
      <c r="J27" t="s">
        <v>341</v>
      </c>
      <c r="K27" t="s">
        <v>131</v>
      </c>
      <c r="L27" t="s">
        <v>538</v>
      </c>
      <c r="M27" t="s">
        <v>37</v>
      </c>
      <c r="N27" t="s">
        <v>539</v>
      </c>
      <c r="O27" t="s">
        <v>540</v>
      </c>
      <c r="P27" t="s">
        <v>541</v>
      </c>
      <c r="R27" t="s">
        <v>37</v>
      </c>
      <c r="S27" t="s">
        <v>37</v>
      </c>
      <c r="T27">
        <v>61.489531999999997</v>
      </c>
      <c r="U27" t="s">
        <v>542</v>
      </c>
      <c r="V27" t="s">
        <v>543</v>
      </c>
      <c r="W27">
        <v>21.797196</v>
      </c>
      <c r="X27">
        <v>59000</v>
      </c>
      <c r="Y27" t="s">
        <v>544</v>
      </c>
      <c r="AA27" t="s">
        <v>38</v>
      </c>
      <c r="AB27" t="s">
        <v>39</v>
      </c>
      <c r="AC27" t="s">
        <v>545</v>
      </c>
      <c r="AD27" t="s">
        <v>40</v>
      </c>
      <c r="AE27" t="s">
        <v>546</v>
      </c>
      <c r="AF27" t="s">
        <v>547</v>
      </c>
      <c r="AG27" t="s">
        <v>548</v>
      </c>
      <c r="AH27">
        <v>38</v>
      </c>
      <c r="AI27" s="2" t="str">
        <f t="shared" si="0"/>
        <v>Kitchenette</v>
      </c>
      <c r="AJ27" s="2" t="str">
        <f t="shared" si="1"/>
        <v>NO</v>
      </c>
      <c r="AK27" s="1" t="str">
        <f t="shared" si="2"/>
        <v>None</v>
      </c>
      <c r="AL27" s="1" t="str">
        <f t="shared" si="3"/>
        <v>1 Toilet</v>
      </c>
      <c r="AM27" s="1" t="str">
        <f t="shared" si="4"/>
        <v>YES</v>
      </c>
      <c r="AN27" s="1" t="str">
        <f>VLOOKUP(J27, 'Regions and Cities'!A:B, 2, FALSE)</f>
        <v>Satakunta</v>
      </c>
    </row>
    <row r="28" spans="1:40" x14ac:dyDescent="0.3">
      <c r="A28" t="s">
        <v>5904</v>
      </c>
      <c r="B28" t="s">
        <v>5905</v>
      </c>
      <c r="C28" t="s">
        <v>5906</v>
      </c>
      <c r="D28" t="s">
        <v>5907</v>
      </c>
      <c r="E28" t="s">
        <v>5908</v>
      </c>
      <c r="F28" t="s">
        <v>70</v>
      </c>
      <c r="G28" t="s">
        <v>5909</v>
      </c>
      <c r="H28">
        <v>94</v>
      </c>
      <c r="I28" t="s">
        <v>5910</v>
      </c>
      <c r="J28" t="s">
        <v>137</v>
      </c>
      <c r="K28" t="s">
        <v>5911</v>
      </c>
      <c r="L28" t="s">
        <v>5912</v>
      </c>
      <c r="M28" t="s">
        <v>37</v>
      </c>
      <c r="N28" t="s">
        <v>5913</v>
      </c>
      <c r="O28" t="s">
        <v>5914</v>
      </c>
      <c r="P28" t="s">
        <v>5915</v>
      </c>
      <c r="R28" t="s">
        <v>37</v>
      </c>
      <c r="S28" t="s">
        <v>37</v>
      </c>
      <c r="T28">
        <v>60.216634999999997</v>
      </c>
      <c r="U28" t="s">
        <v>5916</v>
      </c>
      <c r="V28" t="s">
        <v>5917</v>
      </c>
      <c r="W28">
        <v>25.089258999999998</v>
      </c>
      <c r="X28">
        <v>369000</v>
      </c>
      <c r="Y28" t="s">
        <v>4276</v>
      </c>
      <c r="AA28" t="s">
        <v>63</v>
      </c>
      <c r="AB28" t="s">
        <v>39</v>
      </c>
      <c r="AC28" t="s">
        <v>480</v>
      </c>
      <c r="AD28" t="s">
        <v>75</v>
      </c>
      <c r="AE28" t="s">
        <v>5918</v>
      </c>
      <c r="AF28" t="s">
        <v>5919</v>
      </c>
      <c r="AG28" t="s">
        <v>5920</v>
      </c>
      <c r="AH28">
        <v>160</v>
      </c>
      <c r="AI28" s="2" t="str">
        <f t="shared" si="0"/>
        <v>Independent</v>
      </c>
      <c r="AJ28" s="2" t="str">
        <f t="shared" si="1"/>
        <v>NO</v>
      </c>
      <c r="AK28" s="1" t="str">
        <f t="shared" si="2"/>
        <v>Terrace</v>
      </c>
      <c r="AL28" s="1" t="str">
        <f t="shared" si="3"/>
        <v>1 Toilet</v>
      </c>
      <c r="AM28" s="1" t="str">
        <f t="shared" si="4"/>
        <v>NO</v>
      </c>
      <c r="AN28" s="1" t="str">
        <f>VLOOKUP(J28, 'Regions and Cities'!A:B, 2, FALSE)</f>
        <v>Uusimaa</v>
      </c>
    </row>
    <row r="29" spans="1:40" x14ac:dyDescent="0.3">
      <c r="A29" t="s">
        <v>2518</v>
      </c>
      <c r="B29" t="s">
        <v>2519</v>
      </c>
      <c r="C29" t="s">
        <v>2520</v>
      </c>
      <c r="D29" t="s">
        <v>2521</v>
      </c>
      <c r="E29" t="s">
        <v>2522</v>
      </c>
      <c r="F29" t="s">
        <v>105</v>
      </c>
      <c r="H29">
        <v>135</v>
      </c>
      <c r="I29" t="s">
        <v>298</v>
      </c>
      <c r="J29" t="s">
        <v>374</v>
      </c>
      <c r="K29" t="s">
        <v>2523</v>
      </c>
      <c r="L29" t="s">
        <v>2524</v>
      </c>
      <c r="M29" t="s">
        <v>37</v>
      </c>
      <c r="N29" t="s">
        <v>2525</v>
      </c>
      <c r="O29" t="s">
        <v>2526</v>
      </c>
      <c r="R29" t="s">
        <v>37</v>
      </c>
      <c r="S29" t="s">
        <v>37</v>
      </c>
      <c r="T29">
        <v>60.868594999999999</v>
      </c>
      <c r="U29" t="s">
        <v>2527</v>
      </c>
      <c r="V29" t="s">
        <v>2528</v>
      </c>
      <c r="W29">
        <v>26.702902000000002</v>
      </c>
      <c r="X29">
        <v>219000</v>
      </c>
      <c r="Y29" t="s">
        <v>115</v>
      </c>
      <c r="AA29" t="s">
        <v>63</v>
      </c>
      <c r="AB29" t="s">
        <v>39</v>
      </c>
      <c r="AC29" t="s">
        <v>480</v>
      </c>
      <c r="AD29" t="s">
        <v>55</v>
      </c>
      <c r="AE29" t="s">
        <v>2529</v>
      </c>
      <c r="AF29" t="s">
        <v>2530</v>
      </c>
      <c r="AG29" t="s">
        <v>2531</v>
      </c>
      <c r="AH29">
        <v>150</v>
      </c>
      <c r="AI29" s="2" t="str">
        <f t="shared" si="0"/>
        <v>Independent</v>
      </c>
      <c r="AJ29" s="2" t="str">
        <f t="shared" si="1"/>
        <v>NO</v>
      </c>
      <c r="AK29" s="1" t="str">
        <f t="shared" si="2"/>
        <v>None</v>
      </c>
      <c r="AL29" s="1" t="str">
        <f t="shared" si="3"/>
        <v>2 Toilets</v>
      </c>
      <c r="AM29" s="1" t="str">
        <f t="shared" si="4"/>
        <v>YES</v>
      </c>
      <c r="AN29" s="1" t="str">
        <f>VLOOKUP(J29, 'Regions and Cities'!A:B, 2, FALSE)</f>
        <v>Kymenlaakso</v>
      </c>
    </row>
    <row r="30" spans="1:40" x14ac:dyDescent="0.3">
      <c r="A30" t="s">
        <v>9349</v>
      </c>
      <c r="B30" t="s">
        <v>9350</v>
      </c>
      <c r="C30" t="s">
        <v>7749</v>
      </c>
      <c r="D30" t="s">
        <v>9351</v>
      </c>
      <c r="E30" t="s">
        <v>9352</v>
      </c>
      <c r="F30" t="s">
        <v>9353</v>
      </c>
      <c r="H30">
        <v>36</v>
      </c>
      <c r="I30" t="s">
        <v>4114</v>
      </c>
      <c r="J30" t="s">
        <v>418</v>
      </c>
      <c r="K30" t="s">
        <v>7754</v>
      </c>
      <c r="L30" t="s">
        <v>9354</v>
      </c>
      <c r="M30" t="s">
        <v>37</v>
      </c>
      <c r="N30" t="s">
        <v>9355</v>
      </c>
      <c r="O30" t="s">
        <v>9356</v>
      </c>
      <c r="R30" t="s">
        <v>37</v>
      </c>
      <c r="S30" t="s">
        <v>37</v>
      </c>
      <c r="T30">
        <v>61.057251999999998</v>
      </c>
      <c r="U30" t="s">
        <v>9357</v>
      </c>
      <c r="V30" t="s">
        <v>9358</v>
      </c>
      <c r="W30">
        <v>28.199780000000001</v>
      </c>
      <c r="X30">
        <v>88000</v>
      </c>
      <c r="Y30" t="s">
        <v>2834</v>
      </c>
      <c r="AA30" t="s">
        <v>38</v>
      </c>
      <c r="AB30" t="s">
        <v>39</v>
      </c>
      <c r="AC30" t="s">
        <v>6510</v>
      </c>
      <c r="AD30" t="s">
        <v>202</v>
      </c>
      <c r="AE30" t="s">
        <v>9359</v>
      </c>
      <c r="AF30" t="s">
        <v>9360</v>
      </c>
      <c r="AG30" t="s">
        <v>9361</v>
      </c>
      <c r="AH30">
        <v>36</v>
      </c>
      <c r="AI30" s="2" t="str">
        <f t="shared" si="0"/>
        <v>Independent</v>
      </c>
      <c r="AJ30" s="2" t="str">
        <f t="shared" si="1"/>
        <v>NO</v>
      </c>
      <c r="AK30" s="1" t="str">
        <f t="shared" si="2"/>
        <v>None</v>
      </c>
      <c r="AL30" s="1" t="str">
        <f t="shared" si="3"/>
        <v>1 Toilet</v>
      </c>
      <c r="AM30" s="1" t="str">
        <f t="shared" si="4"/>
        <v>NO</v>
      </c>
      <c r="AN30" s="1" t="str">
        <f>VLOOKUP(J30, 'Regions and Cities'!A:B, 2, FALSE)</f>
        <v>Etelä-Karjala</v>
      </c>
    </row>
    <row r="31" spans="1:40" x14ac:dyDescent="0.3">
      <c r="A31" t="s">
        <v>1959</v>
      </c>
      <c r="B31" t="s">
        <v>1960</v>
      </c>
      <c r="C31" t="s">
        <v>1961</v>
      </c>
      <c r="D31" t="s">
        <v>1962</v>
      </c>
      <c r="E31" t="s">
        <v>1963</v>
      </c>
      <c r="F31" t="s">
        <v>1964</v>
      </c>
      <c r="H31">
        <v>85</v>
      </c>
      <c r="I31" t="s">
        <v>138</v>
      </c>
      <c r="J31" t="s">
        <v>228</v>
      </c>
      <c r="K31" t="s">
        <v>61</v>
      </c>
      <c r="L31" t="s">
        <v>1965</v>
      </c>
      <c r="M31" t="s">
        <v>37</v>
      </c>
      <c r="N31" t="s">
        <v>1966</v>
      </c>
      <c r="O31" t="s">
        <v>1967</v>
      </c>
      <c r="R31" t="s">
        <v>37</v>
      </c>
      <c r="S31" t="s">
        <v>37</v>
      </c>
      <c r="T31">
        <v>61.484670000000001</v>
      </c>
      <c r="U31" t="s">
        <v>1968</v>
      </c>
      <c r="V31" t="s">
        <v>1969</v>
      </c>
      <c r="W31">
        <v>23.494720000000001</v>
      </c>
      <c r="X31">
        <v>310000</v>
      </c>
      <c r="Y31" t="s">
        <v>1970</v>
      </c>
      <c r="AA31" t="s">
        <v>63</v>
      </c>
      <c r="AB31" t="s">
        <v>39</v>
      </c>
      <c r="AC31" t="s">
        <v>480</v>
      </c>
      <c r="AD31" t="s">
        <v>75</v>
      </c>
      <c r="AE31" t="s">
        <v>1971</v>
      </c>
      <c r="AF31" t="s">
        <v>1972</v>
      </c>
      <c r="AG31" t="s">
        <v>1973</v>
      </c>
      <c r="AH31">
        <v>85</v>
      </c>
      <c r="AI31" s="2" t="str">
        <f t="shared" si="0"/>
        <v>Independent</v>
      </c>
      <c r="AJ31" s="2" t="str">
        <f t="shared" si="1"/>
        <v>YES</v>
      </c>
      <c r="AK31" s="1" t="str">
        <f t="shared" si="2"/>
        <v>Terrace</v>
      </c>
      <c r="AL31" s="1" t="str">
        <f t="shared" si="3"/>
        <v>1 Toilet</v>
      </c>
      <c r="AM31" s="1" t="str">
        <f t="shared" si="4"/>
        <v>YES</v>
      </c>
      <c r="AN31" s="1" t="str">
        <f>VLOOKUP(J31, 'Regions and Cities'!A:B, 2, FALSE)</f>
        <v>Pirkanmaa</v>
      </c>
    </row>
    <row r="32" spans="1:40" x14ac:dyDescent="0.3">
      <c r="A32" t="s">
        <v>4564</v>
      </c>
      <c r="B32" t="s">
        <v>4565</v>
      </c>
      <c r="C32" t="s">
        <v>4566</v>
      </c>
      <c r="D32" t="s">
        <v>56</v>
      </c>
      <c r="E32" t="s">
        <v>57</v>
      </c>
      <c r="F32" t="s">
        <v>58</v>
      </c>
      <c r="H32">
        <v>131</v>
      </c>
      <c r="I32" t="s">
        <v>573</v>
      </c>
      <c r="J32" t="s">
        <v>60</v>
      </c>
      <c r="K32" t="s">
        <v>131</v>
      </c>
      <c r="L32" t="s">
        <v>4567</v>
      </c>
      <c r="M32" t="s">
        <v>37</v>
      </c>
      <c r="N32" t="s">
        <v>4568</v>
      </c>
      <c r="O32" t="s">
        <v>4569</v>
      </c>
      <c r="R32" t="s">
        <v>37</v>
      </c>
      <c r="S32" t="s">
        <v>37</v>
      </c>
      <c r="T32">
        <v>60.995640000000002</v>
      </c>
      <c r="U32" t="s">
        <v>4570</v>
      </c>
      <c r="V32" t="s">
        <v>4571</v>
      </c>
      <c r="W32">
        <v>24.47194</v>
      </c>
      <c r="X32">
        <v>319000</v>
      </c>
      <c r="Y32" t="s">
        <v>1955</v>
      </c>
      <c r="AA32" t="s">
        <v>38</v>
      </c>
      <c r="AB32" t="s">
        <v>39</v>
      </c>
      <c r="AC32" t="s">
        <v>480</v>
      </c>
      <c r="AD32" t="s">
        <v>75</v>
      </c>
      <c r="AE32" t="s">
        <v>869</v>
      </c>
      <c r="AF32" t="s">
        <v>4572</v>
      </c>
      <c r="AG32" t="s">
        <v>4573</v>
      </c>
      <c r="AH32">
        <v>131</v>
      </c>
      <c r="AI32" s="2" t="str">
        <f t="shared" si="0"/>
        <v>Independent</v>
      </c>
      <c r="AJ32" s="2" t="str">
        <f t="shared" si="1"/>
        <v>YES</v>
      </c>
      <c r="AK32" s="1" t="str">
        <f t="shared" si="2"/>
        <v>None</v>
      </c>
      <c r="AL32" s="1" t="str">
        <f t="shared" si="3"/>
        <v>1 Toilet</v>
      </c>
      <c r="AM32" s="1" t="str">
        <f t="shared" si="4"/>
        <v>NO</v>
      </c>
      <c r="AN32" s="1" t="str">
        <f>VLOOKUP(J32, 'Regions and Cities'!A:B, 2, FALSE)</f>
        <v>Kanta-Häme</v>
      </c>
    </row>
    <row r="33" spans="1:40" x14ac:dyDescent="0.3">
      <c r="A33" t="s">
        <v>3033</v>
      </c>
      <c r="B33" t="s">
        <v>3034</v>
      </c>
      <c r="C33" t="s">
        <v>3035</v>
      </c>
      <c r="H33">
        <v>350</v>
      </c>
      <c r="I33" t="s">
        <v>241</v>
      </c>
      <c r="J33" t="s">
        <v>388</v>
      </c>
      <c r="K33" t="s">
        <v>3036</v>
      </c>
      <c r="L33" t="s">
        <v>3037</v>
      </c>
      <c r="M33" t="s">
        <v>37</v>
      </c>
      <c r="N33" t="s">
        <v>3038</v>
      </c>
      <c r="O33" t="s">
        <v>3039</v>
      </c>
      <c r="R33" t="s">
        <v>37</v>
      </c>
      <c r="S33" t="s">
        <v>111</v>
      </c>
      <c r="T33">
        <v>62.603758999999997</v>
      </c>
      <c r="U33" t="s">
        <v>3040</v>
      </c>
      <c r="V33" t="s">
        <v>3041</v>
      </c>
      <c r="W33">
        <v>23.734625999999999</v>
      </c>
      <c r="X33">
        <v>360000</v>
      </c>
      <c r="Y33" t="s">
        <v>236</v>
      </c>
      <c r="Z33" t="s">
        <v>3042</v>
      </c>
      <c r="AA33" t="s">
        <v>63</v>
      </c>
      <c r="AB33" t="s">
        <v>39</v>
      </c>
      <c r="AC33" t="s">
        <v>3043</v>
      </c>
      <c r="AD33" t="s">
        <v>64</v>
      </c>
      <c r="AE33" t="s">
        <v>3044</v>
      </c>
      <c r="AF33" t="s">
        <v>3045</v>
      </c>
      <c r="AG33" t="s">
        <v>3046</v>
      </c>
      <c r="AH33">
        <v>600</v>
      </c>
      <c r="AI33" s="2" t="str">
        <f t="shared" si="0"/>
        <v>Independent</v>
      </c>
      <c r="AJ33" s="2" t="str">
        <f t="shared" si="1"/>
        <v>NO</v>
      </c>
      <c r="AK33" s="1" t="str">
        <f t="shared" si="2"/>
        <v>None</v>
      </c>
      <c r="AL33" s="1" t="str">
        <f t="shared" si="3"/>
        <v>1 Toilet</v>
      </c>
      <c r="AM33" s="1" t="str">
        <f t="shared" si="4"/>
        <v>NO</v>
      </c>
      <c r="AN33" s="1" t="str">
        <f>VLOOKUP(J33, 'Regions and Cities'!A:B, 2, FALSE)</f>
        <v>Etelä-Pohjanmaa</v>
      </c>
    </row>
    <row r="34" spans="1:40" x14ac:dyDescent="0.3">
      <c r="A34" t="s">
        <v>204</v>
      </c>
      <c r="B34" t="s">
        <v>205</v>
      </c>
      <c r="C34" t="s">
        <v>206</v>
      </c>
      <c r="D34" t="s">
        <v>178</v>
      </c>
      <c r="E34" t="s">
        <v>179</v>
      </c>
      <c r="F34" t="s">
        <v>180</v>
      </c>
      <c r="H34">
        <v>52</v>
      </c>
      <c r="I34" t="s">
        <v>181</v>
      </c>
      <c r="J34" t="s">
        <v>207</v>
      </c>
      <c r="K34" t="s">
        <v>131</v>
      </c>
      <c r="L34" t="s">
        <v>6229</v>
      </c>
      <c r="M34" t="s">
        <v>37</v>
      </c>
      <c r="N34" t="s">
        <v>6230</v>
      </c>
      <c r="O34" t="s">
        <v>6231</v>
      </c>
      <c r="R34" t="s">
        <v>37</v>
      </c>
      <c r="S34" t="s">
        <v>37</v>
      </c>
      <c r="T34">
        <v>63.0764</v>
      </c>
      <c r="U34" t="s">
        <v>6232</v>
      </c>
      <c r="V34" t="s">
        <v>6233</v>
      </c>
      <c r="W34">
        <v>27.664100000000001</v>
      </c>
      <c r="X34">
        <v>28089.23</v>
      </c>
      <c r="Y34" t="s">
        <v>6234</v>
      </c>
      <c r="AA34" t="s">
        <v>38</v>
      </c>
      <c r="AB34" t="s">
        <v>39</v>
      </c>
      <c r="AC34" t="s">
        <v>480</v>
      </c>
      <c r="AD34" t="s">
        <v>40</v>
      </c>
      <c r="AE34" t="s">
        <v>41</v>
      </c>
      <c r="AF34" t="s">
        <v>6235</v>
      </c>
      <c r="AG34" t="s">
        <v>6236</v>
      </c>
      <c r="AH34"/>
      <c r="AI34" s="2" t="str">
        <f t="shared" si="0"/>
        <v>Open</v>
      </c>
      <c r="AJ34" s="2" t="str">
        <f t="shared" si="1"/>
        <v>YES</v>
      </c>
      <c r="AK34" s="1" t="str">
        <f t="shared" si="2"/>
        <v>None</v>
      </c>
      <c r="AL34" s="1" t="str">
        <f t="shared" si="3"/>
        <v>1 Toilet</v>
      </c>
      <c r="AM34" s="1" t="str">
        <f t="shared" si="4"/>
        <v>NO</v>
      </c>
      <c r="AN34" s="1" t="str">
        <f>VLOOKUP(J34, 'Regions and Cities'!A:B, 2, FALSE)</f>
        <v>Pohjois-Savo</v>
      </c>
    </row>
    <row r="35" spans="1:40" x14ac:dyDescent="0.3">
      <c r="A35" t="s">
        <v>2134</v>
      </c>
      <c r="B35" t="s">
        <v>2135</v>
      </c>
      <c r="C35" t="s">
        <v>2136</v>
      </c>
      <c r="D35" t="s">
        <v>211</v>
      </c>
      <c r="E35" t="s">
        <v>212</v>
      </c>
      <c r="F35" t="s">
        <v>79</v>
      </c>
      <c r="G35" t="s">
        <v>2137</v>
      </c>
      <c r="H35">
        <v>33.5</v>
      </c>
      <c r="I35" t="s">
        <v>2001</v>
      </c>
      <c r="J35" t="s">
        <v>130</v>
      </c>
      <c r="K35" t="s">
        <v>2138</v>
      </c>
      <c r="L35" t="s">
        <v>2139</v>
      </c>
      <c r="M35" t="s">
        <v>37</v>
      </c>
      <c r="N35" t="s">
        <v>2140</v>
      </c>
      <c r="O35" t="s">
        <v>2141</v>
      </c>
      <c r="P35" t="s">
        <v>2142</v>
      </c>
      <c r="R35" t="s">
        <v>37</v>
      </c>
      <c r="S35" t="s">
        <v>37</v>
      </c>
      <c r="T35">
        <v>62.884383</v>
      </c>
      <c r="U35" t="s">
        <v>2143</v>
      </c>
      <c r="V35" t="s">
        <v>2144</v>
      </c>
      <c r="W35">
        <v>27.667135999999999</v>
      </c>
      <c r="X35">
        <v>82000</v>
      </c>
      <c r="Y35" t="s">
        <v>245</v>
      </c>
      <c r="AA35" t="s">
        <v>38</v>
      </c>
      <c r="AB35" t="s">
        <v>39</v>
      </c>
      <c r="AC35" t="s">
        <v>480</v>
      </c>
      <c r="AD35" t="s">
        <v>202</v>
      </c>
      <c r="AE35" t="s">
        <v>2145</v>
      </c>
      <c r="AF35" t="s">
        <v>2146</v>
      </c>
      <c r="AG35" t="s">
        <v>2147</v>
      </c>
      <c r="AH35">
        <v>33.5</v>
      </c>
      <c r="AI35" s="2" t="str">
        <f t="shared" si="0"/>
        <v>Kitchenette</v>
      </c>
      <c r="AJ35" s="2" t="str">
        <f t="shared" si="1"/>
        <v>NO</v>
      </c>
      <c r="AK35" s="1" t="str">
        <f t="shared" si="2"/>
        <v>None</v>
      </c>
      <c r="AL35" s="1" t="str">
        <f t="shared" si="3"/>
        <v>1 Toilet</v>
      </c>
      <c r="AM35" s="1" t="str">
        <f t="shared" si="4"/>
        <v>NO</v>
      </c>
      <c r="AN35" s="1" t="str">
        <f>VLOOKUP(J35, 'Regions and Cities'!A:B, 2, FALSE)</f>
        <v>Pohjois-Savo</v>
      </c>
    </row>
    <row r="36" spans="1:40" x14ac:dyDescent="0.3">
      <c r="A36" t="s">
        <v>1442</v>
      </c>
      <c r="B36" t="s">
        <v>1443</v>
      </c>
      <c r="C36" t="s">
        <v>1444</v>
      </c>
      <c r="D36" t="s">
        <v>1445</v>
      </c>
      <c r="E36" t="s">
        <v>1446</v>
      </c>
      <c r="F36" t="s">
        <v>105</v>
      </c>
      <c r="G36" t="s">
        <v>1447</v>
      </c>
      <c r="H36">
        <v>121</v>
      </c>
      <c r="I36" t="s">
        <v>201</v>
      </c>
      <c r="J36" t="s">
        <v>73</v>
      </c>
      <c r="K36" t="s">
        <v>1448</v>
      </c>
      <c r="L36" t="s">
        <v>1449</v>
      </c>
      <c r="M36" t="s">
        <v>37</v>
      </c>
      <c r="N36" t="s">
        <v>1450</v>
      </c>
      <c r="O36" t="s">
        <v>1451</v>
      </c>
      <c r="P36" t="s">
        <v>1452</v>
      </c>
      <c r="R36" t="s">
        <v>37</v>
      </c>
      <c r="S36" t="s">
        <v>37</v>
      </c>
      <c r="T36">
        <v>62.176532000000002</v>
      </c>
      <c r="U36" t="s">
        <v>1453</v>
      </c>
      <c r="V36" t="s">
        <v>1454</v>
      </c>
      <c r="W36">
        <v>25.715724999999999</v>
      </c>
      <c r="X36">
        <v>279000</v>
      </c>
      <c r="Y36" t="s">
        <v>1455</v>
      </c>
      <c r="AA36" t="s">
        <v>63</v>
      </c>
      <c r="AB36" t="s">
        <v>39</v>
      </c>
      <c r="AC36" t="s">
        <v>480</v>
      </c>
      <c r="AD36" t="s">
        <v>55</v>
      </c>
      <c r="AE36" t="s">
        <v>1456</v>
      </c>
      <c r="AF36" t="s">
        <v>1457</v>
      </c>
      <c r="AG36" t="s">
        <v>1458</v>
      </c>
      <c r="AH36">
        <v>136</v>
      </c>
      <c r="AI36" s="2" t="str">
        <f t="shared" si="0"/>
        <v>Independent</v>
      </c>
      <c r="AJ36" s="2" t="str">
        <f t="shared" si="1"/>
        <v>NO</v>
      </c>
      <c r="AK36" s="1" t="str">
        <f t="shared" si="2"/>
        <v>None</v>
      </c>
      <c r="AL36" s="1" t="str">
        <f t="shared" si="3"/>
        <v>1 Toilet</v>
      </c>
      <c r="AM36" s="1" t="str">
        <f t="shared" si="4"/>
        <v>YES</v>
      </c>
      <c r="AN36" s="1" t="str">
        <f>VLOOKUP(J36, 'Regions and Cities'!A:B, 2, FALSE)</f>
        <v>Keski-Suomi</v>
      </c>
    </row>
    <row r="37" spans="1:40" x14ac:dyDescent="0.3">
      <c r="A37" t="s">
        <v>5636</v>
      </c>
      <c r="B37" t="s">
        <v>5637</v>
      </c>
      <c r="C37" t="s">
        <v>1396</v>
      </c>
      <c r="D37" t="s">
        <v>1015</v>
      </c>
      <c r="E37" t="s">
        <v>1016</v>
      </c>
      <c r="F37" t="s">
        <v>1017</v>
      </c>
      <c r="H37">
        <v>89</v>
      </c>
      <c r="I37" t="s">
        <v>861</v>
      </c>
      <c r="J37" t="s">
        <v>352</v>
      </c>
      <c r="K37" t="s">
        <v>1400</v>
      </c>
      <c r="L37" t="s">
        <v>5638</v>
      </c>
      <c r="M37" t="s">
        <v>37</v>
      </c>
      <c r="N37" t="s">
        <v>5639</v>
      </c>
      <c r="O37" t="s">
        <v>5640</v>
      </c>
      <c r="R37" t="s">
        <v>37</v>
      </c>
      <c r="S37" t="s">
        <v>37</v>
      </c>
      <c r="T37">
        <v>61.577706999999997</v>
      </c>
      <c r="U37" t="s">
        <v>5641</v>
      </c>
      <c r="V37" t="s">
        <v>5642</v>
      </c>
      <c r="W37">
        <v>23.627215</v>
      </c>
      <c r="X37">
        <v>185000</v>
      </c>
      <c r="Y37" t="s">
        <v>230</v>
      </c>
      <c r="AA37" t="s">
        <v>45</v>
      </c>
      <c r="AB37" t="s">
        <v>39</v>
      </c>
      <c r="AC37" t="s">
        <v>480</v>
      </c>
      <c r="AD37" t="s">
        <v>75</v>
      </c>
      <c r="AE37" t="s">
        <v>217</v>
      </c>
      <c r="AF37" t="s">
        <v>5643</v>
      </c>
      <c r="AG37" t="s">
        <v>5644</v>
      </c>
      <c r="AH37">
        <v>89</v>
      </c>
      <c r="AI37" s="2" t="str">
        <f t="shared" si="0"/>
        <v>Independent</v>
      </c>
      <c r="AJ37" s="2" t="str">
        <f t="shared" si="1"/>
        <v>NO</v>
      </c>
      <c r="AK37" s="1" t="str">
        <f t="shared" si="2"/>
        <v>None</v>
      </c>
      <c r="AL37" s="1" t="str">
        <f t="shared" si="3"/>
        <v>1 Toilet</v>
      </c>
      <c r="AM37" s="1" t="str">
        <f t="shared" si="4"/>
        <v>NO</v>
      </c>
      <c r="AN37" s="1" t="str">
        <f>VLOOKUP(J37, 'Regions and Cities'!A:B, 2, FALSE)</f>
        <v>Pirkanmaa</v>
      </c>
    </row>
    <row r="38" spans="1:40" x14ac:dyDescent="0.3">
      <c r="A38" t="s">
        <v>8635</v>
      </c>
      <c r="B38" t="s">
        <v>8636</v>
      </c>
      <c r="C38" t="s">
        <v>1505</v>
      </c>
      <c r="D38" t="s">
        <v>1976</v>
      </c>
      <c r="E38" t="s">
        <v>1977</v>
      </c>
      <c r="H38">
        <v>95</v>
      </c>
      <c r="I38" t="s">
        <v>136</v>
      </c>
      <c r="J38" t="s">
        <v>137</v>
      </c>
      <c r="K38" t="s">
        <v>1508</v>
      </c>
      <c r="L38" t="s">
        <v>8637</v>
      </c>
      <c r="M38" t="s">
        <v>37</v>
      </c>
      <c r="N38" t="s">
        <v>8638</v>
      </c>
      <c r="O38" t="s">
        <v>8639</v>
      </c>
      <c r="R38" t="s">
        <v>37</v>
      </c>
      <c r="S38" t="s">
        <v>37</v>
      </c>
      <c r="T38">
        <v>60.205199999999998</v>
      </c>
      <c r="U38" t="s">
        <v>8640</v>
      </c>
      <c r="V38" t="s">
        <v>8641</v>
      </c>
      <c r="W38">
        <v>25.158329999999999</v>
      </c>
      <c r="X38">
        <v>379000</v>
      </c>
      <c r="Y38" t="s">
        <v>3243</v>
      </c>
      <c r="AA38" t="s">
        <v>38</v>
      </c>
      <c r="AB38" t="s">
        <v>39</v>
      </c>
      <c r="AC38" t="s">
        <v>6510</v>
      </c>
      <c r="AD38" t="s">
        <v>46</v>
      </c>
      <c r="AE38" t="s">
        <v>8642</v>
      </c>
      <c r="AF38" t="s">
        <v>8643</v>
      </c>
      <c r="AG38" t="s">
        <v>8644</v>
      </c>
      <c r="AH38">
        <v>95</v>
      </c>
      <c r="AI38" s="2" t="str">
        <f t="shared" si="0"/>
        <v>Independent</v>
      </c>
      <c r="AJ38" s="2" t="str">
        <f t="shared" si="1"/>
        <v>YES</v>
      </c>
      <c r="AK38" s="1" t="str">
        <f t="shared" si="2"/>
        <v>None</v>
      </c>
      <c r="AL38" s="1" t="str">
        <f t="shared" si="3"/>
        <v>2 Toilets</v>
      </c>
      <c r="AM38" s="1" t="str">
        <f t="shared" si="4"/>
        <v>NO</v>
      </c>
      <c r="AN38" s="1" t="str">
        <f>VLOOKUP(J38, 'Regions and Cities'!A:B, 2, FALSE)</f>
        <v>Uusimaa</v>
      </c>
    </row>
    <row r="39" spans="1:40" x14ac:dyDescent="0.3">
      <c r="A39" t="s">
        <v>1762</v>
      </c>
      <c r="B39" t="s">
        <v>1763</v>
      </c>
      <c r="C39" t="s">
        <v>1764</v>
      </c>
      <c r="H39">
        <v>83</v>
      </c>
      <c r="I39" t="s">
        <v>43</v>
      </c>
      <c r="J39" t="s">
        <v>126</v>
      </c>
      <c r="K39" t="s">
        <v>1765</v>
      </c>
      <c r="L39" t="s">
        <v>1766</v>
      </c>
      <c r="M39" t="s">
        <v>37</v>
      </c>
      <c r="N39" t="s">
        <v>1767</v>
      </c>
      <c r="O39" t="s">
        <v>1768</v>
      </c>
      <c r="R39" t="s">
        <v>37</v>
      </c>
      <c r="S39" t="s">
        <v>111</v>
      </c>
      <c r="T39">
        <v>60.236553000000001</v>
      </c>
      <c r="U39" t="s">
        <v>1769</v>
      </c>
      <c r="V39" t="s">
        <v>1770</v>
      </c>
      <c r="W39">
        <v>24.702580999999999</v>
      </c>
      <c r="X39">
        <v>300000</v>
      </c>
      <c r="Y39" t="s">
        <v>1771</v>
      </c>
      <c r="Z39" t="s">
        <v>1772</v>
      </c>
      <c r="AA39" t="s">
        <v>45</v>
      </c>
      <c r="AB39" t="s">
        <v>39</v>
      </c>
      <c r="AC39" t="s">
        <v>1773</v>
      </c>
      <c r="AD39" t="s">
        <v>75</v>
      </c>
      <c r="AE39" t="s">
        <v>1774</v>
      </c>
      <c r="AF39" t="s">
        <v>1775</v>
      </c>
      <c r="AG39" t="s">
        <v>1776</v>
      </c>
      <c r="AH39">
        <v>83</v>
      </c>
      <c r="AI39" s="2" t="str">
        <f t="shared" si="0"/>
        <v>Independent</v>
      </c>
      <c r="AJ39" s="2" t="str">
        <f t="shared" si="1"/>
        <v>YES</v>
      </c>
      <c r="AK39" s="1" t="str">
        <f t="shared" si="2"/>
        <v>Standard Balcony</v>
      </c>
      <c r="AL39" s="1" t="str">
        <f t="shared" si="3"/>
        <v>1 Toilet</v>
      </c>
      <c r="AM39" s="1" t="str">
        <f t="shared" si="4"/>
        <v>YES</v>
      </c>
      <c r="AN39" s="1" t="str">
        <f>VLOOKUP(J39, 'Regions and Cities'!A:B, 2, FALSE)</f>
        <v>Uusimaa</v>
      </c>
    </row>
    <row r="40" spans="1:40" x14ac:dyDescent="0.3">
      <c r="A40" t="s">
        <v>9058</v>
      </c>
      <c r="B40" t="s">
        <v>9059</v>
      </c>
      <c r="C40" t="s">
        <v>9060</v>
      </c>
      <c r="D40" t="s">
        <v>9061</v>
      </c>
      <c r="E40" t="s">
        <v>9062</v>
      </c>
      <c r="F40" t="s">
        <v>9063</v>
      </c>
      <c r="H40">
        <v>39</v>
      </c>
      <c r="I40" t="s">
        <v>119</v>
      </c>
      <c r="J40" t="s">
        <v>437</v>
      </c>
      <c r="K40" t="s">
        <v>9064</v>
      </c>
      <c r="L40" t="s">
        <v>9065</v>
      </c>
      <c r="M40" t="s">
        <v>37</v>
      </c>
      <c r="N40" t="s">
        <v>9066</v>
      </c>
      <c r="O40" t="s">
        <v>9067</v>
      </c>
      <c r="R40" t="s">
        <v>37</v>
      </c>
      <c r="S40" t="s">
        <v>37</v>
      </c>
      <c r="T40">
        <v>60.023159999999997</v>
      </c>
      <c r="U40" t="s">
        <v>9068</v>
      </c>
      <c r="V40" t="s">
        <v>9069</v>
      </c>
      <c r="W40">
        <v>22.51821</v>
      </c>
      <c r="X40">
        <v>34000</v>
      </c>
      <c r="Y40" t="s">
        <v>4649</v>
      </c>
      <c r="AA40" t="s">
        <v>38</v>
      </c>
      <c r="AB40" t="s">
        <v>39</v>
      </c>
      <c r="AC40" t="s">
        <v>6510</v>
      </c>
      <c r="AD40" t="s">
        <v>202</v>
      </c>
      <c r="AE40" t="s">
        <v>311</v>
      </c>
      <c r="AF40" t="s">
        <v>9070</v>
      </c>
      <c r="AG40" t="s">
        <v>9071</v>
      </c>
      <c r="AH40">
        <v>39</v>
      </c>
      <c r="AI40" s="2" t="str">
        <f t="shared" si="0"/>
        <v>Independent</v>
      </c>
      <c r="AJ40" s="2" t="str">
        <f t="shared" si="1"/>
        <v>NO</v>
      </c>
      <c r="AK40" s="1" t="str">
        <f t="shared" si="2"/>
        <v>None</v>
      </c>
      <c r="AL40" s="1" t="str">
        <f t="shared" si="3"/>
        <v>1 Toilet</v>
      </c>
      <c r="AM40" s="1" t="str">
        <f t="shared" si="4"/>
        <v>NO</v>
      </c>
      <c r="AN40" s="1" t="str">
        <f>VLOOKUP(J40, 'Regions and Cities'!A:B, 2, FALSE)</f>
        <v>Varsinais-Suomi</v>
      </c>
    </row>
    <row r="41" spans="1:40" x14ac:dyDescent="0.3">
      <c r="A41" t="s">
        <v>7559</v>
      </c>
      <c r="B41" t="s">
        <v>7560</v>
      </c>
      <c r="C41" t="s">
        <v>7561</v>
      </c>
      <c r="D41" t="s">
        <v>7041</v>
      </c>
      <c r="E41" t="s">
        <v>7042</v>
      </c>
      <c r="F41" t="s">
        <v>7043</v>
      </c>
      <c r="H41">
        <v>77.5</v>
      </c>
      <c r="I41" t="s">
        <v>191</v>
      </c>
      <c r="J41" t="s">
        <v>126</v>
      </c>
      <c r="K41" t="s">
        <v>7562</v>
      </c>
      <c r="L41" t="s">
        <v>7563</v>
      </c>
      <c r="M41" t="s">
        <v>37</v>
      </c>
      <c r="N41" t="s">
        <v>7564</v>
      </c>
      <c r="O41" t="s">
        <v>7565</v>
      </c>
      <c r="R41" t="s">
        <v>37</v>
      </c>
      <c r="S41" t="s">
        <v>37</v>
      </c>
      <c r="T41">
        <v>60.225949999999997</v>
      </c>
      <c r="U41" t="s">
        <v>7566</v>
      </c>
      <c r="V41" t="s">
        <v>7567</v>
      </c>
      <c r="W41">
        <v>24.620259999999998</v>
      </c>
      <c r="X41">
        <v>399000</v>
      </c>
      <c r="Y41" t="s">
        <v>5120</v>
      </c>
      <c r="AA41" t="s">
        <v>54</v>
      </c>
      <c r="AB41" t="s">
        <v>39</v>
      </c>
      <c r="AC41" t="s">
        <v>6510</v>
      </c>
      <c r="AD41" t="s">
        <v>75</v>
      </c>
      <c r="AE41" t="s">
        <v>7568</v>
      </c>
      <c r="AF41" t="s">
        <v>7569</v>
      </c>
      <c r="AG41" t="s">
        <v>7570</v>
      </c>
      <c r="AH41">
        <v>81.599999999999994</v>
      </c>
      <c r="AI41" s="2" t="str">
        <f t="shared" si="0"/>
        <v>Independent</v>
      </c>
      <c r="AJ41" s="2" t="str">
        <f t="shared" si="1"/>
        <v>YES</v>
      </c>
      <c r="AK41" s="1" t="str">
        <f t="shared" si="2"/>
        <v>None</v>
      </c>
      <c r="AL41" s="1" t="str">
        <f t="shared" si="3"/>
        <v>1 Toilet</v>
      </c>
      <c r="AM41" s="1" t="str">
        <f t="shared" si="4"/>
        <v>YES</v>
      </c>
      <c r="AN41" s="1" t="str">
        <f>VLOOKUP(J41, 'Regions and Cities'!A:B, 2, FALSE)</f>
        <v>Uusimaa</v>
      </c>
    </row>
    <row r="42" spans="1:40" x14ac:dyDescent="0.3">
      <c r="A42" t="s">
        <v>484</v>
      </c>
      <c r="B42" t="s">
        <v>485</v>
      </c>
      <c r="C42" t="s">
        <v>486</v>
      </c>
      <c r="D42" t="s">
        <v>487</v>
      </c>
      <c r="E42" t="s">
        <v>488</v>
      </c>
      <c r="F42" t="s">
        <v>50</v>
      </c>
      <c r="G42" t="s">
        <v>489</v>
      </c>
      <c r="H42">
        <v>145</v>
      </c>
      <c r="I42" t="s">
        <v>490</v>
      </c>
      <c r="J42" t="s">
        <v>340</v>
      </c>
      <c r="K42" t="s">
        <v>491</v>
      </c>
      <c r="L42" t="s">
        <v>492</v>
      </c>
      <c r="M42" t="s">
        <v>37</v>
      </c>
      <c r="N42" t="s">
        <v>493</v>
      </c>
      <c r="O42" t="s">
        <v>494</v>
      </c>
      <c r="P42" t="s">
        <v>495</v>
      </c>
      <c r="R42" t="s">
        <v>37</v>
      </c>
      <c r="S42" t="s">
        <v>37</v>
      </c>
      <c r="T42">
        <v>60.343800000000002</v>
      </c>
      <c r="U42" t="s">
        <v>496</v>
      </c>
      <c r="V42" t="s">
        <v>497</v>
      </c>
      <c r="W42">
        <v>25.288409999999999</v>
      </c>
      <c r="X42">
        <v>235000</v>
      </c>
      <c r="Y42" t="s">
        <v>234</v>
      </c>
      <c r="AA42" t="s">
        <v>63</v>
      </c>
      <c r="AB42" t="s">
        <v>39</v>
      </c>
      <c r="AC42" t="s">
        <v>480</v>
      </c>
      <c r="AD42" t="s">
        <v>75</v>
      </c>
      <c r="AE42" t="s">
        <v>498</v>
      </c>
      <c r="AF42" t="s">
        <v>499</v>
      </c>
      <c r="AG42" t="s">
        <v>500</v>
      </c>
      <c r="AH42">
        <v>205</v>
      </c>
      <c r="AI42" s="2" t="str">
        <f t="shared" si="0"/>
        <v>Independent</v>
      </c>
      <c r="AJ42" s="2" t="str">
        <f t="shared" si="1"/>
        <v>YES</v>
      </c>
      <c r="AK42" s="1" t="str">
        <f t="shared" si="2"/>
        <v>None</v>
      </c>
      <c r="AL42" s="1" t="str">
        <f t="shared" si="3"/>
        <v>1 Toilet</v>
      </c>
      <c r="AM42" s="1" t="str">
        <f t="shared" si="4"/>
        <v>YES</v>
      </c>
      <c r="AN42" s="1" t="str">
        <f>VLOOKUP(J42, 'Regions and Cities'!A:B, 2, FALSE)</f>
        <v>Uusimaa</v>
      </c>
    </row>
    <row r="43" spans="1:40" x14ac:dyDescent="0.3">
      <c r="A43" t="s">
        <v>3765</v>
      </c>
      <c r="B43" t="s">
        <v>3766</v>
      </c>
      <c r="C43" t="s">
        <v>3767</v>
      </c>
      <c r="D43" t="s">
        <v>3768</v>
      </c>
      <c r="E43" t="s">
        <v>3769</v>
      </c>
      <c r="F43" t="s">
        <v>70</v>
      </c>
      <c r="G43" t="s">
        <v>3770</v>
      </c>
      <c r="H43">
        <v>252</v>
      </c>
      <c r="I43" t="s">
        <v>3771</v>
      </c>
      <c r="J43" t="s">
        <v>340</v>
      </c>
      <c r="K43" t="s">
        <v>3772</v>
      </c>
      <c r="L43" t="s">
        <v>3773</v>
      </c>
      <c r="M43" t="s">
        <v>37</v>
      </c>
      <c r="N43" t="s">
        <v>3774</v>
      </c>
      <c r="O43" t="s">
        <v>3775</v>
      </c>
      <c r="P43" t="s">
        <v>3776</v>
      </c>
      <c r="R43" t="s">
        <v>37</v>
      </c>
      <c r="S43" t="s">
        <v>37</v>
      </c>
      <c r="T43">
        <v>60.416795</v>
      </c>
      <c r="U43" t="s">
        <v>3777</v>
      </c>
      <c r="V43" t="s">
        <v>3778</v>
      </c>
      <c r="W43">
        <v>25.311098000000001</v>
      </c>
      <c r="X43">
        <v>585000</v>
      </c>
      <c r="Y43" t="s">
        <v>3779</v>
      </c>
      <c r="AA43" t="s">
        <v>63</v>
      </c>
      <c r="AB43" t="s">
        <v>39</v>
      </c>
      <c r="AC43" t="s">
        <v>480</v>
      </c>
      <c r="AD43" t="s">
        <v>64</v>
      </c>
      <c r="AE43" t="s">
        <v>3780</v>
      </c>
      <c r="AF43" t="s">
        <v>3781</v>
      </c>
      <c r="AG43" t="s">
        <v>3782</v>
      </c>
      <c r="AH43">
        <v>315</v>
      </c>
      <c r="AI43" s="2" t="str">
        <f t="shared" si="0"/>
        <v>Independent</v>
      </c>
      <c r="AJ43" s="2" t="str">
        <f t="shared" si="1"/>
        <v>NO</v>
      </c>
      <c r="AK43" s="1" t="str">
        <f t="shared" si="2"/>
        <v>None</v>
      </c>
      <c r="AL43" s="1" t="str">
        <f t="shared" si="3"/>
        <v>1 Toilet</v>
      </c>
      <c r="AM43" s="1" t="str">
        <f t="shared" si="4"/>
        <v>NO</v>
      </c>
      <c r="AN43" s="1" t="str">
        <f>VLOOKUP(J43, 'Regions and Cities'!A:B, 2, FALSE)</f>
        <v>Uusimaa</v>
      </c>
    </row>
    <row r="44" spans="1:40" x14ac:dyDescent="0.3">
      <c r="A44" t="s">
        <v>9425</v>
      </c>
      <c r="B44" t="s">
        <v>9426</v>
      </c>
      <c r="C44" t="s">
        <v>9427</v>
      </c>
      <c r="D44" t="s">
        <v>9428</v>
      </c>
      <c r="E44" t="s">
        <v>9429</v>
      </c>
      <c r="F44" t="s">
        <v>1493</v>
      </c>
      <c r="H44">
        <v>72</v>
      </c>
      <c r="I44" t="s">
        <v>4114</v>
      </c>
      <c r="J44" t="s">
        <v>137</v>
      </c>
      <c r="K44" t="s">
        <v>9430</v>
      </c>
      <c r="L44" t="s">
        <v>9431</v>
      </c>
      <c r="M44" t="s">
        <v>37</v>
      </c>
      <c r="N44" t="s">
        <v>9432</v>
      </c>
      <c r="O44" t="s">
        <v>9433</v>
      </c>
      <c r="R44" t="s">
        <v>37</v>
      </c>
      <c r="S44" t="s">
        <v>37</v>
      </c>
      <c r="T44">
        <v>60.160766000000002</v>
      </c>
      <c r="U44" t="s">
        <v>9434</v>
      </c>
      <c r="V44" t="s">
        <v>9435</v>
      </c>
      <c r="W44">
        <v>24.930956999999999</v>
      </c>
      <c r="X44">
        <v>528000</v>
      </c>
      <c r="Y44" t="s">
        <v>9436</v>
      </c>
      <c r="AA44" t="s">
        <v>38</v>
      </c>
      <c r="AB44" t="s">
        <v>39</v>
      </c>
      <c r="AC44" t="s">
        <v>6510</v>
      </c>
      <c r="AD44" t="s">
        <v>40</v>
      </c>
      <c r="AE44" t="s">
        <v>9437</v>
      </c>
      <c r="AF44" t="s">
        <v>9438</v>
      </c>
      <c r="AG44" t="s">
        <v>9439</v>
      </c>
      <c r="AH44">
        <v>72</v>
      </c>
      <c r="AI44" s="2" t="str">
        <f t="shared" si="0"/>
        <v>Independent</v>
      </c>
      <c r="AJ44" s="2" t="str">
        <f t="shared" si="1"/>
        <v>NO</v>
      </c>
      <c r="AK44" s="1" t="str">
        <f t="shared" si="2"/>
        <v>None</v>
      </c>
      <c r="AL44" s="1" t="str">
        <f t="shared" si="3"/>
        <v>1 Toilet</v>
      </c>
      <c r="AM44" s="1" t="str">
        <f t="shared" si="4"/>
        <v>NO</v>
      </c>
      <c r="AN44" s="1" t="str">
        <f>VLOOKUP(J44, 'Regions and Cities'!A:B, 2, FALSE)</f>
        <v>Uusimaa</v>
      </c>
    </row>
    <row r="45" spans="1:40" x14ac:dyDescent="0.3">
      <c r="A45" t="s">
        <v>5067</v>
      </c>
      <c r="B45" t="s">
        <v>5068</v>
      </c>
      <c r="C45" t="s">
        <v>5069</v>
      </c>
      <c r="D45" t="s">
        <v>5070</v>
      </c>
      <c r="E45" t="s">
        <v>5071</v>
      </c>
      <c r="F45" t="s">
        <v>105</v>
      </c>
      <c r="H45">
        <v>70</v>
      </c>
      <c r="I45" t="s">
        <v>818</v>
      </c>
      <c r="J45" t="s">
        <v>409</v>
      </c>
      <c r="K45" t="s">
        <v>5072</v>
      </c>
      <c r="L45" t="s">
        <v>5073</v>
      </c>
      <c r="M45" t="s">
        <v>37</v>
      </c>
      <c r="N45" t="s">
        <v>5074</v>
      </c>
      <c r="O45" t="s">
        <v>5075</v>
      </c>
      <c r="R45" t="s">
        <v>37</v>
      </c>
      <c r="S45" t="s">
        <v>37</v>
      </c>
      <c r="T45">
        <v>59.971764999999998</v>
      </c>
      <c r="U45" t="s">
        <v>5076</v>
      </c>
      <c r="V45" t="s">
        <v>5077</v>
      </c>
      <c r="W45">
        <v>23.441039</v>
      </c>
      <c r="X45">
        <v>169000</v>
      </c>
      <c r="Y45" t="s">
        <v>1088</v>
      </c>
      <c r="AA45" t="s">
        <v>38</v>
      </c>
      <c r="AB45" t="s">
        <v>39</v>
      </c>
      <c r="AC45" t="s">
        <v>5032</v>
      </c>
      <c r="AD45" t="s">
        <v>46</v>
      </c>
      <c r="AE45" t="s">
        <v>5078</v>
      </c>
      <c r="AF45" t="s">
        <v>5079</v>
      </c>
      <c r="AG45" t="s">
        <v>5080</v>
      </c>
      <c r="AH45"/>
      <c r="AI45" s="2" t="str">
        <f t="shared" si="0"/>
        <v>Independent</v>
      </c>
      <c r="AJ45" s="2" t="str">
        <f t="shared" si="1"/>
        <v>NO</v>
      </c>
      <c r="AK45" s="1" t="str">
        <f t="shared" si="2"/>
        <v>None</v>
      </c>
      <c r="AL45" s="1" t="str">
        <f t="shared" si="3"/>
        <v>1 Toilet</v>
      </c>
      <c r="AM45" s="1" t="str">
        <f t="shared" si="4"/>
        <v>NO</v>
      </c>
      <c r="AN45" s="1" t="str">
        <f>VLOOKUP(J45, 'Regions and Cities'!A:B, 2, FALSE)</f>
        <v>Uusimaa</v>
      </c>
    </row>
    <row r="46" spans="1:40" x14ac:dyDescent="0.3">
      <c r="A46" t="s">
        <v>7918</v>
      </c>
      <c r="B46" t="s">
        <v>7919</v>
      </c>
      <c r="C46" t="s">
        <v>7920</v>
      </c>
      <c r="D46" t="s">
        <v>7921</v>
      </c>
      <c r="E46" t="s">
        <v>7922</v>
      </c>
      <c r="F46" t="s">
        <v>187</v>
      </c>
      <c r="H46">
        <v>172</v>
      </c>
      <c r="I46" t="s">
        <v>1582</v>
      </c>
      <c r="J46" t="s">
        <v>403</v>
      </c>
      <c r="K46" t="s">
        <v>7923</v>
      </c>
      <c r="L46" t="s">
        <v>7924</v>
      </c>
      <c r="M46" t="s">
        <v>37</v>
      </c>
      <c r="N46" t="s">
        <v>7925</v>
      </c>
      <c r="O46" t="s">
        <v>7926</v>
      </c>
      <c r="R46" t="s">
        <v>37</v>
      </c>
      <c r="S46" t="s">
        <v>37</v>
      </c>
      <c r="T46">
        <v>62.737830000000002</v>
      </c>
      <c r="U46" t="s">
        <v>7927</v>
      </c>
      <c r="V46" t="s">
        <v>7928</v>
      </c>
      <c r="W46">
        <v>22.573560000000001</v>
      </c>
      <c r="X46">
        <v>275000</v>
      </c>
      <c r="Y46" t="s">
        <v>4681</v>
      </c>
      <c r="AA46" t="s">
        <v>63</v>
      </c>
      <c r="AB46" t="s">
        <v>39</v>
      </c>
      <c r="AC46" t="s">
        <v>6510</v>
      </c>
      <c r="AD46" t="s">
        <v>75</v>
      </c>
      <c r="AE46" t="s">
        <v>7929</v>
      </c>
      <c r="AF46" t="s">
        <v>7930</v>
      </c>
      <c r="AG46" t="s">
        <v>7931</v>
      </c>
      <c r="AH46">
        <v>172</v>
      </c>
      <c r="AI46" s="2" t="str">
        <f t="shared" si="0"/>
        <v>Independent</v>
      </c>
      <c r="AJ46" s="2" t="str">
        <f t="shared" si="1"/>
        <v>NO</v>
      </c>
      <c r="AK46" s="1" t="str">
        <f t="shared" si="2"/>
        <v>None</v>
      </c>
      <c r="AL46" s="1" t="str">
        <f t="shared" si="3"/>
        <v>1 Toilet</v>
      </c>
      <c r="AM46" s="1" t="str">
        <f t="shared" si="4"/>
        <v>NO</v>
      </c>
      <c r="AN46" s="1" t="str">
        <f>VLOOKUP(J46, 'Regions and Cities'!A:B, 2, FALSE)</f>
        <v>Etelä-Pohjanmaa</v>
      </c>
    </row>
    <row r="47" spans="1:40" x14ac:dyDescent="0.3">
      <c r="A47" t="s">
        <v>2803</v>
      </c>
      <c r="B47" t="s">
        <v>2804</v>
      </c>
      <c r="C47" t="s">
        <v>2805</v>
      </c>
      <c r="D47" t="s">
        <v>1717</v>
      </c>
      <c r="E47" t="s">
        <v>1718</v>
      </c>
      <c r="F47" t="s">
        <v>1719</v>
      </c>
      <c r="H47">
        <v>76</v>
      </c>
      <c r="I47" t="s">
        <v>147</v>
      </c>
      <c r="J47" t="s">
        <v>137</v>
      </c>
      <c r="K47" t="s">
        <v>2806</v>
      </c>
      <c r="L47" t="s">
        <v>2807</v>
      </c>
      <c r="M47" t="s">
        <v>37</v>
      </c>
      <c r="N47" t="s">
        <v>2808</v>
      </c>
      <c r="O47" t="s">
        <v>2809</v>
      </c>
      <c r="R47" t="s">
        <v>111</v>
      </c>
      <c r="S47" t="s">
        <v>37</v>
      </c>
      <c r="T47">
        <v>60.224888</v>
      </c>
      <c r="U47" t="s">
        <v>2810</v>
      </c>
      <c r="V47" t="s">
        <v>2811</v>
      </c>
      <c r="W47">
        <v>25.134851999999999</v>
      </c>
      <c r="X47">
        <v>52243.83</v>
      </c>
      <c r="Y47" t="s">
        <v>2812</v>
      </c>
      <c r="AA47" t="s">
        <v>38</v>
      </c>
      <c r="AB47" t="s">
        <v>39</v>
      </c>
      <c r="AC47" t="s">
        <v>2813</v>
      </c>
      <c r="AD47" t="s">
        <v>75</v>
      </c>
      <c r="AE47" t="s">
        <v>2039</v>
      </c>
      <c r="AF47" t="s">
        <v>2814</v>
      </c>
      <c r="AG47" t="s">
        <v>2815</v>
      </c>
      <c r="AH47"/>
      <c r="AI47" s="2" t="str">
        <f t="shared" si="0"/>
        <v>Open</v>
      </c>
      <c r="AJ47" s="2" t="str">
        <f t="shared" si="1"/>
        <v>NO</v>
      </c>
      <c r="AK47" s="1" t="str">
        <f t="shared" si="2"/>
        <v>None</v>
      </c>
      <c r="AL47" s="1" t="str">
        <f t="shared" si="3"/>
        <v>1 Toilet</v>
      </c>
      <c r="AM47" s="1" t="str">
        <f t="shared" si="4"/>
        <v>NO</v>
      </c>
      <c r="AN47" s="1" t="str">
        <f>VLOOKUP(J47, 'Regions and Cities'!A:B, 2, FALSE)</f>
        <v>Uusimaa</v>
      </c>
    </row>
    <row r="48" spans="1:40" x14ac:dyDescent="0.3">
      <c r="A48" t="s">
        <v>9017</v>
      </c>
      <c r="B48" t="s">
        <v>9018</v>
      </c>
      <c r="C48" t="s">
        <v>534</v>
      </c>
      <c r="D48" t="s">
        <v>7366</v>
      </c>
      <c r="E48" t="s">
        <v>7367</v>
      </c>
      <c r="F48" t="s">
        <v>7368</v>
      </c>
      <c r="G48" t="s">
        <v>9019</v>
      </c>
      <c r="H48">
        <v>61.5</v>
      </c>
      <c r="I48" t="s">
        <v>3771</v>
      </c>
      <c r="J48" t="s">
        <v>341</v>
      </c>
      <c r="K48" t="s">
        <v>131</v>
      </c>
      <c r="L48" t="s">
        <v>9020</v>
      </c>
      <c r="M48" t="s">
        <v>37</v>
      </c>
      <c r="N48" t="s">
        <v>9021</v>
      </c>
      <c r="O48" t="s">
        <v>9022</v>
      </c>
      <c r="P48" t="s">
        <v>9023</v>
      </c>
      <c r="R48" t="s">
        <v>37</v>
      </c>
      <c r="S48" t="s">
        <v>37</v>
      </c>
      <c r="T48">
        <v>61.485576999999999</v>
      </c>
      <c r="U48" t="s">
        <v>9024</v>
      </c>
      <c r="V48" t="s">
        <v>9025</v>
      </c>
      <c r="W48">
        <v>21.791117</v>
      </c>
      <c r="X48">
        <v>84000</v>
      </c>
      <c r="Y48" t="s">
        <v>9026</v>
      </c>
      <c r="AA48" t="s">
        <v>38</v>
      </c>
      <c r="AB48" t="s">
        <v>39</v>
      </c>
      <c r="AC48" t="s">
        <v>9027</v>
      </c>
      <c r="AD48" t="s">
        <v>40</v>
      </c>
      <c r="AE48" t="s">
        <v>9028</v>
      </c>
      <c r="AF48" t="s">
        <v>9029</v>
      </c>
      <c r="AG48" t="s">
        <v>9030</v>
      </c>
      <c r="AH48">
        <v>61.5</v>
      </c>
      <c r="AI48" s="2" t="str">
        <f t="shared" si="0"/>
        <v>Independent</v>
      </c>
      <c r="AJ48" s="2" t="str">
        <f t="shared" si="1"/>
        <v>NO</v>
      </c>
      <c r="AK48" s="1" t="str">
        <f t="shared" si="2"/>
        <v>None</v>
      </c>
      <c r="AL48" s="1" t="str">
        <f t="shared" si="3"/>
        <v>1 Toilet</v>
      </c>
      <c r="AM48" s="1" t="str">
        <f t="shared" si="4"/>
        <v>YES</v>
      </c>
      <c r="AN48" s="1" t="str">
        <f>VLOOKUP(J48, 'Regions and Cities'!A:B, 2, FALSE)</f>
        <v>Satakunta</v>
      </c>
    </row>
    <row r="49" spans="1:40" x14ac:dyDescent="0.3">
      <c r="A49" t="s">
        <v>9408</v>
      </c>
      <c r="B49" t="s">
        <v>9409</v>
      </c>
      <c r="C49" t="s">
        <v>9410</v>
      </c>
      <c r="D49" t="s">
        <v>211</v>
      </c>
      <c r="E49" t="s">
        <v>212</v>
      </c>
      <c r="F49" t="s">
        <v>79</v>
      </c>
      <c r="G49" t="s">
        <v>9411</v>
      </c>
      <c r="H49">
        <v>241.5</v>
      </c>
      <c r="I49" t="s">
        <v>861</v>
      </c>
      <c r="J49" t="s">
        <v>130</v>
      </c>
      <c r="K49" t="s">
        <v>9412</v>
      </c>
      <c r="L49" t="s">
        <v>9413</v>
      </c>
      <c r="M49" t="s">
        <v>37</v>
      </c>
      <c r="N49" t="s">
        <v>9414</v>
      </c>
      <c r="O49" t="s">
        <v>9415</v>
      </c>
      <c r="P49" t="s">
        <v>9416</v>
      </c>
      <c r="Q49" t="s">
        <v>9417</v>
      </c>
      <c r="R49" t="s">
        <v>37</v>
      </c>
      <c r="S49" t="s">
        <v>37</v>
      </c>
      <c r="T49">
        <v>62.824461999999997</v>
      </c>
      <c r="U49" t="s">
        <v>9418</v>
      </c>
      <c r="V49" t="s">
        <v>9419</v>
      </c>
      <c r="W49">
        <v>27.684885999999999</v>
      </c>
      <c r="X49">
        <v>699000</v>
      </c>
      <c r="Y49" t="s">
        <v>9420</v>
      </c>
      <c r="AA49" t="s">
        <v>63</v>
      </c>
      <c r="AB49" t="s">
        <v>39</v>
      </c>
      <c r="AC49" t="s">
        <v>9421</v>
      </c>
      <c r="AD49" t="s">
        <v>55</v>
      </c>
      <c r="AE49" t="s">
        <v>9422</v>
      </c>
      <c r="AF49" t="s">
        <v>9423</v>
      </c>
      <c r="AG49" t="s">
        <v>9424</v>
      </c>
      <c r="AH49">
        <v>364</v>
      </c>
      <c r="AI49" s="2" t="str">
        <f t="shared" si="0"/>
        <v>Independent</v>
      </c>
      <c r="AJ49" s="2" t="str">
        <f t="shared" si="1"/>
        <v>NO</v>
      </c>
      <c r="AK49" s="1" t="str">
        <f t="shared" si="2"/>
        <v>None</v>
      </c>
      <c r="AL49" s="1" t="str">
        <f t="shared" si="3"/>
        <v>1 Toilet</v>
      </c>
      <c r="AM49" s="1" t="str">
        <f t="shared" si="4"/>
        <v>YES</v>
      </c>
      <c r="AN49" s="1" t="str">
        <f>VLOOKUP(J49, 'Regions and Cities'!A:B, 2, FALSE)</f>
        <v>Pohjois-Savo</v>
      </c>
    </row>
    <row r="50" spans="1:40" x14ac:dyDescent="0.3">
      <c r="A50" t="s">
        <v>5361</v>
      </c>
      <c r="B50" t="s">
        <v>5362</v>
      </c>
      <c r="C50" t="s">
        <v>220</v>
      </c>
      <c r="D50" t="s">
        <v>5363</v>
      </c>
      <c r="E50" t="s">
        <v>5364</v>
      </c>
      <c r="F50" t="s">
        <v>5365</v>
      </c>
      <c r="G50" t="s">
        <v>5366</v>
      </c>
      <c r="H50">
        <v>148</v>
      </c>
      <c r="I50" t="s">
        <v>227</v>
      </c>
      <c r="J50" t="s">
        <v>220</v>
      </c>
      <c r="L50" t="s">
        <v>5367</v>
      </c>
      <c r="M50" t="s">
        <v>37</v>
      </c>
      <c r="N50" t="s">
        <v>5368</v>
      </c>
      <c r="O50" t="s">
        <v>5369</v>
      </c>
      <c r="P50" t="s">
        <v>5370</v>
      </c>
      <c r="Q50" t="s">
        <v>5371</v>
      </c>
      <c r="R50" t="s">
        <v>37</v>
      </c>
      <c r="S50" t="s">
        <v>37</v>
      </c>
      <c r="T50">
        <v>60.037520000000001</v>
      </c>
      <c r="U50" t="s">
        <v>5372</v>
      </c>
      <c r="V50" t="s">
        <v>5373</v>
      </c>
      <c r="W50">
        <v>23.91376</v>
      </c>
      <c r="X50">
        <v>102000</v>
      </c>
      <c r="Y50" t="s">
        <v>5374</v>
      </c>
      <c r="AA50" t="s">
        <v>63</v>
      </c>
      <c r="AB50" t="s">
        <v>39</v>
      </c>
      <c r="AC50" t="s">
        <v>480</v>
      </c>
      <c r="AD50" t="s">
        <v>46</v>
      </c>
      <c r="AE50" t="s">
        <v>5375</v>
      </c>
      <c r="AF50" t="s">
        <v>5376</v>
      </c>
      <c r="AG50" t="s">
        <v>5377</v>
      </c>
      <c r="AH50">
        <v>181</v>
      </c>
      <c r="AI50" s="2" t="str">
        <f t="shared" si="0"/>
        <v>Independent</v>
      </c>
      <c r="AJ50" s="2" t="str">
        <f t="shared" si="1"/>
        <v>NO</v>
      </c>
      <c r="AK50" s="1" t="str">
        <f t="shared" si="2"/>
        <v>None</v>
      </c>
      <c r="AL50" s="1" t="str">
        <f t="shared" si="3"/>
        <v>1 Toilet</v>
      </c>
      <c r="AM50" s="1" t="str">
        <f t="shared" si="4"/>
        <v>NO</v>
      </c>
      <c r="AN50" s="1" t="str">
        <f>VLOOKUP(J50, 'Regions and Cities'!A:B, 2, FALSE)</f>
        <v>Uusimaa</v>
      </c>
    </row>
    <row r="51" spans="1:40" x14ac:dyDescent="0.3">
      <c r="A51" t="s">
        <v>8301</v>
      </c>
      <c r="B51" t="s">
        <v>8302</v>
      </c>
      <c r="C51" t="s">
        <v>8303</v>
      </c>
      <c r="D51" t="s">
        <v>8304</v>
      </c>
      <c r="E51" t="s">
        <v>8305</v>
      </c>
      <c r="F51" t="s">
        <v>8306</v>
      </c>
      <c r="G51" t="s">
        <v>8307</v>
      </c>
      <c r="H51">
        <v>55.5</v>
      </c>
      <c r="I51" t="s">
        <v>1522</v>
      </c>
      <c r="J51" t="s">
        <v>228</v>
      </c>
      <c r="K51" t="s">
        <v>8308</v>
      </c>
      <c r="L51" t="s">
        <v>8309</v>
      </c>
      <c r="M51" t="s">
        <v>37</v>
      </c>
      <c r="N51" t="s">
        <v>8310</v>
      </c>
      <c r="O51" t="s">
        <v>8311</v>
      </c>
      <c r="P51" t="s">
        <v>8312</v>
      </c>
      <c r="R51" t="s">
        <v>37</v>
      </c>
      <c r="S51" t="s">
        <v>37</v>
      </c>
      <c r="T51">
        <v>61.476534999999998</v>
      </c>
      <c r="U51" t="s">
        <v>8313</v>
      </c>
      <c r="V51" t="s">
        <v>8314</v>
      </c>
      <c r="W51">
        <v>23.321069000000001</v>
      </c>
      <c r="X51">
        <v>39000</v>
      </c>
      <c r="Y51" t="s">
        <v>122</v>
      </c>
      <c r="AA51" t="s">
        <v>38</v>
      </c>
      <c r="AB51" t="s">
        <v>39</v>
      </c>
      <c r="AC51" t="s">
        <v>6510</v>
      </c>
      <c r="AD51" t="s">
        <v>40</v>
      </c>
      <c r="AE51" t="s">
        <v>8315</v>
      </c>
      <c r="AF51" t="s">
        <v>8316</v>
      </c>
      <c r="AG51" t="s">
        <v>8317</v>
      </c>
      <c r="AH51">
        <v>55.5</v>
      </c>
      <c r="AI51" s="2" t="str">
        <f t="shared" si="0"/>
        <v>Independent</v>
      </c>
      <c r="AJ51" s="2" t="str">
        <f t="shared" si="1"/>
        <v>NO</v>
      </c>
      <c r="AK51" s="1" t="str">
        <f t="shared" si="2"/>
        <v>None</v>
      </c>
      <c r="AL51" s="1" t="str">
        <f t="shared" si="3"/>
        <v>1 Toilet</v>
      </c>
      <c r="AM51" s="1" t="str">
        <f t="shared" si="4"/>
        <v>NO</v>
      </c>
      <c r="AN51" s="1" t="str">
        <f>VLOOKUP(J51, 'Regions and Cities'!A:B, 2, FALSE)</f>
        <v>Pirkanmaa</v>
      </c>
    </row>
    <row r="52" spans="1:40" x14ac:dyDescent="0.3">
      <c r="A52" t="s">
        <v>5890</v>
      </c>
      <c r="B52" t="s">
        <v>5891</v>
      </c>
      <c r="C52" t="s">
        <v>5892</v>
      </c>
      <c r="D52" t="s">
        <v>84</v>
      </c>
      <c r="E52" t="s">
        <v>85</v>
      </c>
      <c r="F52" t="s">
        <v>79</v>
      </c>
      <c r="G52" t="s">
        <v>3518</v>
      </c>
      <c r="H52">
        <v>129</v>
      </c>
      <c r="I52" t="s">
        <v>4956</v>
      </c>
      <c r="J52" t="s">
        <v>368</v>
      </c>
      <c r="K52" t="s">
        <v>368</v>
      </c>
      <c r="L52" t="s">
        <v>5893</v>
      </c>
      <c r="M52" t="s">
        <v>37</v>
      </c>
      <c r="N52" t="s">
        <v>5894</v>
      </c>
      <c r="O52" t="s">
        <v>5895</v>
      </c>
      <c r="P52" t="s">
        <v>5896</v>
      </c>
      <c r="Q52" t="s">
        <v>5897</v>
      </c>
      <c r="R52" t="s">
        <v>37</v>
      </c>
      <c r="S52" t="s">
        <v>37</v>
      </c>
      <c r="T52">
        <v>60.306685000000002</v>
      </c>
      <c r="U52" t="s">
        <v>5898</v>
      </c>
      <c r="V52" t="s">
        <v>5899</v>
      </c>
      <c r="W52">
        <v>22.296219000000001</v>
      </c>
      <c r="X52">
        <v>150000</v>
      </c>
      <c r="Y52" t="s">
        <v>5900</v>
      </c>
      <c r="AA52" t="s">
        <v>63</v>
      </c>
      <c r="AB52" t="s">
        <v>39</v>
      </c>
      <c r="AC52" t="s">
        <v>480</v>
      </c>
      <c r="AD52" t="s">
        <v>64</v>
      </c>
      <c r="AE52" t="s">
        <v>5901</v>
      </c>
      <c r="AF52" t="s">
        <v>5902</v>
      </c>
      <c r="AG52" t="s">
        <v>5903</v>
      </c>
      <c r="AH52">
        <v>225</v>
      </c>
      <c r="AI52" s="2" t="str">
        <f t="shared" si="0"/>
        <v>Independent</v>
      </c>
      <c r="AJ52" s="2" t="str">
        <f t="shared" si="1"/>
        <v>YES</v>
      </c>
      <c r="AK52" s="1" t="str">
        <f t="shared" si="2"/>
        <v>None</v>
      </c>
      <c r="AL52" s="1" t="str">
        <f t="shared" si="3"/>
        <v>1 Toilet</v>
      </c>
      <c r="AM52" s="1" t="str">
        <f t="shared" si="4"/>
        <v>NO</v>
      </c>
      <c r="AN52" s="1" t="str">
        <f>VLOOKUP(J52, 'Regions and Cities'!A:B, 2, FALSE)</f>
        <v>Varsinais-Suomi</v>
      </c>
    </row>
    <row r="53" spans="1:40" x14ac:dyDescent="0.3">
      <c r="A53" t="s">
        <v>3796</v>
      </c>
      <c r="B53" t="s">
        <v>3797</v>
      </c>
      <c r="C53" t="s">
        <v>3798</v>
      </c>
      <c r="D53" t="s">
        <v>3799</v>
      </c>
      <c r="E53" t="s">
        <v>3800</v>
      </c>
      <c r="F53" t="s">
        <v>50</v>
      </c>
      <c r="G53" t="s">
        <v>3801</v>
      </c>
      <c r="H53">
        <v>98</v>
      </c>
      <c r="I53" t="s">
        <v>219</v>
      </c>
      <c r="J53" t="s">
        <v>397</v>
      </c>
      <c r="K53" t="s">
        <v>3802</v>
      </c>
      <c r="L53" t="s">
        <v>3803</v>
      </c>
      <c r="M53" t="s">
        <v>37</v>
      </c>
      <c r="N53" t="s">
        <v>3804</v>
      </c>
      <c r="O53" t="s">
        <v>3805</v>
      </c>
      <c r="P53" t="s">
        <v>3806</v>
      </c>
      <c r="Q53" t="s">
        <v>3807</v>
      </c>
      <c r="R53" t="s">
        <v>37</v>
      </c>
      <c r="S53" t="s">
        <v>37</v>
      </c>
      <c r="T53">
        <v>60.151730000000001</v>
      </c>
      <c r="U53" t="s">
        <v>3808</v>
      </c>
      <c r="V53" t="s">
        <v>3809</v>
      </c>
      <c r="W53">
        <v>24.526990000000001</v>
      </c>
      <c r="X53">
        <v>189000</v>
      </c>
      <c r="Y53" t="s">
        <v>995</v>
      </c>
      <c r="AA53" t="s">
        <v>45</v>
      </c>
      <c r="AB53" t="s">
        <v>39</v>
      </c>
      <c r="AC53" t="s">
        <v>480</v>
      </c>
      <c r="AD53" t="s">
        <v>75</v>
      </c>
      <c r="AE53" t="s">
        <v>3810</v>
      </c>
      <c r="AF53" t="s">
        <v>3811</v>
      </c>
      <c r="AG53" t="s">
        <v>3812</v>
      </c>
      <c r="AH53">
        <v>98</v>
      </c>
      <c r="AI53" s="2" t="str">
        <f t="shared" si="0"/>
        <v>Independent</v>
      </c>
      <c r="AJ53" s="2" t="str">
        <f t="shared" si="1"/>
        <v>NO</v>
      </c>
      <c r="AK53" s="1" t="str">
        <f t="shared" si="2"/>
        <v>Terrace</v>
      </c>
      <c r="AL53" s="1" t="str">
        <f t="shared" si="3"/>
        <v>1 Toilet</v>
      </c>
      <c r="AM53" s="1" t="str">
        <f t="shared" si="4"/>
        <v>YES</v>
      </c>
      <c r="AN53" s="1" t="str">
        <f>VLOOKUP(J53, 'Regions and Cities'!A:B, 2, FALSE)</f>
        <v>Uusimaa</v>
      </c>
    </row>
    <row r="54" spans="1:40" x14ac:dyDescent="0.3">
      <c r="A54" t="s">
        <v>2716</v>
      </c>
      <c r="B54" t="s">
        <v>2717</v>
      </c>
      <c r="C54" t="s">
        <v>2718</v>
      </c>
      <c r="D54" t="s">
        <v>2719</v>
      </c>
      <c r="E54" t="s">
        <v>2720</v>
      </c>
      <c r="F54" t="s">
        <v>452</v>
      </c>
      <c r="H54">
        <v>24</v>
      </c>
      <c r="I54" t="s">
        <v>147</v>
      </c>
      <c r="J54" t="s">
        <v>342</v>
      </c>
      <c r="K54" t="s">
        <v>2721</v>
      </c>
      <c r="L54" t="s">
        <v>2722</v>
      </c>
      <c r="M54" t="s">
        <v>37</v>
      </c>
      <c r="N54" t="s">
        <v>2723</v>
      </c>
      <c r="O54" t="s">
        <v>2724</v>
      </c>
      <c r="P54" t="s">
        <v>2725</v>
      </c>
      <c r="R54" t="s">
        <v>111</v>
      </c>
      <c r="S54" t="s">
        <v>37</v>
      </c>
      <c r="T54">
        <v>59.820109000000002</v>
      </c>
      <c r="U54" t="s">
        <v>2726</v>
      </c>
      <c r="V54" t="s">
        <v>2727</v>
      </c>
      <c r="W54">
        <v>22.962164000000001</v>
      </c>
      <c r="X54">
        <v>180000</v>
      </c>
      <c r="Y54" t="s">
        <v>2728</v>
      </c>
      <c r="AA54" t="s">
        <v>38</v>
      </c>
      <c r="AB54" t="s">
        <v>39</v>
      </c>
      <c r="AC54" t="s">
        <v>480</v>
      </c>
      <c r="AD54" t="s">
        <v>202</v>
      </c>
      <c r="AE54" t="s">
        <v>2729</v>
      </c>
      <c r="AF54" t="s">
        <v>2730</v>
      </c>
      <c r="AG54" t="s">
        <v>2731</v>
      </c>
      <c r="AH54">
        <v>24</v>
      </c>
      <c r="AI54" s="2" t="str">
        <f t="shared" si="0"/>
        <v>Independent</v>
      </c>
      <c r="AJ54" s="2" t="str">
        <f t="shared" si="1"/>
        <v>NO</v>
      </c>
      <c r="AK54" s="1" t="str">
        <f t="shared" si="2"/>
        <v>None</v>
      </c>
      <c r="AL54" s="1" t="str">
        <f t="shared" si="3"/>
        <v>1 Toilet</v>
      </c>
      <c r="AM54" s="1" t="str">
        <f t="shared" si="4"/>
        <v>NO</v>
      </c>
      <c r="AN54" s="1" t="str">
        <f>VLOOKUP(J54, 'Regions and Cities'!A:B, 2, FALSE)</f>
        <v>Uusimaa</v>
      </c>
    </row>
    <row r="55" spans="1:40" x14ac:dyDescent="0.3">
      <c r="A55" t="s">
        <v>4249</v>
      </c>
      <c r="B55" t="s">
        <v>4250</v>
      </c>
      <c r="C55" t="s">
        <v>4251</v>
      </c>
      <c r="D55" t="s">
        <v>4252</v>
      </c>
      <c r="E55" t="s">
        <v>4253</v>
      </c>
      <c r="F55" t="s">
        <v>4254</v>
      </c>
      <c r="H55">
        <v>144</v>
      </c>
      <c r="I55" t="s">
        <v>925</v>
      </c>
      <c r="J55" t="s">
        <v>401</v>
      </c>
      <c r="K55" t="s">
        <v>4255</v>
      </c>
      <c r="L55" t="s">
        <v>4256</v>
      </c>
      <c r="M55" t="s">
        <v>37</v>
      </c>
      <c r="N55" t="s">
        <v>4257</v>
      </c>
      <c r="O55" t="s">
        <v>4258</v>
      </c>
      <c r="R55" t="s">
        <v>37</v>
      </c>
      <c r="S55" t="s">
        <v>37</v>
      </c>
      <c r="T55">
        <v>63.286189999999998</v>
      </c>
      <c r="U55" t="s">
        <v>4259</v>
      </c>
      <c r="V55" t="s">
        <v>4260</v>
      </c>
      <c r="W55">
        <v>25.105239999999998</v>
      </c>
      <c r="X55">
        <v>60000</v>
      </c>
      <c r="Y55" t="s">
        <v>4261</v>
      </c>
      <c r="AA55" t="s">
        <v>63</v>
      </c>
      <c r="AB55" t="s">
        <v>39</v>
      </c>
      <c r="AC55" t="s">
        <v>480</v>
      </c>
      <c r="AD55" t="s">
        <v>55</v>
      </c>
      <c r="AE55" t="s">
        <v>4262</v>
      </c>
      <c r="AF55" t="s">
        <v>4263</v>
      </c>
      <c r="AG55" t="s">
        <v>4264</v>
      </c>
      <c r="AH55">
        <v>181</v>
      </c>
      <c r="AI55" s="2" t="str">
        <f t="shared" si="0"/>
        <v>Independent</v>
      </c>
      <c r="AJ55" s="2" t="str">
        <f t="shared" si="1"/>
        <v>YES</v>
      </c>
      <c r="AK55" s="1" t="str">
        <f t="shared" si="2"/>
        <v>None</v>
      </c>
      <c r="AL55" s="1" t="str">
        <f t="shared" si="3"/>
        <v>1 Toilet</v>
      </c>
      <c r="AM55" s="1" t="str">
        <f t="shared" si="4"/>
        <v>YES</v>
      </c>
      <c r="AN55" s="1" t="str">
        <f>VLOOKUP(J55, 'Regions and Cities'!A:B, 2, FALSE)</f>
        <v>Keski-Suomi</v>
      </c>
    </row>
    <row r="56" spans="1:40" x14ac:dyDescent="0.3">
      <c r="A56" t="s">
        <v>7486</v>
      </c>
      <c r="B56" t="s">
        <v>7487</v>
      </c>
      <c r="C56" t="s">
        <v>7488</v>
      </c>
      <c r="D56" t="s">
        <v>1717</v>
      </c>
      <c r="E56" t="s">
        <v>1718</v>
      </c>
      <c r="F56" t="s">
        <v>1719</v>
      </c>
      <c r="H56">
        <v>48</v>
      </c>
      <c r="I56" t="s">
        <v>3652</v>
      </c>
      <c r="J56" t="s">
        <v>116</v>
      </c>
      <c r="K56" t="s">
        <v>7489</v>
      </c>
      <c r="L56" t="s">
        <v>7490</v>
      </c>
      <c r="M56" t="s">
        <v>37</v>
      </c>
      <c r="N56" t="s">
        <v>7491</v>
      </c>
      <c r="O56" t="s">
        <v>7492</v>
      </c>
      <c r="R56" t="s">
        <v>37</v>
      </c>
      <c r="S56" t="s">
        <v>37</v>
      </c>
      <c r="T56">
        <v>60.323967000000003</v>
      </c>
      <c r="U56" t="s">
        <v>7493</v>
      </c>
      <c r="V56" t="s">
        <v>7494</v>
      </c>
      <c r="W56">
        <v>25.050999000000001</v>
      </c>
      <c r="X56">
        <v>11685.1</v>
      </c>
      <c r="Y56" t="s">
        <v>7495</v>
      </c>
      <c r="AA56" t="s">
        <v>38</v>
      </c>
      <c r="AB56" t="s">
        <v>39</v>
      </c>
      <c r="AC56" t="s">
        <v>6510</v>
      </c>
      <c r="AD56" t="s">
        <v>40</v>
      </c>
      <c r="AE56" t="s">
        <v>1741</v>
      </c>
      <c r="AF56" t="s">
        <v>7496</v>
      </c>
      <c r="AG56" t="s">
        <v>7497</v>
      </c>
      <c r="AH56"/>
      <c r="AI56" s="2" t="str">
        <f t="shared" si="0"/>
        <v>Kitchenette</v>
      </c>
      <c r="AJ56" s="2" t="str">
        <f t="shared" si="1"/>
        <v>YES</v>
      </c>
      <c r="AK56" s="1" t="str">
        <f t="shared" si="2"/>
        <v>None</v>
      </c>
      <c r="AL56" s="1" t="str">
        <f t="shared" si="3"/>
        <v>1 Toilet</v>
      </c>
      <c r="AM56" s="1" t="str">
        <f t="shared" si="4"/>
        <v>NO</v>
      </c>
      <c r="AN56" s="1" t="str">
        <f>VLOOKUP(J56, 'Regions and Cities'!A:B, 2, FALSE)</f>
        <v>Uusimaa</v>
      </c>
    </row>
    <row r="57" spans="1:40" x14ac:dyDescent="0.3">
      <c r="A57" t="s">
        <v>6857</v>
      </c>
      <c r="B57" t="s">
        <v>6858</v>
      </c>
      <c r="C57" t="s">
        <v>6859</v>
      </c>
      <c r="D57" t="s">
        <v>6860</v>
      </c>
      <c r="E57" t="s">
        <v>6861</v>
      </c>
      <c r="F57" t="s">
        <v>79</v>
      </c>
      <c r="G57" t="s">
        <v>6862</v>
      </c>
      <c r="H57">
        <v>161</v>
      </c>
      <c r="I57" t="s">
        <v>1670</v>
      </c>
      <c r="J57" t="s">
        <v>357</v>
      </c>
      <c r="K57" t="s">
        <v>6863</v>
      </c>
      <c r="L57" t="s">
        <v>6864</v>
      </c>
      <c r="M57" t="s">
        <v>37</v>
      </c>
      <c r="N57" t="s">
        <v>6865</v>
      </c>
      <c r="O57" t="s">
        <v>6866</v>
      </c>
      <c r="P57" t="s">
        <v>6867</v>
      </c>
      <c r="R57" t="s">
        <v>37</v>
      </c>
      <c r="S57" t="s">
        <v>37</v>
      </c>
      <c r="T57">
        <v>62.132483999999998</v>
      </c>
      <c r="U57" t="s">
        <v>6868</v>
      </c>
      <c r="V57" t="s">
        <v>6869</v>
      </c>
      <c r="W57">
        <v>25.695643</v>
      </c>
      <c r="X57">
        <v>329000</v>
      </c>
      <c r="Y57" t="s">
        <v>112</v>
      </c>
      <c r="AA57" t="s">
        <v>63</v>
      </c>
      <c r="AB57" t="s">
        <v>39</v>
      </c>
      <c r="AC57" t="s">
        <v>6510</v>
      </c>
      <c r="AD57" t="s">
        <v>64</v>
      </c>
      <c r="AE57" t="s">
        <v>6870</v>
      </c>
      <c r="AF57" t="s">
        <v>6871</v>
      </c>
      <c r="AG57" t="s">
        <v>6872</v>
      </c>
      <c r="AH57">
        <v>225</v>
      </c>
      <c r="AI57" s="2" t="str">
        <f t="shared" si="0"/>
        <v>Independent</v>
      </c>
      <c r="AJ57" s="2" t="str">
        <f t="shared" si="1"/>
        <v>NO</v>
      </c>
      <c r="AK57" s="1" t="str">
        <f t="shared" si="2"/>
        <v>None</v>
      </c>
      <c r="AL57" s="1" t="str">
        <f t="shared" si="3"/>
        <v>1 Toilet</v>
      </c>
      <c r="AM57" s="1" t="str">
        <f t="shared" si="4"/>
        <v>YES</v>
      </c>
      <c r="AN57" s="1" t="str">
        <f>VLOOKUP(J57, 'Regions and Cities'!A:B, 2, FALSE)</f>
        <v>Keski-Suomi</v>
      </c>
    </row>
    <row r="58" spans="1:40" x14ac:dyDescent="0.3">
      <c r="A58" t="s">
        <v>8986</v>
      </c>
      <c r="B58" t="s">
        <v>8987</v>
      </c>
      <c r="C58" t="s">
        <v>2136</v>
      </c>
      <c r="D58" t="s">
        <v>8722</v>
      </c>
      <c r="E58" t="s">
        <v>8723</v>
      </c>
      <c r="F58" t="s">
        <v>8724</v>
      </c>
      <c r="H58">
        <v>23</v>
      </c>
      <c r="I58" t="s">
        <v>147</v>
      </c>
      <c r="J58" t="s">
        <v>130</v>
      </c>
      <c r="K58" t="s">
        <v>2138</v>
      </c>
      <c r="L58" t="s">
        <v>8988</v>
      </c>
      <c r="M58" t="s">
        <v>37</v>
      </c>
      <c r="N58" t="s">
        <v>8989</v>
      </c>
      <c r="O58" t="s">
        <v>8990</v>
      </c>
      <c r="R58" t="s">
        <v>111</v>
      </c>
      <c r="S58" t="s">
        <v>37</v>
      </c>
      <c r="T58">
        <v>62.881970000000003</v>
      </c>
      <c r="U58" t="s">
        <v>8991</v>
      </c>
      <c r="V58" t="s">
        <v>8992</v>
      </c>
      <c r="W58">
        <v>27.68074</v>
      </c>
      <c r="X58">
        <v>119900</v>
      </c>
      <c r="Y58" t="s">
        <v>8993</v>
      </c>
      <c r="AA58" t="s">
        <v>38</v>
      </c>
      <c r="AB58" t="s">
        <v>39</v>
      </c>
      <c r="AC58" t="s">
        <v>8740</v>
      </c>
      <c r="AD58" t="s">
        <v>202</v>
      </c>
      <c r="AE58" t="s">
        <v>8994</v>
      </c>
      <c r="AF58" t="s">
        <v>8995</v>
      </c>
      <c r="AG58" t="s">
        <v>8996</v>
      </c>
      <c r="AH58"/>
      <c r="AI58" s="2" t="str">
        <f t="shared" si="0"/>
        <v>Open</v>
      </c>
      <c r="AJ58" s="2" t="str">
        <f t="shared" si="1"/>
        <v>NO</v>
      </c>
      <c r="AK58" s="1" t="str">
        <f t="shared" si="2"/>
        <v>None</v>
      </c>
      <c r="AL58" s="1" t="str">
        <f t="shared" si="3"/>
        <v>1 Toilet</v>
      </c>
      <c r="AM58" s="1" t="str">
        <f t="shared" si="4"/>
        <v>NO</v>
      </c>
      <c r="AN58" s="1" t="str">
        <f>VLOOKUP(J58, 'Regions and Cities'!A:B, 2, FALSE)</f>
        <v>Pohjois-Savo</v>
      </c>
    </row>
    <row r="59" spans="1:40" x14ac:dyDescent="0.3">
      <c r="A59" t="s">
        <v>8916</v>
      </c>
      <c r="B59" t="s">
        <v>8917</v>
      </c>
      <c r="C59" t="s">
        <v>2136</v>
      </c>
      <c r="D59" t="s">
        <v>8722</v>
      </c>
      <c r="E59" t="s">
        <v>8723</v>
      </c>
      <c r="F59" t="s">
        <v>8724</v>
      </c>
      <c r="H59">
        <v>33</v>
      </c>
      <c r="I59" t="s">
        <v>147</v>
      </c>
      <c r="J59" t="s">
        <v>130</v>
      </c>
      <c r="K59" t="s">
        <v>2138</v>
      </c>
      <c r="L59" t="s">
        <v>8918</v>
      </c>
      <c r="M59" t="s">
        <v>37</v>
      </c>
      <c r="N59" t="s">
        <v>8919</v>
      </c>
      <c r="O59" t="s">
        <v>8920</v>
      </c>
      <c r="R59" t="s">
        <v>111</v>
      </c>
      <c r="S59" t="s">
        <v>37</v>
      </c>
      <c r="T59">
        <v>62.881970000000003</v>
      </c>
      <c r="U59" t="s">
        <v>8921</v>
      </c>
      <c r="V59" t="s">
        <v>8922</v>
      </c>
      <c r="W59">
        <v>27.68074</v>
      </c>
      <c r="X59">
        <v>151900</v>
      </c>
      <c r="Y59" t="s">
        <v>8923</v>
      </c>
      <c r="AA59" t="s">
        <v>38</v>
      </c>
      <c r="AB59" t="s">
        <v>39</v>
      </c>
      <c r="AC59" t="s">
        <v>8740</v>
      </c>
      <c r="AD59" t="s">
        <v>40</v>
      </c>
      <c r="AE59" t="s">
        <v>145</v>
      </c>
      <c r="AF59" t="s">
        <v>8924</v>
      </c>
      <c r="AG59" t="s">
        <v>8863</v>
      </c>
      <c r="AH59"/>
      <c r="AI59" s="2" t="str">
        <f t="shared" si="0"/>
        <v>Open</v>
      </c>
      <c r="AJ59" s="2" t="str">
        <f t="shared" si="1"/>
        <v>NO</v>
      </c>
      <c r="AK59" s="1" t="str">
        <f t="shared" si="2"/>
        <v>None</v>
      </c>
      <c r="AL59" s="1" t="str">
        <f t="shared" si="3"/>
        <v>1 Toilet</v>
      </c>
      <c r="AM59" s="1" t="str">
        <f t="shared" si="4"/>
        <v>NO</v>
      </c>
      <c r="AN59" s="1" t="str">
        <f>VLOOKUP(J59, 'Regions and Cities'!A:B, 2, FALSE)</f>
        <v>Pohjois-Savo</v>
      </c>
    </row>
    <row r="60" spans="1:40" x14ac:dyDescent="0.3">
      <c r="A60" t="s">
        <v>8907</v>
      </c>
      <c r="B60" t="s">
        <v>8908</v>
      </c>
      <c r="C60" t="s">
        <v>2136</v>
      </c>
      <c r="D60" t="s">
        <v>8722</v>
      </c>
      <c r="E60" t="s">
        <v>8723</v>
      </c>
      <c r="F60" t="s">
        <v>8724</v>
      </c>
      <c r="H60">
        <v>69.5</v>
      </c>
      <c r="I60" t="s">
        <v>147</v>
      </c>
      <c r="J60" t="s">
        <v>130</v>
      </c>
      <c r="K60" t="s">
        <v>2138</v>
      </c>
      <c r="L60" t="s">
        <v>8909</v>
      </c>
      <c r="M60" t="s">
        <v>37</v>
      </c>
      <c r="N60" t="s">
        <v>8910</v>
      </c>
      <c r="O60" t="s">
        <v>8911</v>
      </c>
      <c r="R60" t="s">
        <v>111</v>
      </c>
      <c r="S60" t="s">
        <v>37</v>
      </c>
      <c r="T60">
        <v>62.881970000000003</v>
      </c>
      <c r="U60" t="s">
        <v>8912</v>
      </c>
      <c r="V60" t="s">
        <v>8913</v>
      </c>
      <c r="W60">
        <v>27.68074</v>
      </c>
      <c r="X60">
        <v>270900</v>
      </c>
      <c r="Y60" t="s">
        <v>8914</v>
      </c>
      <c r="AA60" t="s">
        <v>38</v>
      </c>
      <c r="AB60" t="s">
        <v>39</v>
      </c>
      <c r="AC60" t="s">
        <v>8740</v>
      </c>
      <c r="AD60" t="s">
        <v>46</v>
      </c>
      <c r="AE60" t="s">
        <v>140</v>
      </c>
      <c r="AF60" t="s">
        <v>8915</v>
      </c>
      <c r="AG60" t="s">
        <v>8742</v>
      </c>
      <c r="AH60"/>
      <c r="AI60" s="2" t="str">
        <f t="shared" si="0"/>
        <v>Open</v>
      </c>
      <c r="AJ60" s="2" t="str">
        <f t="shared" si="1"/>
        <v>YES</v>
      </c>
      <c r="AK60" s="1" t="str">
        <f t="shared" si="2"/>
        <v>None</v>
      </c>
      <c r="AL60" s="1" t="str">
        <f t="shared" si="3"/>
        <v>1 Toilet</v>
      </c>
      <c r="AM60" s="1" t="str">
        <f t="shared" si="4"/>
        <v>NO</v>
      </c>
      <c r="AN60" s="1" t="str">
        <f>VLOOKUP(J60, 'Regions and Cities'!A:B, 2, FALSE)</f>
        <v>Pohjois-Savo</v>
      </c>
    </row>
    <row r="61" spans="1:40" x14ac:dyDescent="0.3">
      <c r="A61" t="s">
        <v>8899</v>
      </c>
      <c r="B61" t="s">
        <v>8900</v>
      </c>
      <c r="C61" t="s">
        <v>2136</v>
      </c>
      <c r="D61" t="s">
        <v>8722</v>
      </c>
      <c r="E61" t="s">
        <v>8723</v>
      </c>
      <c r="F61" t="s">
        <v>8724</v>
      </c>
      <c r="H61">
        <v>54</v>
      </c>
      <c r="I61" t="s">
        <v>147</v>
      </c>
      <c r="J61" t="s">
        <v>130</v>
      </c>
      <c r="K61" t="s">
        <v>2138</v>
      </c>
      <c r="L61" t="s">
        <v>8901</v>
      </c>
      <c r="M61" t="s">
        <v>37</v>
      </c>
      <c r="N61" t="s">
        <v>8902</v>
      </c>
      <c r="O61" t="s">
        <v>8903</v>
      </c>
      <c r="R61" t="s">
        <v>111</v>
      </c>
      <c r="S61" t="s">
        <v>37</v>
      </c>
      <c r="T61">
        <v>62.881970000000003</v>
      </c>
      <c r="U61" t="s">
        <v>8904</v>
      </c>
      <c r="V61" t="s">
        <v>8905</v>
      </c>
      <c r="W61">
        <v>27.68074</v>
      </c>
      <c r="X61">
        <v>224900</v>
      </c>
      <c r="Y61" t="s">
        <v>7225</v>
      </c>
      <c r="AA61" t="s">
        <v>38</v>
      </c>
      <c r="AB61" t="s">
        <v>39</v>
      </c>
      <c r="AC61" t="s">
        <v>8740</v>
      </c>
      <c r="AD61" t="s">
        <v>46</v>
      </c>
      <c r="AE61" t="s">
        <v>8751</v>
      </c>
      <c r="AF61" t="s">
        <v>8906</v>
      </c>
      <c r="AG61" t="s">
        <v>8753</v>
      </c>
      <c r="AH61"/>
      <c r="AI61" s="2" t="str">
        <f t="shared" si="0"/>
        <v>Open</v>
      </c>
      <c r="AJ61" s="2" t="str">
        <f t="shared" si="1"/>
        <v>YES</v>
      </c>
      <c r="AK61" s="1" t="str">
        <f t="shared" si="2"/>
        <v>None</v>
      </c>
      <c r="AL61" s="1" t="str">
        <f t="shared" si="3"/>
        <v>1 Toilet</v>
      </c>
      <c r="AM61" s="1" t="str">
        <f t="shared" si="4"/>
        <v>NO</v>
      </c>
      <c r="AN61" s="1" t="str">
        <f>VLOOKUP(J61, 'Regions and Cities'!A:B, 2, FALSE)</f>
        <v>Pohjois-Savo</v>
      </c>
    </row>
    <row r="62" spans="1:40" x14ac:dyDescent="0.3">
      <c r="A62" t="s">
        <v>8890</v>
      </c>
      <c r="B62" t="s">
        <v>8891</v>
      </c>
      <c r="C62" t="s">
        <v>2136</v>
      </c>
      <c r="D62" t="s">
        <v>8722</v>
      </c>
      <c r="E62" t="s">
        <v>8723</v>
      </c>
      <c r="F62" t="s">
        <v>8724</v>
      </c>
      <c r="H62">
        <v>23</v>
      </c>
      <c r="I62" t="s">
        <v>147</v>
      </c>
      <c r="J62" t="s">
        <v>130</v>
      </c>
      <c r="K62" t="s">
        <v>2138</v>
      </c>
      <c r="L62" t="s">
        <v>8892</v>
      </c>
      <c r="M62" t="s">
        <v>37</v>
      </c>
      <c r="N62" t="s">
        <v>8893</v>
      </c>
      <c r="O62" t="s">
        <v>8894</v>
      </c>
      <c r="R62" t="s">
        <v>111</v>
      </c>
      <c r="S62" t="s">
        <v>37</v>
      </c>
      <c r="T62">
        <v>62.881970000000003</v>
      </c>
      <c r="U62" t="s">
        <v>8895</v>
      </c>
      <c r="V62" t="s">
        <v>8896</v>
      </c>
      <c r="W62">
        <v>27.68074</v>
      </c>
      <c r="X62">
        <v>125900</v>
      </c>
      <c r="Y62" t="s">
        <v>8897</v>
      </c>
      <c r="AA62" t="s">
        <v>38</v>
      </c>
      <c r="AB62" t="s">
        <v>39</v>
      </c>
      <c r="AC62" t="s">
        <v>8740</v>
      </c>
      <c r="AD62" t="s">
        <v>202</v>
      </c>
      <c r="AE62" t="s">
        <v>203</v>
      </c>
      <c r="AF62" t="s">
        <v>8898</v>
      </c>
      <c r="AG62" t="s">
        <v>8844</v>
      </c>
      <c r="AH62"/>
      <c r="AI62" s="2" t="str">
        <f t="shared" si="0"/>
        <v>Open</v>
      </c>
      <c r="AJ62" s="2" t="str">
        <f t="shared" si="1"/>
        <v>NO</v>
      </c>
      <c r="AK62" s="1" t="str">
        <f t="shared" si="2"/>
        <v>None</v>
      </c>
      <c r="AL62" s="1" t="str">
        <f t="shared" si="3"/>
        <v>1 Toilet</v>
      </c>
      <c r="AM62" s="1" t="str">
        <f t="shared" si="4"/>
        <v>NO</v>
      </c>
      <c r="AN62" s="1" t="str">
        <f>VLOOKUP(J62, 'Regions and Cities'!A:B, 2, FALSE)</f>
        <v>Pohjois-Savo</v>
      </c>
    </row>
    <row r="63" spans="1:40" x14ac:dyDescent="0.3">
      <c r="A63" t="s">
        <v>8881</v>
      </c>
      <c r="B63" t="s">
        <v>8882</v>
      </c>
      <c r="C63" t="s">
        <v>2136</v>
      </c>
      <c r="D63" t="s">
        <v>8722</v>
      </c>
      <c r="E63" t="s">
        <v>8723</v>
      </c>
      <c r="F63" t="s">
        <v>8724</v>
      </c>
      <c r="H63">
        <v>60</v>
      </c>
      <c r="I63" t="s">
        <v>147</v>
      </c>
      <c r="J63" t="s">
        <v>130</v>
      </c>
      <c r="K63" t="s">
        <v>2138</v>
      </c>
      <c r="L63" t="s">
        <v>8883</v>
      </c>
      <c r="M63" t="s">
        <v>37</v>
      </c>
      <c r="N63" t="s">
        <v>8884</v>
      </c>
      <c r="O63" t="s">
        <v>8885</v>
      </c>
      <c r="R63" t="s">
        <v>111</v>
      </c>
      <c r="S63" t="s">
        <v>37</v>
      </c>
      <c r="T63">
        <v>62.881970000000003</v>
      </c>
      <c r="U63" t="s">
        <v>8886</v>
      </c>
      <c r="V63" t="s">
        <v>8887</v>
      </c>
      <c r="W63">
        <v>27.68074</v>
      </c>
      <c r="X63">
        <v>259900</v>
      </c>
      <c r="Y63" t="s">
        <v>8888</v>
      </c>
      <c r="AA63" t="s">
        <v>38</v>
      </c>
      <c r="AB63" t="s">
        <v>39</v>
      </c>
      <c r="AC63" t="s">
        <v>8740</v>
      </c>
      <c r="AD63" t="s">
        <v>46</v>
      </c>
      <c r="AE63" t="s">
        <v>140</v>
      </c>
      <c r="AF63" t="s">
        <v>8889</v>
      </c>
      <c r="AG63" t="s">
        <v>8834</v>
      </c>
      <c r="AH63"/>
      <c r="AI63" s="2" t="str">
        <f t="shared" si="0"/>
        <v>Open</v>
      </c>
      <c r="AJ63" s="2" t="str">
        <f t="shared" si="1"/>
        <v>YES</v>
      </c>
      <c r="AK63" s="1" t="str">
        <f t="shared" si="2"/>
        <v>None</v>
      </c>
      <c r="AL63" s="1" t="str">
        <f t="shared" si="3"/>
        <v>1 Toilet</v>
      </c>
      <c r="AM63" s="1" t="str">
        <f t="shared" si="4"/>
        <v>NO</v>
      </c>
      <c r="AN63" s="1" t="str">
        <f>VLOOKUP(J63, 'Regions and Cities'!A:B, 2, FALSE)</f>
        <v>Pohjois-Savo</v>
      </c>
    </row>
    <row r="64" spans="1:40" x14ac:dyDescent="0.3">
      <c r="A64" t="s">
        <v>8872</v>
      </c>
      <c r="B64" t="s">
        <v>8873</v>
      </c>
      <c r="C64" t="s">
        <v>2136</v>
      </c>
      <c r="D64" t="s">
        <v>8722</v>
      </c>
      <c r="E64" t="s">
        <v>8723</v>
      </c>
      <c r="F64" t="s">
        <v>8724</v>
      </c>
      <c r="H64">
        <v>49.5</v>
      </c>
      <c r="I64" t="s">
        <v>147</v>
      </c>
      <c r="J64" t="s">
        <v>130</v>
      </c>
      <c r="K64" t="s">
        <v>2138</v>
      </c>
      <c r="L64" t="s">
        <v>8874</v>
      </c>
      <c r="M64" t="s">
        <v>37</v>
      </c>
      <c r="N64" t="s">
        <v>8875</v>
      </c>
      <c r="O64" t="s">
        <v>8876</v>
      </c>
      <c r="R64" t="s">
        <v>111</v>
      </c>
      <c r="S64" t="s">
        <v>37</v>
      </c>
      <c r="T64">
        <v>62.881970000000003</v>
      </c>
      <c r="U64" t="s">
        <v>8877</v>
      </c>
      <c r="V64" t="s">
        <v>8878</v>
      </c>
      <c r="W64">
        <v>27.68074</v>
      </c>
      <c r="X64">
        <v>219900</v>
      </c>
      <c r="Y64" t="s">
        <v>2833</v>
      </c>
      <c r="AA64" t="s">
        <v>38</v>
      </c>
      <c r="AB64" t="s">
        <v>39</v>
      </c>
      <c r="AC64" t="s">
        <v>8740</v>
      </c>
      <c r="AD64" t="s">
        <v>40</v>
      </c>
      <c r="AE64" t="s">
        <v>41</v>
      </c>
      <c r="AF64" t="s">
        <v>8879</v>
      </c>
      <c r="AG64" t="s">
        <v>8880</v>
      </c>
      <c r="AH64"/>
      <c r="AI64" s="2" t="str">
        <f t="shared" si="0"/>
        <v>Open</v>
      </c>
      <c r="AJ64" s="2" t="str">
        <f t="shared" si="1"/>
        <v>YES</v>
      </c>
      <c r="AK64" s="1" t="str">
        <f t="shared" si="2"/>
        <v>None</v>
      </c>
      <c r="AL64" s="1" t="str">
        <f t="shared" si="3"/>
        <v>1 Toilet</v>
      </c>
      <c r="AM64" s="1" t="str">
        <f t="shared" si="4"/>
        <v>NO</v>
      </c>
      <c r="AN64" s="1" t="str">
        <f>VLOOKUP(J64, 'Regions and Cities'!A:B, 2, FALSE)</f>
        <v>Pohjois-Savo</v>
      </c>
    </row>
    <row r="65" spans="1:40" x14ac:dyDescent="0.3">
      <c r="A65" t="s">
        <v>8854</v>
      </c>
      <c r="B65" t="s">
        <v>8855</v>
      </c>
      <c r="C65" t="s">
        <v>2136</v>
      </c>
      <c r="D65" t="s">
        <v>8722</v>
      </c>
      <c r="E65" t="s">
        <v>8723</v>
      </c>
      <c r="F65" t="s">
        <v>8724</v>
      </c>
      <c r="H65">
        <v>33</v>
      </c>
      <c r="I65" t="s">
        <v>147</v>
      </c>
      <c r="J65" t="s">
        <v>130</v>
      </c>
      <c r="K65" t="s">
        <v>2138</v>
      </c>
      <c r="L65" t="s">
        <v>8856</v>
      </c>
      <c r="M65" t="s">
        <v>37</v>
      </c>
      <c r="N65" t="s">
        <v>8857</v>
      </c>
      <c r="O65" t="s">
        <v>8858</v>
      </c>
      <c r="R65" t="s">
        <v>111</v>
      </c>
      <c r="S65" t="s">
        <v>37</v>
      </c>
      <c r="T65">
        <v>62.881970000000003</v>
      </c>
      <c r="U65" t="s">
        <v>8859</v>
      </c>
      <c r="V65" t="s">
        <v>8860</v>
      </c>
      <c r="W65">
        <v>27.68074</v>
      </c>
      <c r="X65">
        <v>154900</v>
      </c>
      <c r="Y65" t="s">
        <v>8861</v>
      </c>
      <c r="AA65" t="s">
        <v>38</v>
      </c>
      <c r="AB65" t="s">
        <v>39</v>
      </c>
      <c r="AC65" t="s">
        <v>8740</v>
      </c>
      <c r="AD65" t="s">
        <v>40</v>
      </c>
      <c r="AE65" t="s">
        <v>145</v>
      </c>
      <c r="AF65" t="s">
        <v>8862</v>
      </c>
      <c r="AG65" t="s">
        <v>8863</v>
      </c>
      <c r="AH65"/>
      <c r="AI65" s="2" t="str">
        <f t="shared" si="0"/>
        <v>Open</v>
      </c>
      <c r="AJ65" s="2" t="str">
        <f t="shared" si="1"/>
        <v>NO</v>
      </c>
      <c r="AK65" s="1" t="str">
        <f t="shared" si="2"/>
        <v>None</v>
      </c>
      <c r="AL65" s="1" t="str">
        <f t="shared" si="3"/>
        <v>1 Toilet</v>
      </c>
      <c r="AM65" s="1" t="str">
        <f t="shared" si="4"/>
        <v>NO</v>
      </c>
      <c r="AN65" s="1" t="str">
        <f>VLOOKUP(J65, 'Regions and Cities'!A:B, 2, FALSE)</f>
        <v>Pohjois-Savo</v>
      </c>
    </row>
    <row r="66" spans="1:40" x14ac:dyDescent="0.3">
      <c r="A66" t="s">
        <v>8864</v>
      </c>
      <c r="B66" t="s">
        <v>8865</v>
      </c>
      <c r="C66" t="s">
        <v>2136</v>
      </c>
      <c r="D66" t="s">
        <v>8722</v>
      </c>
      <c r="E66" t="s">
        <v>8723</v>
      </c>
      <c r="F66" t="s">
        <v>8724</v>
      </c>
      <c r="H66">
        <v>69.5</v>
      </c>
      <c r="I66" t="s">
        <v>147</v>
      </c>
      <c r="J66" t="s">
        <v>130</v>
      </c>
      <c r="K66" t="s">
        <v>2138</v>
      </c>
      <c r="L66" t="s">
        <v>8866</v>
      </c>
      <c r="M66" t="s">
        <v>37</v>
      </c>
      <c r="N66" t="s">
        <v>8867</v>
      </c>
      <c r="O66" t="s">
        <v>8868</v>
      </c>
      <c r="R66" t="s">
        <v>111</v>
      </c>
      <c r="S66" t="s">
        <v>37</v>
      </c>
      <c r="T66">
        <v>62.881970000000003</v>
      </c>
      <c r="U66" t="s">
        <v>8869</v>
      </c>
      <c r="V66" t="s">
        <v>8870</v>
      </c>
      <c r="W66">
        <v>27.68074</v>
      </c>
      <c r="X66">
        <v>274900</v>
      </c>
      <c r="Y66" t="s">
        <v>246</v>
      </c>
      <c r="AA66" t="s">
        <v>38</v>
      </c>
      <c r="AB66" t="s">
        <v>39</v>
      </c>
      <c r="AC66" t="s">
        <v>8740</v>
      </c>
      <c r="AD66" t="s">
        <v>46</v>
      </c>
      <c r="AE66" t="s">
        <v>140</v>
      </c>
      <c r="AF66" t="s">
        <v>8871</v>
      </c>
      <c r="AG66" t="s">
        <v>8742</v>
      </c>
      <c r="AH66"/>
      <c r="AI66" s="2" t="str">
        <f t="shared" ref="AI66:AI129" si="5">IF(AE66="", "no info", IF(OR(ISNUMBER(SEARCH("kt", AE66)), ISNUMBER(SEARCH("avokeittiö", AE66))), "Open", IF(ISNUMBER(SEARCH("kk", AE66)), "Kitchenette", "Independent")))</f>
        <v>Open</v>
      </c>
      <c r="AJ66" s="2" t="str">
        <f t="shared" ref="AJ66:AJ129" si="6">IF(AE66="", "no info", IF(OR(ISNUMBER(SEARCH(" s ", AE66)), ISNUMBER(SEARCH("sauna", AE66)), ISNUMBER(SEARCH("+ s", AE66))), "YES", "NO"))</f>
        <v>YES</v>
      </c>
      <c r="AK66" s="1" t="str">
        <f t="shared" ref="AK66:AK129" si="7">IF(AE66="", "no info", IF(OR(ISNUMBER(SEARCH("las.p", AE66)), ISNUMBER(SEARCH("lasitettu", AE66))), "Glazed Balcony", IF(OR(ISNUMBER(SEARCH(" p ", AE66)), ISNUMBER(SEARCH("parveke", AE66))), "Standard Balcony", IF(OR(ISNUMBER(SEARCH("terassi", AE66)), ISNUMBER(SEARCH("kuisti", AE66))), "Terrace", "None"))))</f>
        <v>None</v>
      </c>
      <c r="AL66" s="1" t="str">
        <f t="shared" ref="AL66:AL129" si="8">IF(AE66="", "no info", IF(OR(ISNUMBER(SEARCH("2wc", AE66)), ISNUMBER(SEARCH("2xwc", AE66))), "2 Toilets", "1 Toilet"))</f>
        <v>1 Toilet</v>
      </c>
      <c r="AM66" s="1" t="str">
        <f t="shared" ref="AM66:AM129" si="9">IF(AE66="", "no info", IF(OR(ISNUMBER(SEARCH("vh", AE66)), ISNUMBER(SEARCH("var", AE66))), "YES", "NO"))</f>
        <v>NO</v>
      </c>
      <c r="AN66" s="1" t="str">
        <f>VLOOKUP(J66, 'Regions and Cities'!A:B, 2, FALSE)</f>
        <v>Pohjois-Savo</v>
      </c>
    </row>
    <row r="67" spans="1:40" x14ac:dyDescent="0.3">
      <c r="A67" t="s">
        <v>8845</v>
      </c>
      <c r="B67" t="s">
        <v>8846</v>
      </c>
      <c r="C67" t="s">
        <v>2136</v>
      </c>
      <c r="D67" t="s">
        <v>8722</v>
      </c>
      <c r="E67" t="s">
        <v>8723</v>
      </c>
      <c r="F67" t="s">
        <v>8724</v>
      </c>
      <c r="H67">
        <v>54</v>
      </c>
      <c r="I67" t="s">
        <v>147</v>
      </c>
      <c r="J67" t="s">
        <v>130</v>
      </c>
      <c r="K67" t="s">
        <v>2138</v>
      </c>
      <c r="L67" t="s">
        <v>8847</v>
      </c>
      <c r="M67" t="s">
        <v>37</v>
      </c>
      <c r="N67" t="s">
        <v>8848</v>
      </c>
      <c r="O67" t="s">
        <v>8849</v>
      </c>
      <c r="R67" t="s">
        <v>111</v>
      </c>
      <c r="S67" t="s">
        <v>37</v>
      </c>
      <c r="T67">
        <v>62.881970000000003</v>
      </c>
      <c r="U67" t="s">
        <v>8850</v>
      </c>
      <c r="V67" t="s">
        <v>8851</v>
      </c>
      <c r="W67">
        <v>27.68074</v>
      </c>
      <c r="X67">
        <v>229900</v>
      </c>
      <c r="Y67" t="s">
        <v>8852</v>
      </c>
      <c r="AA67" t="s">
        <v>38</v>
      </c>
      <c r="AB67" t="s">
        <v>39</v>
      </c>
      <c r="AC67" t="s">
        <v>8740</v>
      </c>
      <c r="AD67" t="s">
        <v>46</v>
      </c>
      <c r="AE67" t="s">
        <v>8751</v>
      </c>
      <c r="AF67" t="s">
        <v>8853</v>
      </c>
      <c r="AG67" t="s">
        <v>8753</v>
      </c>
      <c r="AH67"/>
      <c r="AI67" s="2" t="str">
        <f t="shared" si="5"/>
        <v>Open</v>
      </c>
      <c r="AJ67" s="2" t="str">
        <f t="shared" si="6"/>
        <v>YES</v>
      </c>
      <c r="AK67" s="1" t="str">
        <f t="shared" si="7"/>
        <v>None</v>
      </c>
      <c r="AL67" s="1" t="str">
        <f t="shared" si="8"/>
        <v>1 Toilet</v>
      </c>
      <c r="AM67" s="1" t="str">
        <f t="shared" si="9"/>
        <v>NO</v>
      </c>
      <c r="AN67" s="1" t="str">
        <f>VLOOKUP(J67, 'Regions and Cities'!A:B, 2, FALSE)</f>
        <v>Pohjois-Savo</v>
      </c>
    </row>
    <row r="68" spans="1:40" x14ac:dyDescent="0.3">
      <c r="A68" t="s">
        <v>8835</v>
      </c>
      <c r="B68" t="s">
        <v>8836</v>
      </c>
      <c r="C68" t="s">
        <v>2136</v>
      </c>
      <c r="D68" t="s">
        <v>8722</v>
      </c>
      <c r="E68" t="s">
        <v>8723</v>
      </c>
      <c r="F68" t="s">
        <v>8724</v>
      </c>
      <c r="H68">
        <v>23</v>
      </c>
      <c r="I68" t="s">
        <v>147</v>
      </c>
      <c r="J68" t="s">
        <v>130</v>
      </c>
      <c r="K68" t="s">
        <v>2138</v>
      </c>
      <c r="L68" t="s">
        <v>8837</v>
      </c>
      <c r="M68" t="s">
        <v>37</v>
      </c>
      <c r="N68" t="s">
        <v>8838</v>
      </c>
      <c r="O68" t="s">
        <v>8839</v>
      </c>
      <c r="R68" t="s">
        <v>111</v>
      </c>
      <c r="S68" t="s">
        <v>37</v>
      </c>
      <c r="T68">
        <v>62.881970000000003</v>
      </c>
      <c r="U68" t="s">
        <v>8840</v>
      </c>
      <c r="V68" t="s">
        <v>8841</v>
      </c>
      <c r="W68">
        <v>27.68074</v>
      </c>
      <c r="X68">
        <v>129900</v>
      </c>
      <c r="Y68" t="s">
        <v>8842</v>
      </c>
      <c r="AA68" t="s">
        <v>38</v>
      </c>
      <c r="AB68" t="s">
        <v>39</v>
      </c>
      <c r="AC68" t="s">
        <v>8740</v>
      </c>
      <c r="AD68" t="s">
        <v>202</v>
      </c>
      <c r="AE68" t="s">
        <v>203</v>
      </c>
      <c r="AF68" t="s">
        <v>8843</v>
      </c>
      <c r="AG68" t="s">
        <v>8844</v>
      </c>
      <c r="AH68"/>
      <c r="AI68" s="2" t="str">
        <f t="shared" si="5"/>
        <v>Open</v>
      </c>
      <c r="AJ68" s="2" t="str">
        <f t="shared" si="6"/>
        <v>NO</v>
      </c>
      <c r="AK68" s="1" t="str">
        <f t="shared" si="7"/>
        <v>None</v>
      </c>
      <c r="AL68" s="1" t="str">
        <f t="shared" si="8"/>
        <v>1 Toilet</v>
      </c>
      <c r="AM68" s="1" t="str">
        <f t="shared" si="9"/>
        <v>NO</v>
      </c>
      <c r="AN68" s="1" t="str">
        <f>VLOOKUP(J68, 'Regions and Cities'!A:B, 2, FALSE)</f>
        <v>Pohjois-Savo</v>
      </c>
    </row>
    <row r="69" spans="1:40" x14ac:dyDescent="0.3">
      <c r="A69" t="s">
        <v>8997</v>
      </c>
      <c r="B69" t="s">
        <v>8998</v>
      </c>
      <c r="C69" t="s">
        <v>2136</v>
      </c>
      <c r="D69" t="s">
        <v>8722</v>
      </c>
      <c r="E69" t="s">
        <v>8723</v>
      </c>
      <c r="F69" t="s">
        <v>8724</v>
      </c>
      <c r="H69">
        <v>60</v>
      </c>
      <c r="I69" t="s">
        <v>147</v>
      </c>
      <c r="J69" t="s">
        <v>130</v>
      </c>
      <c r="K69" t="s">
        <v>2138</v>
      </c>
      <c r="L69" t="s">
        <v>8999</v>
      </c>
      <c r="M69" t="s">
        <v>37</v>
      </c>
      <c r="N69" t="s">
        <v>9000</v>
      </c>
      <c r="O69" t="s">
        <v>9001</v>
      </c>
      <c r="R69" t="s">
        <v>111</v>
      </c>
      <c r="S69" t="s">
        <v>37</v>
      </c>
      <c r="T69">
        <v>62.881970000000003</v>
      </c>
      <c r="U69" t="s">
        <v>9002</v>
      </c>
      <c r="V69" t="s">
        <v>9003</v>
      </c>
      <c r="W69">
        <v>27.68074</v>
      </c>
      <c r="X69">
        <v>249900</v>
      </c>
      <c r="Y69" t="s">
        <v>2832</v>
      </c>
      <c r="AA69" t="s">
        <v>38</v>
      </c>
      <c r="AB69" t="s">
        <v>39</v>
      </c>
      <c r="AC69" t="s">
        <v>8740</v>
      </c>
      <c r="AD69" t="s">
        <v>46</v>
      </c>
      <c r="AE69" t="s">
        <v>140</v>
      </c>
      <c r="AF69" t="s">
        <v>9004</v>
      </c>
      <c r="AG69" t="s">
        <v>8834</v>
      </c>
      <c r="AH69"/>
      <c r="AI69" s="2" t="str">
        <f t="shared" si="5"/>
        <v>Open</v>
      </c>
      <c r="AJ69" s="2" t="str">
        <f t="shared" si="6"/>
        <v>YES</v>
      </c>
      <c r="AK69" s="1" t="str">
        <f t="shared" si="7"/>
        <v>None</v>
      </c>
      <c r="AL69" s="1" t="str">
        <f t="shared" si="8"/>
        <v>1 Toilet</v>
      </c>
      <c r="AM69" s="1" t="str">
        <f t="shared" si="9"/>
        <v>NO</v>
      </c>
      <c r="AN69" s="1" t="str">
        <f>VLOOKUP(J69, 'Regions and Cities'!A:B, 2, FALSE)</f>
        <v>Pohjois-Savo</v>
      </c>
    </row>
    <row r="70" spans="1:40" x14ac:dyDescent="0.3">
      <c r="A70" t="s">
        <v>8826</v>
      </c>
      <c r="B70" t="s">
        <v>8827</v>
      </c>
      <c r="C70" t="s">
        <v>2136</v>
      </c>
      <c r="D70" t="s">
        <v>8722</v>
      </c>
      <c r="E70" t="s">
        <v>8723</v>
      </c>
      <c r="F70" t="s">
        <v>8724</v>
      </c>
      <c r="H70">
        <v>60</v>
      </c>
      <c r="I70" t="s">
        <v>147</v>
      </c>
      <c r="J70" t="s">
        <v>130</v>
      </c>
      <c r="K70" t="s">
        <v>2138</v>
      </c>
      <c r="L70" t="s">
        <v>8828</v>
      </c>
      <c r="M70" t="s">
        <v>37</v>
      </c>
      <c r="N70" t="s">
        <v>8829</v>
      </c>
      <c r="O70" t="s">
        <v>8830</v>
      </c>
      <c r="R70" t="s">
        <v>111</v>
      </c>
      <c r="S70" t="s">
        <v>37</v>
      </c>
      <c r="T70">
        <v>62.881970000000003</v>
      </c>
      <c r="U70" t="s">
        <v>8831</v>
      </c>
      <c r="V70" t="s">
        <v>8832</v>
      </c>
      <c r="W70">
        <v>27.68074</v>
      </c>
      <c r="X70">
        <v>269900</v>
      </c>
      <c r="Y70" t="s">
        <v>7228</v>
      </c>
      <c r="AA70" t="s">
        <v>38</v>
      </c>
      <c r="AB70" t="s">
        <v>39</v>
      </c>
      <c r="AC70" t="s">
        <v>8740</v>
      </c>
      <c r="AD70" t="s">
        <v>46</v>
      </c>
      <c r="AE70" t="s">
        <v>140</v>
      </c>
      <c r="AF70" t="s">
        <v>8833</v>
      </c>
      <c r="AG70" t="s">
        <v>8834</v>
      </c>
      <c r="AH70"/>
      <c r="AI70" s="2" t="str">
        <f t="shared" si="5"/>
        <v>Open</v>
      </c>
      <c r="AJ70" s="2" t="str">
        <f t="shared" si="6"/>
        <v>YES</v>
      </c>
      <c r="AK70" s="1" t="str">
        <f t="shared" si="7"/>
        <v>None</v>
      </c>
      <c r="AL70" s="1" t="str">
        <f t="shared" si="8"/>
        <v>1 Toilet</v>
      </c>
      <c r="AM70" s="1" t="str">
        <f t="shared" si="9"/>
        <v>NO</v>
      </c>
      <c r="AN70" s="1" t="str">
        <f>VLOOKUP(J70, 'Regions and Cities'!A:B, 2, FALSE)</f>
        <v>Pohjois-Savo</v>
      </c>
    </row>
    <row r="71" spans="1:40" x14ac:dyDescent="0.3">
      <c r="A71" t="s">
        <v>8720</v>
      </c>
      <c r="B71" t="s">
        <v>8721</v>
      </c>
      <c r="C71" t="s">
        <v>2136</v>
      </c>
      <c r="D71" t="s">
        <v>8722</v>
      </c>
      <c r="E71" t="s">
        <v>8723</v>
      </c>
      <c r="F71" t="s">
        <v>8724</v>
      </c>
      <c r="H71">
        <v>84</v>
      </c>
      <c r="I71" t="s">
        <v>147</v>
      </c>
      <c r="J71" t="s">
        <v>130</v>
      </c>
      <c r="K71" t="s">
        <v>2138</v>
      </c>
      <c r="L71" t="s">
        <v>8725</v>
      </c>
      <c r="M71" t="s">
        <v>37</v>
      </c>
      <c r="N71" t="s">
        <v>8726</v>
      </c>
      <c r="O71" t="s">
        <v>8727</v>
      </c>
      <c r="R71" t="s">
        <v>111</v>
      </c>
      <c r="S71" t="s">
        <v>37</v>
      </c>
      <c r="T71">
        <v>62.881970000000003</v>
      </c>
      <c r="U71" t="s">
        <v>8728</v>
      </c>
      <c r="V71" t="s">
        <v>8729</v>
      </c>
      <c r="W71">
        <v>27.68074</v>
      </c>
      <c r="X71">
        <v>399900</v>
      </c>
      <c r="Y71" t="s">
        <v>7224</v>
      </c>
      <c r="AA71" t="s">
        <v>38</v>
      </c>
      <c r="AB71" t="s">
        <v>39</v>
      </c>
      <c r="AC71" t="s">
        <v>868</v>
      </c>
      <c r="AD71" t="s">
        <v>75</v>
      </c>
      <c r="AE71" t="s">
        <v>8730</v>
      </c>
      <c r="AF71" t="s">
        <v>8731</v>
      </c>
      <c r="AG71" t="s">
        <v>8732</v>
      </c>
      <c r="AH71"/>
      <c r="AI71" s="2" t="str">
        <f t="shared" si="5"/>
        <v>Open</v>
      </c>
      <c r="AJ71" s="2" t="str">
        <f t="shared" si="6"/>
        <v>YES</v>
      </c>
      <c r="AK71" s="1" t="str">
        <f t="shared" si="7"/>
        <v>None</v>
      </c>
      <c r="AL71" s="1" t="str">
        <f t="shared" si="8"/>
        <v>1 Toilet</v>
      </c>
      <c r="AM71" s="1" t="str">
        <f t="shared" si="9"/>
        <v>NO</v>
      </c>
      <c r="AN71" s="1" t="str">
        <f>VLOOKUP(J71, 'Regions and Cities'!A:B, 2, FALSE)</f>
        <v>Pohjois-Savo</v>
      </c>
    </row>
    <row r="72" spans="1:40" x14ac:dyDescent="0.3">
      <c r="A72" t="s">
        <v>8817</v>
      </c>
      <c r="B72" t="s">
        <v>8818</v>
      </c>
      <c r="C72" t="s">
        <v>2136</v>
      </c>
      <c r="D72" t="s">
        <v>8722</v>
      </c>
      <c r="E72" t="s">
        <v>8723</v>
      </c>
      <c r="F72" t="s">
        <v>8724</v>
      </c>
      <c r="H72">
        <v>69.5</v>
      </c>
      <c r="I72" t="s">
        <v>147</v>
      </c>
      <c r="J72" t="s">
        <v>130</v>
      </c>
      <c r="K72" t="s">
        <v>2138</v>
      </c>
      <c r="L72" t="s">
        <v>8819</v>
      </c>
      <c r="M72" t="s">
        <v>37</v>
      </c>
      <c r="N72" t="s">
        <v>8820</v>
      </c>
      <c r="O72" t="s">
        <v>8821</v>
      </c>
      <c r="R72" t="s">
        <v>111</v>
      </c>
      <c r="S72" t="s">
        <v>37</v>
      </c>
      <c r="T72">
        <v>62.881970000000003</v>
      </c>
      <c r="U72" t="s">
        <v>8822</v>
      </c>
      <c r="V72" t="s">
        <v>8823</v>
      </c>
      <c r="W72">
        <v>27.68074</v>
      </c>
      <c r="X72">
        <v>284900</v>
      </c>
      <c r="Y72" t="s">
        <v>8824</v>
      </c>
      <c r="AA72" t="s">
        <v>38</v>
      </c>
      <c r="AB72" t="s">
        <v>39</v>
      </c>
      <c r="AC72" t="s">
        <v>8740</v>
      </c>
      <c r="AD72" t="s">
        <v>46</v>
      </c>
      <c r="AE72" t="s">
        <v>140</v>
      </c>
      <c r="AF72" t="s">
        <v>8825</v>
      </c>
      <c r="AG72" t="s">
        <v>8742</v>
      </c>
      <c r="AH72"/>
      <c r="AI72" s="2" t="str">
        <f t="shared" si="5"/>
        <v>Open</v>
      </c>
      <c r="AJ72" s="2" t="str">
        <f t="shared" si="6"/>
        <v>YES</v>
      </c>
      <c r="AK72" s="1" t="str">
        <f t="shared" si="7"/>
        <v>None</v>
      </c>
      <c r="AL72" s="1" t="str">
        <f t="shared" si="8"/>
        <v>1 Toilet</v>
      </c>
      <c r="AM72" s="1" t="str">
        <f t="shared" si="9"/>
        <v>NO</v>
      </c>
      <c r="AN72" s="1" t="str">
        <f>VLOOKUP(J72, 'Regions and Cities'!A:B, 2, FALSE)</f>
        <v>Pohjois-Savo</v>
      </c>
    </row>
    <row r="73" spans="1:40" x14ac:dyDescent="0.3">
      <c r="A73" t="s">
        <v>8799</v>
      </c>
      <c r="B73" t="s">
        <v>8800</v>
      </c>
      <c r="C73" t="s">
        <v>2136</v>
      </c>
      <c r="D73" t="s">
        <v>8722</v>
      </c>
      <c r="E73" t="s">
        <v>8723</v>
      </c>
      <c r="F73" t="s">
        <v>8724</v>
      </c>
      <c r="H73">
        <v>54</v>
      </c>
      <c r="I73" t="s">
        <v>147</v>
      </c>
      <c r="J73" t="s">
        <v>130</v>
      </c>
      <c r="K73" t="s">
        <v>2138</v>
      </c>
      <c r="L73" t="s">
        <v>8801</v>
      </c>
      <c r="M73" t="s">
        <v>37</v>
      </c>
      <c r="N73" t="s">
        <v>8802</v>
      </c>
      <c r="O73" t="s">
        <v>8803</v>
      </c>
      <c r="R73" t="s">
        <v>111</v>
      </c>
      <c r="S73" t="s">
        <v>37</v>
      </c>
      <c r="T73">
        <v>62.881970000000003</v>
      </c>
      <c r="U73" t="s">
        <v>8804</v>
      </c>
      <c r="V73" t="s">
        <v>8805</v>
      </c>
      <c r="W73">
        <v>27.68074</v>
      </c>
      <c r="X73">
        <v>234900</v>
      </c>
      <c r="Y73" t="s">
        <v>8806</v>
      </c>
      <c r="AA73" t="s">
        <v>38</v>
      </c>
      <c r="AB73" t="s">
        <v>39</v>
      </c>
      <c r="AC73" t="s">
        <v>8740</v>
      </c>
      <c r="AD73" t="s">
        <v>46</v>
      </c>
      <c r="AE73" t="s">
        <v>8751</v>
      </c>
      <c r="AF73" t="s">
        <v>8807</v>
      </c>
      <c r="AG73" t="s">
        <v>8753</v>
      </c>
      <c r="AH73"/>
      <c r="AI73" s="2" t="str">
        <f t="shared" si="5"/>
        <v>Open</v>
      </c>
      <c r="AJ73" s="2" t="str">
        <f t="shared" si="6"/>
        <v>YES</v>
      </c>
      <c r="AK73" s="1" t="str">
        <f t="shared" si="7"/>
        <v>None</v>
      </c>
      <c r="AL73" s="1" t="str">
        <f t="shared" si="8"/>
        <v>1 Toilet</v>
      </c>
      <c r="AM73" s="1" t="str">
        <f t="shared" si="9"/>
        <v>NO</v>
      </c>
      <c r="AN73" s="1" t="str">
        <f>VLOOKUP(J73, 'Regions and Cities'!A:B, 2, FALSE)</f>
        <v>Pohjois-Savo</v>
      </c>
    </row>
    <row r="74" spans="1:40" x14ac:dyDescent="0.3">
      <c r="A74" t="s">
        <v>8808</v>
      </c>
      <c r="B74" t="s">
        <v>8809</v>
      </c>
      <c r="C74" t="s">
        <v>2136</v>
      </c>
      <c r="D74" t="s">
        <v>8722</v>
      </c>
      <c r="E74" t="s">
        <v>8723</v>
      </c>
      <c r="F74" t="s">
        <v>8724</v>
      </c>
      <c r="H74">
        <v>90.5</v>
      </c>
      <c r="I74" t="s">
        <v>147</v>
      </c>
      <c r="J74" t="s">
        <v>130</v>
      </c>
      <c r="K74" t="s">
        <v>2138</v>
      </c>
      <c r="L74" t="s">
        <v>8810</v>
      </c>
      <c r="M74" t="s">
        <v>37</v>
      </c>
      <c r="N74" t="s">
        <v>8811</v>
      </c>
      <c r="O74" t="s">
        <v>8812</v>
      </c>
      <c r="R74" t="s">
        <v>111</v>
      </c>
      <c r="S74" t="s">
        <v>37</v>
      </c>
      <c r="T74">
        <v>62.881970000000003</v>
      </c>
      <c r="U74" t="s">
        <v>8813</v>
      </c>
      <c r="V74" t="s">
        <v>8814</v>
      </c>
      <c r="W74">
        <v>27.68074</v>
      </c>
      <c r="X74">
        <v>449900</v>
      </c>
      <c r="Y74" t="s">
        <v>8815</v>
      </c>
      <c r="AA74" t="s">
        <v>38</v>
      </c>
      <c r="AB74" t="s">
        <v>39</v>
      </c>
      <c r="AC74" t="s">
        <v>8740</v>
      </c>
      <c r="AD74" t="s">
        <v>75</v>
      </c>
      <c r="AE74" t="s">
        <v>141</v>
      </c>
      <c r="AF74" t="s">
        <v>8816</v>
      </c>
      <c r="AG74" t="s">
        <v>8772</v>
      </c>
      <c r="AH74"/>
      <c r="AI74" s="2" t="str">
        <f t="shared" si="5"/>
        <v>Open</v>
      </c>
      <c r="AJ74" s="2" t="str">
        <f t="shared" si="6"/>
        <v>YES</v>
      </c>
      <c r="AK74" s="1" t="str">
        <f t="shared" si="7"/>
        <v>None</v>
      </c>
      <c r="AL74" s="1" t="str">
        <f t="shared" si="8"/>
        <v>1 Toilet</v>
      </c>
      <c r="AM74" s="1" t="str">
        <f t="shared" si="9"/>
        <v>NO</v>
      </c>
      <c r="AN74" s="1" t="str">
        <f>VLOOKUP(J74, 'Regions and Cities'!A:B, 2, FALSE)</f>
        <v>Pohjois-Savo</v>
      </c>
    </row>
    <row r="75" spans="1:40" x14ac:dyDescent="0.3">
      <c r="A75" t="s">
        <v>8782</v>
      </c>
      <c r="B75" t="s">
        <v>8783</v>
      </c>
      <c r="C75" t="s">
        <v>2136</v>
      </c>
      <c r="D75" t="s">
        <v>8722</v>
      </c>
      <c r="E75" t="s">
        <v>8723</v>
      </c>
      <c r="F75" t="s">
        <v>8724</v>
      </c>
      <c r="H75">
        <v>84</v>
      </c>
      <c r="I75" t="s">
        <v>147</v>
      </c>
      <c r="J75" t="s">
        <v>130</v>
      </c>
      <c r="K75" t="s">
        <v>2138</v>
      </c>
      <c r="L75" t="s">
        <v>8784</v>
      </c>
      <c r="M75" t="s">
        <v>37</v>
      </c>
      <c r="N75" t="s">
        <v>8785</v>
      </c>
      <c r="O75" t="s">
        <v>8786</v>
      </c>
      <c r="R75" t="s">
        <v>111</v>
      </c>
      <c r="S75" t="s">
        <v>37</v>
      </c>
      <c r="T75">
        <v>62.881970000000003</v>
      </c>
      <c r="U75" t="s">
        <v>8787</v>
      </c>
      <c r="V75" t="s">
        <v>8788</v>
      </c>
      <c r="W75">
        <v>27.68074</v>
      </c>
      <c r="X75">
        <v>419900</v>
      </c>
      <c r="Y75" t="s">
        <v>8789</v>
      </c>
      <c r="AA75" t="s">
        <v>38</v>
      </c>
      <c r="AB75" t="s">
        <v>39</v>
      </c>
      <c r="AC75" t="s">
        <v>8740</v>
      </c>
      <c r="AD75" t="s">
        <v>75</v>
      </c>
      <c r="AE75" t="s">
        <v>8730</v>
      </c>
      <c r="AF75" t="s">
        <v>8790</v>
      </c>
      <c r="AG75" t="s">
        <v>8732</v>
      </c>
      <c r="AH75"/>
      <c r="AI75" s="2" t="str">
        <f t="shared" si="5"/>
        <v>Open</v>
      </c>
      <c r="AJ75" s="2" t="str">
        <f t="shared" si="6"/>
        <v>YES</v>
      </c>
      <c r="AK75" s="1" t="str">
        <f t="shared" si="7"/>
        <v>None</v>
      </c>
      <c r="AL75" s="1" t="str">
        <f t="shared" si="8"/>
        <v>1 Toilet</v>
      </c>
      <c r="AM75" s="1" t="str">
        <f t="shared" si="9"/>
        <v>NO</v>
      </c>
      <c r="AN75" s="1" t="str">
        <f>VLOOKUP(J75, 'Regions and Cities'!A:B, 2, FALSE)</f>
        <v>Pohjois-Savo</v>
      </c>
    </row>
    <row r="76" spans="1:40" x14ac:dyDescent="0.3">
      <c r="A76" t="s">
        <v>8773</v>
      </c>
      <c r="B76" t="s">
        <v>8774</v>
      </c>
      <c r="C76" t="s">
        <v>2136</v>
      </c>
      <c r="D76" t="s">
        <v>8722</v>
      </c>
      <c r="E76" t="s">
        <v>8723</v>
      </c>
      <c r="F76" t="s">
        <v>8724</v>
      </c>
      <c r="H76">
        <v>69.5</v>
      </c>
      <c r="I76" t="s">
        <v>147</v>
      </c>
      <c r="J76" t="s">
        <v>130</v>
      </c>
      <c r="K76" t="s">
        <v>2138</v>
      </c>
      <c r="L76" t="s">
        <v>8775</v>
      </c>
      <c r="M76" t="s">
        <v>37</v>
      </c>
      <c r="N76" t="s">
        <v>8776</v>
      </c>
      <c r="O76" t="s">
        <v>8777</v>
      </c>
      <c r="R76" t="s">
        <v>111</v>
      </c>
      <c r="S76" t="s">
        <v>37</v>
      </c>
      <c r="T76">
        <v>62.881970000000003</v>
      </c>
      <c r="U76" t="s">
        <v>8778</v>
      </c>
      <c r="V76" t="s">
        <v>8779</v>
      </c>
      <c r="W76">
        <v>27.68074</v>
      </c>
      <c r="X76">
        <v>292400</v>
      </c>
      <c r="Y76" t="s">
        <v>8780</v>
      </c>
      <c r="AA76" t="s">
        <v>38</v>
      </c>
      <c r="AB76" t="s">
        <v>39</v>
      </c>
      <c r="AC76" t="s">
        <v>8740</v>
      </c>
      <c r="AD76" t="s">
        <v>46</v>
      </c>
      <c r="AE76" t="s">
        <v>140</v>
      </c>
      <c r="AF76" t="s">
        <v>8781</v>
      </c>
      <c r="AG76" t="s">
        <v>8742</v>
      </c>
      <c r="AH76"/>
      <c r="AI76" s="2" t="str">
        <f t="shared" si="5"/>
        <v>Open</v>
      </c>
      <c r="AJ76" s="2" t="str">
        <f t="shared" si="6"/>
        <v>YES</v>
      </c>
      <c r="AK76" s="1" t="str">
        <f t="shared" si="7"/>
        <v>None</v>
      </c>
      <c r="AL76" s="1" t="str">
        <f t="shared" si="8"/>
        <v>1 Toilet</v>
      </c>
      <c r="AM76" s="1" t="str">
        <f t="shared" si="9"/>
        <v>NO</v>
      </c>
      <c r="AN76" s="1" t="str">
        <f>VLOOKUP(J76, 'Regions and Cities'!A:B, 2, FALSE)</f>
        <v>Pohjois-Savo</v>
      </c>
    </row>
    <row r="77" spans="1:40" x14ac:dyDescent="0.3">
      <c r="A77" t="s">
        <v>8791</v>
      </c>
      <c r="B77" t="s">
        <v>8792</v>
      </c>
      <c r="C77" t="s">
        <v>2136</v>
      </c>
      <c r="D77" t="s">
        <v>8722</v>
      </c>
      <c r="E77" t="s">
        <v>8723</v>
      </c>
      <c r="F77" t="s">
        <v>8724</v>
      </c>
      <c r="H77">
        <v>54</v>
      </c>
      <c r="I77" t="s">
        <v>147</v>
      </c>
      <c r="J77" t="s">
        <v>130</v>
      </c>
      <c r="K77" t="s">
        <v>2138</v>
      </c>
      <c r="L77" t="s">
        <v>8793</v>
      </c>
      <c r="M77" t="s">
        <v>37</v>
      </c>
      <c r="N77" t="s">
        <v>8794</v>
      </c>
      <c r="O77" t="s">
        <v>8795</v>
      </c>
      <c r="R77" t="s">
        <v>111</v>
      </c>
      <c r="S77" t="s">
        <v>37</v>
      </c>
      <c r="T77">
        <v>62.881970000000003</v>
      </c>
      <c r="U77" t="s">
        <v>8796</v>
      </c>
      <c r="V77" t="s">
        <v>8797</v>
      </c>
      <c r="W77">
        <v>27.68074</v>
      </c>
      <c r="X77">
        <v>239900</v>
      </c>
      <c r="Y77" t="s">
        <v>7204</v>
      </c>
      <c r="AA77" t="s">
        <v>38</v>
      </c>
      <c r="AB77" t="s">
        <v>39</v>
      </c>
      <c r="AC77" t="s">
        <v>8740</v>
      </c>
      <c r="AD77" t="s">
        <v>46</v>
      </c>
      <c r="AE77" t="s">
        <v>8751</v>
      </c>
      <c r="AF77" t="s">
        <v>8798</v>
      </c>
      <c r="AG77" t="s">
        <v>8753</v>
      </c>
      <c r="AH77"/>
      <c r="AI77" s="2" t="str">
        <f t="shared" si="5"/>
        <v>Open</v>
      </c>
      <c r="AJ77" s="2" t="str">
        <f t="shared" si="6"/>
        <v>YES</v>
      </c>
      <c r="AK77" s="1" t="str">
        <f t="shared" si="7"/>
        <v>None</v>
      </c>
      <c r="AL77" s="1" t="str">
        <f t="shared" si="8"/>
        <v>1 Toilet</v>
      </c>
      <c r="AM77" s="1" t="str">
        <f t="shared" si="9"/>
        <v>NO</v>
      </c>
      <c r="AN77" s="1" t="str">
        <f>VLOOKUP(J77, 'Regions and Cities'!A:B, 2, FALSE)</f>
        <v>Pohjois-Savo</v>
      </c>
    </row>
    <row r="78" spans="1:40" x14ac:dyDescent="0.3">
      <c r="A78" t="s">
        <v>8763</v>
      </c>
      <c r="B78" t="s">
        <v>8764</v>
      </c>
      <c r="C78" t="s">
        <v>2136</v>
      </c>
      <c r="D78" t="s">
        <v>8722</v>
      </c>
      <c r="E78" t="s">
        <v>8723</v>
      </c>
      <c r="F78" t="s">
        <v>8724</v>
      </c>
      <c r="H78">
        <v>90.5</v>
      </c>
      <c r="I78" t="s">
        <v>147</v>
      </c>
      <c r="J78" t="s">
        <v>130</v>
      </c>
      <c r="K78" t="s">
        <v>2138</v>
      </c>
      <c r="L78" t="s">
        <v>8765</v>
      </c>
      <c r="M78" t="s">
        <v>37</v>
      </c>
      <c r="N78" t="s">
        <v>8766</v>
      </c>
      <c r="O78" t="s">
        <v>8767</v>
      </c>
      <c r="R78" t="s">
        <v>111</v>
      </c>
      <c r="S78" t="s">
        <v>37</v>
      </c>
      <c r="T78">
        <v>62.881970000000003</v>
      </c>
      <c r="U78" t="s">
        <v>8768</v>
      </c>
      <c r="V78" t="s">
        <v>8769</v>
      </c>
      <c r="W78">
        <v>27.68074</v>
      </c>
      <c r="X78">
        <v>459900</v>
      </c>
      <c r="Y78" t="s">
        <v>8770</v>
      </c>
      <c r="AA78" t="s">
        <v>38</v>
      </c>
      <c r="AB78" t="s">
        <v>39</v>
      </c>
      <c r="AC78" t="s">
        <v>8740</v>
      </c>
      <c r="AD78" t="s">
        <v>75</v>
      </c>
      <c r="AE78" t="s">
        <v>141</v>
      </c>
      <c r="AF78" t="s">
        <v>8771</v>
      </c>
      <c r="AG78" t="s">
        <v>8772</v>
      </c>
      <c r="AH78"/>
      <c r="AI78" s="2" t="str">
        <f t="shared" si="5"/>
        <v>Open</v>
      </c>
      <c r="AJ78" s="2" t="str">
        <f t="shared" si="6"/>
        <v>YES</v>
      </c>
      <c r="AK78" s="1" t="str">
        <f t="shared" si="7"/>
        <v>None</v>
      </c>
      <c r="AL78" s="1" t="str">
        <f t="shared" si="8"/>
        <v>1 Toilet</v>
      </c>
      <c r="AM78" s="1" t="str">
        <f t="shared" si="9"/>
        <v>NO</v>
      </c>
      <c r="AN78" s="1" t="str">
        <f>VLOOKUP(J78, 'Regions and Cities'!A:B, 2, FALSE)</f>
        <v>Pohjois-Savo</v>
      </c>
    </row>
    <row r="79" spans="1:40" x14ac:dyDescent="0.3">
      <c r="A79" t="s">
        <v>8754</v>
      </c>
      <c r="B79" t="s">
        <v>8755</v>
      </c>
      <c r="C79" t="s">
        <v>2136</v>
      </c>
      <c r="D79" t="s">
        <v>8722</v>
      </c>
      <c r="E79" t="s">
        <v>8723</v>
      </c>
      <c r="F79" t="s">
        <v>8724</v>
      </c>
      <c r="H79">
        <v>84</v>
      </c>
      <c r="I79" t="s">
        <v>147</v>
      </c>
      <c r="J79" t="s">
        <v>130</v>
      </c>
      <c r="K79" t="s">
        <v>2138</v>
      </c>
      <c r="L79" t="s">
        <v>8756</v>
      </c>
      <c r="M79" t="s">
        <v>37</v>
      </c>
      <c r="N79" t="s">
        <v>8757</v>
      </c>
      <c r="O79" t="s">
        <v>8758</v>
      </c>
      <c r="R79" t="s">
        <v>111</v>
      </c>
      <c r="S79" t="s">
        <v>37</v>
      </c>
      <c r="T79">
        <v>62.881970000000003</v>
      </c>
      <c r="U79" t="s">
        <v>8759</v>
      </c>
      <c r="V79" t="s">
        <v>8760</v>
      </c>
      <c r="W79">
        <v>27.68074</v>
      </c>
      <c r="X79">
        <v>429900</v>
      </c>
      <c r="Y79" t="s">
        <v>8761</v>
      </c>
      <c r="AA79" t="s">
        <v>38</v>
      </c>
      <c r="AB79" t="s">
        <v>39</v>
      </c>
      <c r="AC79" t="s">
        <v>8740</v>
      </c>
      <c r="AD79" t="s">
        <v>75</v>
      </c>
      <c r="AE79" t="s">
        <v>8730</v>
      </c>
      <c r="AF79" t="s">
        <v>8762</v>
      </c>
      <c r="AG79" t="s">
        <v>8732</v>
      </c>
      <c r="AH79"/>
      <c r="AI79" s="2" t="str">
        <f t="shared" si="5"/>
        <v>Open</v>
      </c>
      <c r="AJ79" s="2" t="str">
        <f t="shared" si="6"/>
        <v>YES</v>
      </c>
      <c r="AK79" s="1" t="str">
        <f t="shared" si="7"/>
        <v>None</v>
      </c>
      <c r="AL79" s="1" t="str">
        <f t="shared" si="8"/>
        <v>1 Toilet</v>
      </c>
      <c r="AM79" s="1" t="str">
        <f t="shared" si="9"/>
        <v>NO</v>
      </c>
      <c r="AN79" s="1" t="str">
        <f>VLOOKUP(J79, 'Regions and Cities'!A:B, 2, FALSE)</f>
        <v>Pohjois-Savo</v>
      </c>
    </row>
    <row r="80" spans="1:40" x14ac:dyDescent="0.3">
      <c r="A80" t="s">
        <v>8969</v>
      </c>
      <c r="B80" t="s">
        <v>8970</v>
      </c>
      <c r="C80" t="s">
        <v>2136</v>
      </c>
      <c r="D80" t="s">
        <v>8722</v>
      </c>
      <c r="E80" t="s">
        <v>8723</v>
      </c>
      <c r="F80" t="s">
        <v>8724</v>
      </c>
      <c r="H80">
        <v>49.5</v>
      </c>
      <c r="I80" t="s">
        <v>147</v>
      </c>
      <c r="J80" t="s">
        <v>130</v>
      </c>
      <c r="K80" t="s">
        <v>2138</v>
      </c>
      <c r="L80" t="s">
        <v>8971</v>
      </c>
      <c r="M80" t="s">
        <v>37</v>
      </c>
      <c r="N80" t="s">
        <v>8972</v>
      </c>
      <c r="O80" t="s">
        <v>8973</v>
      </c>
      <c r="R80" t="s">
        <v>111</v>
      </c>
      <c r="S80" t="s">
        <v>37</v>
      </c>
      <c r="T80">
        <v>62.881970000000003</v>
      </c>
      <c r="U80" t="s">
        <v>8974</v>
      </c>
      <c r="V80" t="s">
        <v>8975</v>
      </c>
      <c r="W80">
        <v>27.68074</v>
      </c>
      <c r="X80">
        <v>209900</v>
      </c>
      <c r="Y80" t="s">
        <v>7226</v>
      </c>
      <c r="AA80" t="s">
        <v>38</v>
      </c>
      <c r="AB80" t="s">
        <v>39</v>
      </c>
      <c r="AC80" t="s">
        <v>8740</v>
      </c>
      <c r="AD80" t="s">
        <v>40</v>
      </c>
      <c r="AE80" t="s">
        <v>41</v>
      </c>
      <c r="AF80" t="s">
        <v>8976</v>
      </c>
      <c r="AG80" t="s">
        <v>8880</v>
      </c>
      <c r="AH80"/>
      <c r="AI80" s="2" t="str">
        <f t="shared" si="5"/>
        <v>Open</v>
      </c>
      <c r="AJ80" s="2" t="str">
        <f t="shared" si="6"/>
        <v>YES</v>
      </c>
      <c r="AK80" s="1" t="str">
        <f t="shared" si="7"/>
        <v>None</v>
      </c>
      <c r="AL80" s="1" t="str">
        <f t="shared" si="8"/>
        <v>1 Toilet</v>
      </c>
      <c r="AM80" s="1" t="str">
        <f t="shared" si="9"/>
        <v>NO</v>
      </c>
      <c r="AN80" s="1" t="str">
        <f>VLOOKUP(J80, 'Regions and Cities'!A:B, 2, FALSE)</f>
        <v>Pohjois-Savo</v>
      </c>
    </row>
    <row r="81" spans="1:40" x14ac:dyDescent="0.3">
      <c r="A81" t="s">
        <v>8733</v>
      </c>
      <c r="B81" t="s">
        <v>8734</v>
      </c>
      <c r="C81" t="s">
        <v>2136</v>
      </c>
      <c r="D81" t="s">
        <v>8722</v>
      </c>
      <c r="E81" t="s">
        <v>8723</v>
      </c>
      <c r="F81" t="s">
        <v>8724</v>
      </c>
      <c r="H81">
        <v>69.5</v>
      </c>
      <c r="I81" t="s">
        <v>147</v>
      </c>
      <c r="J81" t="s">
        <v>130</v>
      </c>
      <c r="K81" t="s">
        <v>2138</v>
      </c>
      <c r="L81" t="s">
        <v>8735</v>
      </c>
      <c r="M81" t="s">
        <v>37</v>
      </c>
      <c r="N81" t="s">
        <v>8736</v>
      </c>
      <c r="O81" t="s">
        <v>8737</v>
      </c>
      <c r="R81" t="s">
        <v>111</v>
      </c>
      <c r="S81" t="s">
        <v>37</v>
      </c>
      <c r="T81">
        <v>62.881970000000003</v>
      </c>
      <c r="U81" t="s">
        <v>8738</v>
      </c>
      <c r="V81" t="s">
        <v>8739</v>
      </c>
      <c r="W81">
        <v>27.68074</v>
      </c>
      <c r="X81">
        <v>299900</v>
      </c>
      <c r="Y81" t="s">
        <v>3952</v>
      </c>
      <c r="AA81" t="s">
        <v>38</v>
      </c>
      <c r="AB81" t="s">
        <v>39</v>
      </c>
      <c r="AC81" t="s">
        <v>8740</v>
      </c>
      <c r="AD81" t="s">
        <v>46</v>
      </c>
      <c r="AE81" t="s">
        <v>140</v>
      </c>
      <c r="AF81" t="s">
        <v>8741</v>
      </c>
      <c r="AG81" t="s">
        <v>8742</v>
      </c>
      <c r="AH81"/>
      <c r="AI81" s="2" t="str">
        <f t="shared" si="5"/>
        <v>Open</v>
      </c>
      <c r="AJ81" s="2" t="str">
        <f t="shared" si="6"/>
        <v>YES</v>
      </c>
      <c r="AK81" s="1" t="str">
        <f t="shared" si="7"/>
        <v>None</v>
      </c>
      <c r="AL81" s="1" t="str">
        <f t="shared" si="8"/>
        <v>1 Toilet</v>
      </c>
      <c r="AM81" s="1" t="str">
        <f t="shared" si="9"/>
        <v>NO</v>
      </c>
      <c r="AN81" s="1" t="str">
        <f>VLOOKUP(J81, 'Regions and Cities'!A:B, 2, FALSE)</f>
        <v>Pohjois-Savo</v>
      </c>
    </row>
    <row r="82" spans="1:40" x14ac:dyDescent="0.3">
      <c r="A82" t="s">
        <v>8743</v>
      </c>
      <c r="B82" t="s">
        <v>8744</v>
      </c>
      <c r="C82" t="s">
        <v>2136</v>
      </c>
      <c r="D82" t="s">
        <v>8722</v>
      </c>
      <c r="E82" t="s">
        <v>8723</v>
      </c>
      <c r="F82" t="s">
        <v>8724</v>
      </c>
      <c r="H82">
        <v>54</v>
      </c>
      <c r="I82" t="s">
        <v>147</v>
      </c>
      <c r="J82" t="s">
        <v>130</v>
      </c>
      <c r="K82" t="s">
        <v>2138</v>
      </c>
      <c r="L82" t="s">
        <v>8745</v>
      </c>
      <c r="M82" t="s">
        <v>37</v>
      </c>
      <c r="N82" t="s">
        <v>8746</v>
      </c>
      <c r="O82" t="s">
        <v>8747</v>
      </c>
      <c r="R82" t="s">
        <v>111</v>
      </c>
      <c r="S82" t="s">
        <v>37</v>
      </c>
      <c r="T82">
        <v>62.881970000000003</v>
      </c>
      <c r="U82" t="s">
        <v>8748</v>
      </c>
      <c r="V82" t="s">
        <v>8749</v>
      </c>
      <c r="W82">
        <v>27.68074</v>
      </c>
      <c r="X82">
        <v>244900</v>
      </c>
      <c r="Y82" t="s">
        <v>8750</v>
      </c>
      <c r="AA82" t="s">
        <v>38</v>
      </c>
      <c r="AB82" t="s">
        <v>39</v>
      </c>
      <c r="AC82" t="s">
        <v>8740</v>
      </c>
      <c r="AD82" t="s">
        <v>46</v>
      </c>
      <c r="AE82" t="s">
        <v>8751</v>
      </c>
      <c r="AF82" t="s">
        <v>8752</v>
      </c>
      <c r="AG82" t="s">
        <v>8753</v>
      </c>
      <c r="AH82"/>
      <c r="AI82" s="2" t="str">
        <f t="shared" si="5"/>
        <v>Open</v>
      </c>
      <c r="AJ82" s="2" t="str">
        <f t="shared" si="6"/>
        <v>YES</v>
      </c>
      <c r="AK82" s="1" t="str">
        <f t="shared" si="7"/>
        <v>None</v>
      </c>
      <c r="AL82" s="1" t="str">
        <f t="shared" si="8"/>
        <v>1 Toilet</v>
      </c>
      <c r="AM82" s="1" t="str">
        <f t="shared" si="9"/>
        <v>NO</v>
      </c>
      <c r="AN82" s="1" t="str">
        <f>VLOOKUP(J82, 'Regions and Cities'!A:B, 2, FALSE)</f>
        <v>Pohjois-Savo</v>
      </c>
    </row>
    <row r="83" spans="1:40" x14ac:dyDescent="0.3">
      <c r="A83" t="s">
        <v>8977</v>
      </c>
      <c r="B83" t="s">
        <v>8978</v>
      </c>
      <c r="C83" t="s">
        <v>2136</v>
      </c>
      <c r="D83" t="s">
        <v>8722</v>
      </c>
      <c r="E83" t="s">
        <v>8723</v>
      </c>
      <c r="F83" t="s">
        <v>8724</v>
      </c>
      <c r="H83">
        <v>33</v>
      </c>
      <c r="I83" t="s">
        <v>147</v>
      </c>
      <c r="J83" t="s">
        <v>130</v>
      </c>
      <c r="K83" t="s">
        <v>2138</v>
      </c>
      <c r="L83" t="s">
        <v>8979</v>
      </c>
      <c r="M83" t="s">
        <v>37</v>
      </c>
      <c r="N83" t="s">
        <v>8980</v>
      </c>
      <c r="O83" t="s">
        <v>8981</v>
      </c>
      <c r="R83" t="s">
        <v>111</v>
      </c>
      <c r="S83" t="s">
        <v>37</v>
      </c>
      <c r="T83">
        <v>62.881970000000003</v>
      </c>
      <c r="U83" t="s">
        <v>8982</v>
      </c>
      <c r="V83" t="s">
        <v>8983</v>
      </c>
      <c r="W83">
        <v>27.68074</v>
      </c>
      <c r="X83">
        <v>148900</v>
      </c>
      <c r="Y83" t="s">
        <v>8984</v>
      </c>
      <c r="AA83" t="s">
        <v>38</v>
      </c>
      <c r="AB83" t="s">
        <v>39</v>
      </c>
      <c r="AC83" t="s">
        <v>8740</v>
      </c>
      <c r="AD83" t="s">
        <v>40</v>
      </c>
      <c r="AE83" t="s">
        <v>145</v>
      </c>
      <c r="AF83" t="s">
        <v>8985</v>
      </c>
      <c r="AG83" t="s">
        <v>8863</v>
      </c>
      <c r="AH83"/>
      <c r="AI83" s="2" t="str">
        <f t="shared" si="5"/>
        <v>Open</v>
      </c>
      <c r="AJ83" s="2" t="str">
        <f t="shared" si="6"/>
        <v>NO</v>
      </c>
      <c r="AK83" s="1" t="str">
        <f t="shared" si="7"/>
        <v>None</v>
      </c>
      <c r="AL83" s="1" t="str">
        <f t="shared" si="8"/>
        <v>1 Toilet</v>
      </c>
      <c r="AM83" s="1" t="str">
        <f t="shared" si="9"/>
        <v>NO</v>
      </c>
      <c r="AN83" s="1" t="str">
        <f>VLOOKUP(J83, 'Regions and Cities'!A:B, 2, FALSE)</f>
        <v>Pohjois-Savo</v>
      </c>
    </row>
    <row r="84" spans="1:40" x14ac:dyDescent="0.3">
      <c r="A84" t="s">
        <v>8959</v>
      </c>
      <c r="B84" t="s">
        <v>8960</v>
      </c>
      <c r="C84" t="s">
        <v>2136</v>
      </c>
      <c r="D84" t="s">
        <v>8722</v>
      </c>
      <c r="E84" t="s">
        <v>8723</v>
      </c>
      <c r="F84" t="s">
        <v>8724</v>
      </c>
      <c r="H84">
        <v>28</v>
      </c>
      <c r="I84" t="s">
        <v>147</v>
      </c>
      <c r="J84" t="s">
        <v>130</v>
      </c>
      <c r="K84" t="s">
        <v>2138</v>
      </c>
      <c r="L84" t="s">
        <v>8961</v>
      </c>
      <c r="M84" t="s">
        <v>37</v>
      </c>
      <c r="N84" t="s">
        <v>8962</v>
      </c>
      <c r="O84" t="s">
        <v>8963</v>
      </c>
      <c r="R84" t="s">
        <v>111</v>
      </c>
      <c r="S84" t="s">
        <v>37</v>
      </c>
      <c r="T84">
        <v>62.881970000000003</v>
      </c>
      <c r="U84" t="s">
        <v>8964</v>
      </c>
      <c r="V84" t="s">
        <v>8965</v>
      </c>
      <c r="W84">
        <v>27.68074</v>
      </c>
      <c r="X84">
        <v>124900</v>
      </c>
      <c r="Y84" t="s">
        <v>8966</v>
      </c>
      <c r="AA84" t="s">
        <v>38</v>
      </c>
      <c r="AB84" t="s">
        <v>39</v>
      </c>
      <c r="AC84" t="s">
        <v>8740</v>
      </c>
      <c r="AD84" t="s">
        <v>202</v>
      </c>
      <c r="AE84" t="s">
        <v>203</v>
      </c>
      <c r="AF84" t="s">
        <v>8967</v>
      </c>
      <c r="AG84" t="s">
        <v>8968</v>
      </c>
      <c r="AH84"/>
      <c r="AI84" s="2" t="str">
        <f t="shared" si="5"/>
        <v>Open</v>
      </c>
      <c r="AJ84" s="2" t="str">
        <f t="shared" si="6"/>
        <v>NO</v>
      </c>
      <c r="AK84" s="1" t="str">
        <f t="shared" si="7"/>
        <v>None</v>
      </c>
      <c r="AL84" s="1" t="str">
        <f t="shared" si="8"/>
        <v>1 Toilet</v>
      </c>
      <c r="AM84" s="1" t="str">
        <f t="shared" si="9"/>
        <v>NO</v>
      </c>
      <c r="AN84" s="1" t="str">
        <f>VLOOKUP(J84, 'Regions and Cities'!A:B, 2, FALSE)</f>
        <v>Pohjois-Savo</v>
      </c>
    </row>
    <row r="85" spans="1:40" x14ac:dyDescent="0.3">
      <c r="A85" t="s">
        <v>8951</v>
      </c>
      <c r="B85" t="s">
        <v>8952</v>
      </c>
      <c r="C85" t="s">
        <v>2136</v>
      </c>
      <c r="D85" t="s">
        <v>8722</v>
      </c>
      <c r="E85" t="s">
        <v>8723</v>
      </c>
      <c r="F85" t="s">
        <v>8724</v>
      </c>
      <c r="H85">
        <v>54</v>
      </c>
      <c r="I85" t="s">
        <v>147</v>
      </c>
      <c r="J85" t="s">
        <v>130</v>
      </c>
      <c r="K85" t="s">
        <v>2138</v>
      </c>
      <c r="L85" t="s">
        <v>8953</v>
      </c>
      <c r="M85" t="s">
        <v>37</v>
      </c>
      <c r="N85" t="s">
        <v>8954</v>
      </c>
      <c r="O85" t="s">
        <v>8955</v>
      </c>
      <c r="R85" t="s">
        <v>111</v>
      </c>
      <c r="S85" t="s">
        <v>37</v>
      </c>
      <c r="T85">
        <v>62.881970000000003</v>
      </c>
      <c r="U85" t="s">
        <v>8956</v>
      </c>
      <c r="V85" t="s">
        <v>8957</v>
      </c>
      <c r="W85">
        <v>27.68074</v>
      </c>
      <c r="X85">
        <v>219900</v>
      </c>
      <c r="Y85" t="s">
        <v>2833</v>
      </c>
      <c r="AA85" t="s">
        <v>38</v>
      </c>
      <c r="AB85" t="s">
        <v>39</v>
      </c>
      <c r="AC85" t="s">
        <v>8740</v>
      </c>
      <c r="AD85" t="s">
        <v>46</v>
      </c>
      <c r="AE85" t="s">
        <v>8751</v>
      </c>
      <c r="AF85" t="s">
        <v>8958</v>
      </c>
      <c r="AG85" t="s">
        <v>8753</v>
      </c>
      <c r="AH85"/>
      <c r="AI85" s="2" t="str">
        <f t="shared" si="5"/>
        <v>Open</v>
      </c>
      <c r="AJ85" s="2" t="str">
        <f t="shared" si="6"/>
        <v>YES</v>
      </c>
      <c r="AK85" s="1" t="str">
        <f t="shared" si="7"/>
        <v>None</v>
      </c>
      <c r="AL85" s="1" t="str">
        <f t="shared" si="8"/>
        <v>1 Toilet</v>
      </c>
      <c r="AM85" s="1" t="str">
        <f t="shared" si="9"/>
        <v>NO</v>
      </c>
      <c r="AN85" s="1" t="str">
        <f>VLOOKUP(J85, 'Regions and Cities'!A:B, 2, FALSE)</f>
        <v>Pohjois-Savo</v>
      </c>
    </row>
    <row r="86" spans="1:40" x14ac:dyDescent="0.3">
      <c r="A86" t="s">
        <v>8934</v>
      </c>
      <c r="B86" t="s">
        <v>8935</v>
      </c>
      <c r="C86" t="s">
        <v>2136</v>
      </c>
      <c r="D86" t="s">
        <v>8722</v>
      </c>
      <c r="E86" t="s">
        <v>8723</v>
      </c>
      <c r="F86" t="s">
        <v>8724</v>
      </c>
      <c r="H86">
        <v>23</v>
      </c>
      <c r="I86" t="s">
        <v>147</v>
      </c>
      <c r="J86" t="s">
        <v>130</v>
      </c>
      <c r="K86" t="s">
        <v>2138</v>
      </c>
      <c r="L86" t="s">
        <v>8936</v>
      </c>
      <c r="M86" t="s">
        <v>37</v>
      </c>
      <c r="N86" t="s">
        <v>8937</v>
      </c>
      <c r="O86" t="s">
        <v>8938</v>
      </c>
      <c r="R86" t="s">
        <v>111</v>
      </c>
      <c r="S86" t="s">
        <v>37</v>
      </c>
      <c r="T86">
        <v>62.881970000000003</v>
      </c>
      <c r="U86" t="s">
        <v>8939</v>
      </c>
      <c r="V86" t="s">
        <v>8940</v>
      </c>
      <c r="W86">
        <v>27.68074</v>
      </c>
      <c r="X86">
        <v>122900</v>
      </c>
      <c r="Y86" t="s">
        <v>8941</v>
      </c>
      <c r="AA86" t="s">
        <v>38</v>
      </c>
      <c r="AB86" t="s">
        <v>39</v>
      </c>
      <c r="AC86" t="s">
        <v>8740</v>
      </c>
      <c r="AD86" t="s">
        <v>202</v>
      </c>
      <c r="AE86" t="s">
        <v>203</v>
      </c>
      <c r="AF86" t="s">
        <v>8942</v>
      </c>
      <c r="AG86" t="s">
        <v>8844</v>
      </c>
      <c r="AH86"/>
      <c r="AI86" s="2" t="str">
        <f t="shared" si="5"/>
        <v>Open</v>
      </c>
      <c r="AJ86" s="2" t="str">
        <f t="shared" si="6"/>
        <v>NO</v>
      </c>
      <c r="AK86" s="1" t="str">
        <f t="shared" si="7"/>
        <v>None</v>
      </c>
      <c r="AL86" s="1" t="str">
        <f t="shared" si="8"/>
        <v>1 Toilet</v>
      </c>
      <c r="AM86" s="1" t="str">
        <f t="shared" si="9"/>
        <v>NO</v>
      </c>
      <c r="AN86" s="1" t="str">
        <f>VLOOKUP(J86, 'Regions and Cities'!A:B, 2, FALSE)</f>
        <v>Pohjois-Savo</v>
      </c>
    </row>
    <row r="87" spans="1:40" x14ac:dyDescent="0.3">
      <c r="A87" t="s">
        <v>8943</v>
      </c>
      <c r="B87" t="s">
        <v>8944</v>
      </c>
      <c r="C87" t="s">
        <v>2136</v>
      </c>
      <c r="D87" t="s">
        <v>8722</v>
      </c>
      <c r="E87" t="s">
        <v>8723</v>
      </c>
      <c r="F87" t="s">
        <v>8724</v>
      </c>
      <c r="H87">
        <v>60</v>
      </c>
      <c r="I87" t="s">
        <v>147</v>
      </c>
      <c r="J87" t="s">
        <v>130</v>
      </c>
      <c r="K87" t="s">
        <v>2138</v>
      </c>
      <c r="L87" t="s">
        <v>8945</v>
      </c>
      <c r="M87" t="s">
        <v>37</v>
      </c>
      <c r="N87" t="s">
        <v>8946</v>
      </c>
      <c r="O87" t="s">
        <v>8947</v>
      </c>
      <c r="R87" t="s">
        <v>111</v>
      </c>
      <c r="S87" t="s">
        <v>37</v>
      </c>
      <c r="T87">
        <v>62.881970000000003</v>
      </c>
      <c r="U87" t="s">
        <v>8948</v>
      </c>
      <c r="V87" t="s">
        <v>8949</v>
      </c>
      <c r="W87">
        <v>27.68074</v>
      </c>
      <c r="X87">
        <v>254900</v>
      </c>
      <c r="Y87" t="s">
        <v>7227</v>
      </c>
      <c r="AA87" t="s">
        <v>38</v>
      </c>
      <c r="AB87" t="s">
        <v>39</v>
      </c>
      <c r="AC87" t="s">
        <v>8740</v>
      </c>
      <c r="AD87" t="s">
        <v>46</v>
      </c>
      <c r="AE87" t="s">
        <v>140</v>
      </c>
      <c r="AF87" t="s">
        <v>8950</v>
      </c>
      <c r="AG87" t="s">
        <v>8834</v>
      </c>
      <c r="AH87"/>
      <c r="AI87" s="2" t="str">
        <f t="shared" si="5"/>
        <v>Open</v>
      </c>
      <c r="AJ87" s="2" t="str">
        <f t="shared" si="6"/>
        <v>YES</v>
      </c>
      <c r="AK87" s="1" t="str">
        <f t="shared" si="7"/>
        <v>None</v>
      </c>
      <c r="AL87" s="1" t="str">
        <f t="shared" si="8"/>
        <v>1 Toilet</v>
      </c>
      <c r="AM87" s="1" t="str">
        <f t="shared" si="9"/>
        <v>NO</v>
      </c>
      <c r="AN87" s="1" t="str">
        <f>VLOOKUP(J87, 'Regions and Cities'!A:B, 2, FALSE)</f>
        <v>Pohjois-Savo</v>
      </c>
    </row>
    <row r="88" spans="1:40" x14ac:dyDescent="0.3">
      <c r="A88" t="s">
        <v>8925</v>
      </c>
      <c r="B88" t="s">
        <v>8926</v>
      </c>
      <c r="C88" t="s">
        <v>2136</v>
      </c>
      <c r="D88" t="s">
        <v>8722</v>
      </c>
      <c r="E88" t="s">
        <v>8723</v>
      </c>
      <c r="F88" t="s">
        <v>8724</v>
      </c>
      <c r="H88">
        <v>49.5</v>
      </c>
      <c r="I88" t="s">
        <v>147</v>
      </c>
      <c r="J88" t="s">
        <v>130</v>
      </c>
      <c r="K88" t="s">
        <v>2138</v>
      </c>
      <c r="L88" t="s">
        <v>8927</v>
      </c>
      <c r="M88" t="s">
        <v>37</v>
      </c>
      <c r="N88" t="s">
        <v>8928</v>
      </c>
      <c r="O88" t="s">
        <v>8929</v>
      </c>
      <c r="R88" t="s">
        <v>111</v>
      </c>
      <c r="S88" t="s">
        <v>37</v>
      </c>
      <c r="T88">
        <v>62.881970000000003</v>
      </c>
      <c r="U88" t="s">
        <v>8930</v>
      </c>
      <c r="V88" t="s">
        <v>8931</v>
      </c>
      <c r="W88">
        <v>27.68074</v>
      </c>
      <c r="X88">
        <v>214900</v>
      </c>
      <c r="Y88" t="s">
        <v>8932</v>
      </c>
      <c r="AA88" t="s">
        <v>38</v>
      </c>
      <c r="AB88" t="s">
        <v>39</v>
      </c>
      <c r="AC88" t="s">
        <v>8740</v>
      </c>
      <c r="AD88" t="s">
        <v>40</v>
      </c>
      <c r="AE88" t="s">
        <v>41</v>
      </c>
      <c r="AF88" t="s">
        <v>8933</v>
      </c>
      <c r="AG88" t="s">
        <v>8880</v>
      </c>
      <c r="AH88"/>
      <c r="AI88" s="2" t="str">
        <f t="shared" si="5"/>
        <v>Open</v>
      </c>
      <c r="AJ88" s="2" t="str">
        <f t="shared" si="6"/>
        <v>YES</v>
      </c>
      <c r="AK88" s="1" t="str">
        <f t="shared" si="7"/>
        <v>None</v>
      </c>
      <c r="AL88" s="1" t="str">
        <f t="shared" si="8"/>
        <v>1 Toilet</v>
      </c>
      <c r="AM88" s="1" t="str">
        <f t="shared" si="9"/>
        <v>NO</v>
      </c>
      <c r="AN88" s="1" t="str">
        <f>VLOOKUP(J88, 'Regions and Cities'!A:B, 2, FALSE)</f>
        <v>Pohjois-Savo</v>
      </c>
    </row>
    <row r="89" spans="1:40" x14ac:dyDescent="0.3">
      <c r="A89" t="s">
        <v>1136</v>
      </c>
      <c r="B89" t="s">
        <v>1137</v>
      </c>
      <c r="C89" t="s">
        <v>1138</v>
      </c>
      <c r="D89" t="s">
        <v>938</v>
      </c>
      <c r="E89" t="s">
        <v>939</v>
      </c>
      <c r="F89" t="s">
        <v>187</v>
      </c>
      <c r="H89">
        <v>85</v>
      </c>
      <c r="I89" t="s">
        <v>190</v>
      </c>
      <c r="J89" t="s">
        <v>130</v>
      </c>
      <c r="K89" t="s">
        <v>1139</v>
      </c>
      <c r="L89" t="s">
        <v>1140</v>
      </c>
      <c r="M89" t="s">
        <v>37</v>
      </c>
      <c r="N89" t="s">
        <v>1141</v>
      </c>
      <c r="O89" t="s">
        <v>1142</v>
      </c>
      <c r="R89" t="s">
        <v>37</v>
      </c>
      <c r="S89" t="s">
        <v>37</v>
      </c>
      <c r="T89">
        <v>62.831560000000003</v>
      </c>
      <c r="U89" t="s">
        <v>1143</v>
      </c>
      <c r="V89" t="s">
        <v>1144</v>
      </c>
      <c r="W89">
        <v>27.62961</v>
      </c>
      <c r="X89">
        <v>269000</v>
      </c>
      <c r="Y89" t="s">
        <v>1145</v>
      </c>
      <c r="AA89" t="s">
        <v>63</v>
      </c>
      <c r="AB89" t="s">
        <v>39</v>
      </c>
      <c r="AC89" t="s">
        <v>480</v>
      </c>
      <c r="AD89" t="s">
        <v>75</v>
      </c>
      <c r="AE89" t="s">
        <v>1146</v>
      </c>
      <c r="AF89" t="s">
        <v>1147</v>
      </c>
      <c r="AG89" t="s">
        <v>1148</v>
      </c>
      <c r="AH89">
        <v>100</v>
      </c>
      <c r="AI89" s="2" t="str">
        <f t="shared" si="5"/>
        <v>Independent</v>
      </c>
      <c r="AJ89" s="2" t="str">
        <f t="shared" si="6"/>
        <v>YES</v>
      </c>
      <c r="AK89" s="1" t="str">
        <f t="shared" si="7"/>
        <v>None</v>
      </c>
      <c r="AL89" s="1" t="str">
        <f t="shared" si="8"/>
        <v>1 Toilet</v>
      </c>
      <c r="AM89" s="1" t="str">
        <f t="shared" si="9"/>
        <v>NO</v>
      </c>
      <c r="AN89" s="1" t="str">
        <f>VLOOKUP(J89, 'Regions and Cities'!A:B, 2, FALSE)</f>
        <v>Pohjois-Savo</v>
      </c>
    </row>
    <row r="90" spans="1:40" x14ac:dyDescent="0.3">
      <c r="A90" t="s">
        <v>4538</v>
      </c>
      <c r="B90" t="s">
        <v>4539</v>
      </c>
      <c r="C90" t="s">
        <v>4540</v>
      </c>
      <c r="D90" t="s">
        <v>178</v>
      </c>
      <c r="E90" t="s">
        <v>179</v>
      </c>
      <c r="F90" t="s">
        <v>180</v>
      </c>
      <c r="H90">
        <v>60.5</v>
      </c>
      <c r="I90" t="s">
        <v>1310</v>
      </c>
      <c r="J90" t="s">
        <v>73</v>
      </c>
      <c r="K90" t="s">
        <v>4541</v>
      </c>
      <c r="L90" t="s">
        <v>4542</v>
      </c>
      <c r="M90" t="s">
        <v>37</v>
      </c>
      <c r="N90" t="s">
        <v>4543</v>
      </c>
      <c r="O90" t="s">
        <v>4544</v>
      </c>
      <c r="R90" t="s">
        <v>111</v>
      </c>
      <c r="S90" t="s">
        <v>37</v>
      </c>
      <c r="T90">
        <v>62.247399999999999</v>
      </c>
      <c r="U90" t="s">
        <v>4545</v>
      </c>
      <c r="V90" t="s">
        <v>4546</v>
      </c>
      <c r="W90">
        <v>25.7636</v>
      </c>
      <c r="X90">
        <v>40253</v>
      </c>
      <c r="Y90" t="s">
        <v>4547</v>
      </c>
      <c r="AA90" t="s">
        <v>38</v>
      </c>
      <c r="AB90" t="s">
        <v>39</v>
      </c>
      <c r="AC90" t="s">
        <v>4548</v>
      </c>
      <c r="AD90" t="s">
        <v>46</v>
      </c>
      <c r="AE90" t="s">
        <v>4549</v>
      </c>
      <c r="AF90" t="s">
        <v>4550</v>
      </c>
      <c r="AG90" t="s">
        <v>4551</v>
      </c>
      <c r="AH90"/>
      <c r="AI90" s="2" t="str">
        <f t="shared" si="5"/>
        <v>Open</v>
      </c>
      <c r="AJ90" s="2" t="str">
        <f t="shared" si="6"/>
        <v>NO</v>
      </c>
      <c r="AK90" s="1" t="str">
        <f t="shared" si="7"/>
        <v>None</v>
      </c>
      <c r="AL90" s="1" t="str">
        <f t="shared" si="8"/>
        <v>1 Toilet</v>
      </c>
      <c r="AM90" s="1" t="str">
        <f t="shared" si="9"/>
        <v>NO</v>
      </c>
      <c r="AN90" s="1" t="str">
        <f>VLOOKUP(J90, 'Regions and Cities'!A:B, 2, FALSE)</f>
        <v>Keski-Suomi</v>
      </c>
    </row>
    <row r="91" spans="1:40" x14ac:dyDescent="0.3">
      <c r="A91" t="s">
        <v>9005</v>
      </c>
      <c r="B91" t="s">
        <v>9006</v>
      </c>
      <c r="C91" t="s">
        <v>9007</v>
      </c>
      <c r="D91" t="s">
        <v>8570</v>
      </c>
      <c r="E91" t="s">
        <v>8571</v>
      </c>
      <c r="F91" t="s">
        <v>8572</v>
      </c>
      <c r="H91">
        <v>50.5</v>
      </c>
      <c r="I91" t="s">
        <v>66</v>
      </c>
      <c r="J91" t="s">
        <v>126</v>
      </c>
      <c r="K91" t="s">
        <v>9008</v>
      </c>
      <c r="L91" t="s">
        <v>9009</v>
      </c>
      <c r="M91" t="s">
        <v>37</v>
      </c>
      <c r="N91" t="s">
        <v>9010</v>
      </c>
      <c r="O91" t="s">
        <v>9011</v>
      </c>
      <c r="R91" t="s">
        <v>37</v>
      </c>
      <c r="S91" t="s">
        <v>37</v>
      </c>
      <c r="T91">
        <v>60.232210000000002</v>
      </c>
      <c r="U91" t="s">
        <v>9012</v>
      </c>
      <c r="V91" t="s">
        <v>9013</v>
      </c>
      <c r="W91">
        <v>24.754104000000002</v>
      </c>
      <c r="X91">
        <v>169000</v>
      </c>
      <c r="Y91" t="s">
        <v>1088</v>
      </c>
      <c r="AA91" t="s">
        <v>38</v>
      </c>
      <c r="AB91" t="s">
        <v>39</v>
      </c>
      <c r="AC91" t="s">
        <v>6510</v>
      </c>
      <c r="AD91" t="s">
        <v>40</v>
      </c>
      <c r="AE91" t="s">
        <v>9014</v>
      </c>
      <c r="AF91" t="s">
        <v>9015</v>
      </c>
      <c r="AG91" t="s">
        <v>9016</v>
      </c>
      <c r="AH91"/>
      <c r="AI91" s="2" t="str">
        <f t="shared" si="5"/>
        <v>Independent</v>
      </c>
      <c r="AJ91" s="2" t="str">
        <f t="shared" si="6"/>
        <v>YES</v>
      </c>
      <c r="AK91" s="1" t="str">
        <f t="shared" si="7"/>
        <v>Glazed Balcony</v>
      </c>
      <c r="AL91" s="1" t="str">
        <f t="shared" si="8"/>
        <v>1 Toilet</v>
      </c>
      <c r="AM91" s="1" t="str">
        <f t="shared" si="9"/>
        <v>NO</v>
      </c>
      <c r="AN91" s="1" t="str">
        <f>VLOOKUP(J91, 'Regions and Cities'!A:B, 2, FALSE)</f>
        <v>Uusimaa</v>
      </c>
    </row>
    <row r="92" spans="1:40" x14ac:dyDescent="0.3">
      <c r="A92" t="s">
        <v>5835</v>
      </c>
      <c r="B92" t="s">
        <v>5836</v>
      </c>
      <c r="C92" t="s">
        <v>5837</v>
      </c>
      <c r="D92" t="s">
        <v>5612</v>
      </c>
      <c r="E92" t="s">
        <v>5613</v>
      </c>
      <c r="F92" t="s">
        <v>5614</v>
      </c>
      <c r="H92">
        <v>130.5</v>
      </c>
      <c r="I92" t="s">
        <v>227</v>
      </c>
      <c r="J92" t="s">
        <v>265</v>
      </c>
      <c r="K92" t="s">
        <v>5838</v>
      </c>
      <c r="L92" t="s">
        <v>5839</v>
      </c>
      <c r="M92" t="s">
        <v>37</v>
      </c>
      <c r="N92" t="s">
        <v>5840</v>
      </c>
      <c r="O92" t="s">
        <v>5841</v>
      </c>
      <c r="R92" t="s">
        <v>37</v>
      </c>
      <c r="S92" t="s">
        <v>37</v>
      </c>
      <c r="T92">
        <v>64.98021</v>
      </c>
      <c r="U92" t="s">
        <v>5842</v>
      </c>
      <c r="V92" t="s">
        <v>5843</v>
      </c>
      <c r="W92">
        <v>25.273689999999998</v>
      </c>
      <c r="X92">
        <v>172000</v>
      </c>
      <c r="Y92" t="s">
        <v>5844</v>
      </c>
      <c r="AA92" t="s">
        <v>63</v>
      </c>
      <c r="AB92" t="s">
        <v>39</v>
      </c>
      <c r="AC92" t="s">
        <v>5845</v>
      </c>
      <c r="AD92" t="s">
        <v>75</v>
      </c>
      <c r="AE92" t="s">
        <v>5846</v>
      </c>
      <c r="AF92" t="s">
        <v>5847</v>
      </c>
      <c r="AG92" t="s">
        <v>5848</v>
      </c>
      <c r="AH92">
        <v>210.5</v>
      </c>
      <c r="AI92" s="2" t="str">
        <f t="shared" si="5"/>
        <v>Independent</v>
      </c>
      <c r="AJ92" s="2" t="str">
        <f t="shared" si="6"/>
        <v>YES</v>
      </c>
      <c r="AK92" s="1" t="str">
        <f t="shared" si="7"/>
        <v>None</v>
      </c>
      <c r="AL92" s="1" t="str">
        <f t="shared" si="8"/>
        <v>1 Toilet</v>
      </c>
      <c r="AM92" s="1" t="str">
        <f t="shared" si="9"/>
        <v>NO</v>
      </c>
      <c r="AN92" s="1" t="str">
        <f>VLOOKUP(J92, 'Regions and Cities'!A:B, 2, FALSE)</f>
        <v>Pohjois-Pohjanmaa</v>
      </c>
    </row>
    <row r="93" spans="1:40" x14ac:dyDescent="0.3">
      <c r="A93" t="s">
        <v>2013</v>
      </c>
      <c r="B93" t="s">
        <v>2014</v>
      </c>
      <c r="C93" t="s">
        <v>2015</v>
      </c>
      <c r="D93" t="s">
        <v>2016</v>
      </c>
      <c r="E93" t="s">
        <v>2017</v>
      </c>
      <c r="H93">
        <v>195</v>
      </c>
      <c r="J93" t="s">
        <v>158</v>
      </c>
      <c r="K93" t="s">
        <v>2018</v>
      </c>
      <c r="L93" t="s">
        <v>2019</v>
      </c>
      <c r="M93" t="s">
        <v>111</v>
      </c>
      <c r="N93" t="s">
        <v>2020</v>
      </c>
      <c r="O93" t="s">
        <v>2021</v>
      </c>
      <c r="R93" t="s">
        <v>37</v>
      </c>
      <c r="S93" t="s">
        <v>37</v>
      </c>
      <c r="T93">
        <v>60.352356</v>
      </c>
      <c r="U93" t="s">
        <v>2022</v>
      </c>
      <c r="V93" t="s">
        <v>2023</v>
      </c>
      <c r="W93">
        <v>23.099969000000002</v>
      </c>
      <c r="X93">
        <v>210000</v>
      </c>
      <c r="Y93" t="s">
        <v>1821</v>
      </c>
      <c r="AA93" t="s">
        <v>63</v>
      </c>
      <c r="AB93" t="s">
        <v>39</v>
      </c>
      <c r="AC93" t="s">
        <v>2024</v>
      </c>
      <c r="AD93" t="s">
        <v>64</v>
      </c>
      <c r="AE93" t="s">
        <v>2025</v>
      </c>
      <c r="AF93" t="s">
        <v>2026</v>
      </c>
      <c r="AG93" t="s">
        <v>2027</v>
      </c>
      <c r="AH93">
        <v>263</v>
      </c>
      <c r="AI93" s="2" t="str">
        <f t="shared" si="5"/>
        <v>Independent</v>
      </c>
      <c r="AJ93" s="2" t="str">
        <f t="shared" si="6"/>
        <v>YES</v>
      </c>
      <c r="AK93" s="1" t="str">
        <f t="shared" si="7"/>
        <v>None</v>
      </c>
      <c r="AL93" s="1" t="str">
        <f t="shared" si="8"/>
        <v>2 Toilets</v>
      </c>
      <c r="AM93" s="1" t="str">
        <f t="shared" si="9"/>
        <v>NO</v>
      </c>
      <c r="AN93" s="1" t="str">
        <f>VLOOKUP(J93, 'Regions and Cities'!A:B, 2, FALSE)</f>
        <v>Varsinais-Suomi</v>
      </c>
    </row>
    <row r="94" spans="1:40" x14ac:dyDescent="0.3">
      <c r="A94" t="s">
        <v>1928</v>
      </c>
      <c r="B94" t="s">
        <v>1929</v>
      </c>
      <c r="C94" t="s">
        <v>1930</v>
      </c>
      <c r="D94" t="s">
        <v>1931</v>
      </c>
      <c r="E94" t="s">
        <v>1932</v>
      </c>
      <c r="F94" t="s">
        <v>105</v>
      </c>
      <c r="H94">
        <v>98</v>
      </c>
      <c r="I94" t="s">
        <v>1654</v>
      </c>
      <c r="J94" t="s">
        <v>126</v>
      </c>
      <c r="K94" t="s">
        <v>1933</v>
      </c>
      <c r="L94" t="s">
        <v>1934</v>
      </c>
      <c r="M94" t="s">
        <v>37</v>
      </c>
      <c r="N94" t="s">
        <v>1935</v>
      </c>
      <c r="O94" t="s">
        <v>1936</v>
      </c>
      <c r="R94" t="s">
        <v>37</v>
      </c>
      <c r="S94" t="s">
        <v>37</v>
      </c>
      <c r="T94">
        <v>60.172125000000001</v>
      </c>
      <c r="U94" t="s">
        <v>1937</v>
      </c>
      <c r="V94" t="s">
        <v>1938</v>
      </c>
      <c r="W94">
        <v>24.793330999999998</v>
      </c>
      <c r="X94">
        <v>430000</v>
      </c>
      <c r="Y94" t="s">
        <v>1939</v>
      </c>
      <c r="AA94" t="s">
        <v>38</v>
      </c>
      <c r="AB94" t="s">
        <v>39</v>
      </c>
      <c r="AC94" t="s">
        <v>480</v>
      </c>
      <c r="AD94" t="s">
        <v>55</v>
      </c>
      <c r="AE94" t="s">
        <v>1940</v>
      </c>
      <c r="AF94" t="s">
        <v>1941</v>
      </c>
      <c r="AG94" t="s">
        <v>1942</v>
      </c>
      <c r="AH94">
        <v>98</v>
      </c>
      <c r="AI94" s="2" t="str">
        <f t="shared" si="5"/>
        <v>Independent</v>
      </c>
      <c r="AJ94" s="2" t="str">
        <f t="shared" si="6"/>
        <v>NO</v>
      </c>
      <c r="AK94" s="1" t="str">
        <f t="shared" si="7"/>
        <v>Standard Balcony</v>
      </c>
      <c r="AL94" s="1" t="str">
        <f t="shared" si="8"/>
        <v>1 Toilet</v>
      </c>
      <c r="AM94" s="1" t="str">
        <f t="shared" si="9"/>
        <v>NO</v>
      </c>
      <c r="AN94" s="1" t="str">
        <f>VLOOKUP(J94, 'Regions and Cities'!A:B, 2, FALSE)</f>
        <v>Uusimaa</v>
      </c>
    </row>
    <row r="95" spans="1:40" x14ac:dyDescent="0.3">
      <c r="A95" t="s">
        <v>6095</v>
      </c>
      <c r="B95" t="s">
        <v>6096</v>
      </c>
      <c r="C95" t="s">
        <v>6097</v>
      </c>
      <c r="D95" t="s">
        <v>6098</v>
      </c>
      <c r="E95" t="s">
        <v>6099</v>
      </c>
      <c r="F95" t="s">
        <v>6100</v>
      </c>
      <c r="H95">
        <v>130</v>
      </c>
      <c r="I95" t="s">
        <v>3712</v>
      </c>
      <c r="J95" t="s">
        <v>116</v>
      </c>
      <c r="K95" t="s">
        <v>6101</v>
      </c>
      <c r="L95" t="s">
        <v>6102</v>
      </c>
      <c r="M95" t="s">
        <v>37</v>
      </c>
      <c r="N95" t="s">
        <v>6103</v>
      </c>
      <c r="O95" t="s">
        <v>6104</v>
      </c>
      <c r="R95" t="s">
        <v>37</v>
      </c>
      <c r="S95" t="s">
        <v>37</v>
      </c>
      <c r="T95">
        <v>60.285330000000002</v>
      </c>
      <c r="U95" t="s">
        <v>6105</v>
      </c>
      <c r="V95" t="s">
        <v>6106</v>
      </c>
      <c r="W95">
        <v>24.912984000000002</v>
      </c>
      <c r="X95">
        <v>668000</v>
      </c>
      <c r="Y95" t="s">
        <v>6107</v>
      </c>
      <c r="AA95" t="s">
        <v>63</v>
      </c>
      <c r="AB95" t="s">
        <v>39</v>
      </c>
      <c r="AC95" t="s">
        <v>480</v>
      </c>
      <c r="AD95" t="s">
        <v>55</v>
      </c>
      <c r="AE95" t="s">
        <v>6108</v>
      </c>
      <c r="AF95" t="s">
        <v>6109</v>
      </c>
      <c r="AG95" t="s">
        <v>6110</v>
      </c>
      <c r="AH95">
        <v>140</v>
      </c>
      <c r="AI95" s="2" t="str">
        <f t="shared" si="5"/>
        <v>Independent</v>
      </c>
      <c r="AJ95" s="2" t="str">
        <f t="shared" si="6"/>
        <v>NO</v>
      </c>
      <c r="AK95" s="1" t="str">
        <f t="shared" si="7"/>
        <v>None</v>
      </c>
      <c r="AL95" s="1" t="str">
        <f t="shared" si="8"/>
        <v>1 Toilet</v>
      </c>
      <c r="AM95" s="1" t="str">
        <f t="shared" si="9"/>
        <v>NO</v>
      </c>
      <c r="AN95" s="1" t="str">
        <f>VLOOKUP(J95, 'Regions and Cities'!A:B, 2, FALSE)</f>
        <v>Uusimaa</v>
      </c>
    </row>
    <row r="96" spans="1:40" x14ac:dyDescent="0.3">
      <c r="A96" t="s">
        <v>2103</v>
      </c>
      <c r="B96" t="s">
        <v>2104</v>
      </c>
      <c r="C96" t="s">
        <v>2105</v>
      </c>
      <c r="D96" t="s">
        <v>2106</v>
      </c>
      <c r="E96" t="s">
        <v>2107</v>
      </c>
      <c r="F96" t="s">
        <v>79</v>
      </c>
      <c r="H96">
        <v>91</v>
      </c>
      <c r="I96" t="s">
        <v>1522</v>
      </c>
      <c r="J96" t="s">
        <v>376</v>
      </c>
      <c r="K96" t="s">
        <v>131</v>
      </c>
      <c r="L96" t="s">
        <v>2108</v>
      </c>
      <c r="M96" t="s">
        <v>37</v>
      </c>
      <c r="N96" t="s">
        <v>2109</v>
      </c>
      <c r="O96" t="s">
        <v>2110</v>
      </c>
      <c r="R96" t="s">
        <v>37</v>
      </c>
      <c r="S96" t="s">
        <v>37</v>
      </c>
      <c r="T96">
        <v>61.256801000000003</v>
      </c>
      <c r="U96" t="s">
        <v>2111</v>
      </c>
      <c r="V96" t="s">
        <v>2112</v>
      </c>
      <c r="W96">
        <v>22.336983</v>
      </c>
      <c r="X96">
        <v>25000</v>
      </c>
      <c r="Y96" t="s">
        <v>2113</v>
      </c>
      <c r="AA96" t="s">
        <v>38</v>
      </c>
      <c r="AB96" t="s">
        <v>39</v>
      </c>
      <c r="AC96" t="s">
        <v>480</v>
      </c>
      <c r="AD96" t="s">
        <v>75</v>
      </c>
      <c r="AE96" t="s">
        <v>2114</v>
      </c>
      <c r="AF96" t="s">
        <v>2115</v>
      </c>
      <c r="AG96" t="s">
        <v>2116</v>
      </c>
      <c r="AH96">
        <v>91</v>
      </c>
      <c r="AI96" s="2" t="str">
        <f t="shared" si="5"/>
        <v>Independent</v>
      </c>
      <c r="AJ96" s="2" t="str">
        <f t="shared" si="6"/>
        <v>NO</v>
      </c>
      <c r="AK96" s="1" t="str">
        <f t="shared" si="7"/>
        <v>None</v>
      </c>
      <c r="AL96" s="1" t="str">
        <f t="shared" si="8"/>
        <v>1 Toilet</v>
      </c>
      <c r="AM96" s="1" t="str">
        <f t="shared" si="9"/>
        <v>NO</v>
      </c>
      <c r="AN96" s="1" t="str">
        <f>VLOOKUP(J96, 'Regions and Cities'!A:B, 2, FALSE)</f>
        <v>Satakunta</v>
      </c>
    </row>
    <row r="97" spans="1:40" x14ac:dyDescent="0.3">
      <c r="A97" t="s">
        <v>793</v>
      </c>
      <c r="B97" t="s">
        <v>794</v>
      </c>
      <c r="C97" t="s">
        <v>795</v>
      </c>
      <c r="D97" t="s">
        <v>796</v>
      </c>
      <c r="E97" t="s">
        <v>797</v>
      </c>
      <c r="F97" t="s">
        <v>50</v>
      </c>
      <c r="G97" t="s">
        <v>798</v>
      </c>
      <c r="H97">
        <v>59</v>
      </c>
      <c r="I97" t="s">
        <v>490</v>
      </c>
      <c r="J97" t="s">
        <v>348</v>
      </c>
      <c r="K97" t="s">
        <v>799</v>
      </c>
      <c r="L97" t="s">
        <v>800</v>
      </c>
      <c r="M97" t="s">
        <v>111</v>
      </c>
      <c r="N97" t="s">
        <v>801</v>
      </c>
      <c r="O97" t="s">
        <v>802</v>
      </c>
      <c r="P97" t="s">
        <v>803</v>
      </c>
      <c r="Q97" t="s">
        <v>804</v>
      </c>
      <c r="R97" t="s">
        <v>37</v>
      </c>
      <c r="S97" t="s">
        <v>37</v>
      </c>
      <c r="T97">
        <v>61.423070000000003</v>
      </c>
      <c r="U97" t="s">
        <v>805</v>
      </c>
      <c r="V97" t="s">
        <v>806</v>
      </c>
      <c r="W97">
        <v>23.740269999999999</v>
      </c>
      <c r="X97">
        <v>78000</v>
      </c>
      <c r="Y97" t="s">
        <v>807</v>
      </c>
      <c r="AA97" t="s">
        <v>808</v>
      </c>
      <c r="AB97" t="s">
        <v>39</v>
      </c>
      <c r="AC97" t="s">
        <v>480</v>
      </c>
      <c r="AD97" t="s">
        <v>40</v>
      </c>
      <c r="AE97" t="s">
        <v>809</v>
      </c>
      <c r="AF97" t="s">
        <v>810</v>
      </c>
      <c r="AG97" t="s">
        <v>811</v>
      </c>
      <c r="AH97">
        <v>59</v>
      </c>
      <c r="AI97" s="2" t="str">
        <f t="shared" si="5"/>
        <v>Independent</v>
      </c>
      <c r="AJ97" s="2" t="str">
        <f t="shared" si="6"/>
        <v>YES</v>
      </c>
      <c r="AK97" s="1" t="str">
        <f t="shared" si="7"/>
        <v>Glazed Balcony</v>
      </c>
      <c r="AL97" s="1" t="str">
        <f t="shared" si="8"/>
        <v>1 Toilet</v>
      </c>
      <c r="AM97" s="1" t="str">
        <f t="shared" si="9"/>
        <v>YES</v>
      </c>
      <c r="AN97" s="1" t="str">
        <f>VLOOKUP(J97, 'Regions and Cities'!A:B, 2, FALSE)</f>
        <v>Pirkanmaa</v>
      </c>
    </row>
    <row r="98" spans="1:40" x14ac:dyDescent="0.3">
      <c r="A98" t="s">
        <v>8681</v>
      </c>
      <c r="B98" t="s">
        <v>8682</v>
      </c>
      <c r="C98" t="s">
        <v>8683</v>
      </c>
      <c r="D98" t="s">
        <v>5250</v>
      </c>
      <c r="E98" t="s">
        <v>5251</v>
      </c>
      <c r="F98" t="s">
        <v>187</v>
      </c>
      <c r="H98">
        <v>30</v>
      </c>
      <c r="I98" t="s">
        <v>224</v>
      </c>
      <c r="J98" t="s">
        <v>137</v>
      </c>
      <c r="K98" t="s">
        <v>8684</v>
      </c>
      <c r="L98" t="s">
        <v>8685</v>
      </c>
      <c r="M98" t="s">
        <v>37</v>
      </c>
      <c r="N98" t="s">
        <v>8686</v>
      </c>
      <c r="O98" t="s">
        <v>8687</v>
      </c>
      <c r="R98" t="s">
        <v>37</v>
      </c>
      <c r="S98" t="s">
        <v>37</v>
      </c>
      <c r="T98">
        <v>60.157620000000001</v>
      </c>
      <c r="U98" t="s">
        <v>8688</v>
      </c>
      <c r="V98" t="s">
        <v>8689</v>
      </c>
      <c r="W98">
        <v>24.858930000000001</v>
      </c>
      <c r="X98">
        <v>219000</v>
      </c>
      <c r="Y98" t="s">
        <v>115</v>
      </c>
      <c r="AA98" t="s">
        <v>808</v>
      </c>
      <c r="AB98" t="s">
        <v>39</v>
      </c>
      <c r="AC98" t="s">
        <v>6510</v>
      </c>
      <c r="AD98" t="s">
        <v>202</v>
      </c>
      <c r="AE98" t="s">
        <v>311</v>
      </c>
      <c r="AF98" t="s">
        <v>8690</v>
      </c>
      <c r="AG98" t="s">
        <v>8691</v>
      </c>
      <c r="AH98">
        <v>30</v>
      </c>
      <c r="AI98" s="2" t="str">
        <f t="shared" si="5"/>
        <v>Independent</v>
      </c>
      <c r="AJ98" s="2" t="str">
        <f t="shared" si="6"/>
        <v>NO</v>
      </c>
      <c r="AK98" s="1" t="str">
        <f t="shared" si="7"/>
        <v>None</v>
      </c>
      <c r="AL98" s="1" t="str">
        <f t="shared" si="8"/>
        <v>1 Toilet</v>
      </c>
      <c r="AM98" s="1" t="str">
        <f t="shared" si="9"/>
        <v>NO</v>
      </c>
      <c r="AN98" s="1" t="str">
        <f>VLOOKUP(J98, 'Regions and Cities'!A:B, 2, FALSE)</f>
        <v>Uusimaa</v>
      </c>
    </row>
    <row r="99" spans="1:40" x14ac:dyDescent="0.3">
      <c r="A99" t="s">
        <v>5507</v>
      </c>
      <c r="B99" t="s">
        <v>5508</v>
      </c>
      <c r="C99" t="s">
        <v>5509</v>
      </c>
      <c r="D99" t="s">
        <v>5510</v>
      </c>
      <c r="E99" t="s">
        <v>5511</v>
      </c>
      <c r="F99" t="s">
        <v>1797</v>
      </c>
      <c r="G99" t="s">
        <v>5512</v>
      </c>
      <c r="H99">
        <v>71</v>
      </c>
      <c r="I99" t="s">
        <v>2091</v>
      </c>
      <c r="J99" t="s">
        <v>139</v>
      </c>
      <c r="K99" t="s">
        <v>5513</v>
      </c>
      <c r="L99" t="s">
        <v>5514</v>
      </c>
      <c r="M99" t="s">
        <v>37</v>
      </c>
      <c r="N99" t="s">
        <v>5515</v>
      </c>
      <c r="O99" t="s">
        <v>5516</v>
      </c>
      <c r="P99" t="s">
        <v>5517</v>
      </c>
      <c r="R99" t="s">
        <v>37</v>
      </c>
      <c r="S99" t="s">
        <v>37</v>
      </c>
      <c r="T99">
        <v>61.526916999999997</v>
      </c>
      <c r="U99" t="s">
        <v>5518</v>
      </c>
      <c r="V99" t="s">
        <v>5519</v>
      </c>
      <c r="W99">
        <v>23.705791000000001</v>
      </c>
      <c r="X99">
        <v>339000</v>
      </c>
      <c r="Y99" t="s">
        <v>1228</v>
      </c>
      <c r="AA99" t="s">
        <v>808</v>
      </c>
      <c r="AB99" t="s">
        <v>39</v>
      </c>
      <c r="AC99" t="s">
        <v>257</v>
      </c>
      <c r="AD99" t="s">
        <v>46</v>
      </c>
      <c r="AE99" t="s">
        <v>5520</v>
      </c>
      <c r="AF99" t="s">
        <v>5521</v>
      </c>
      <c r="AG99" t="s">
        <v>5522</v>
      </c>
      <c r="AH99">
        <v>71</v>
      </c>
      <c r="AI99" s="2" t="str">
        <f t="shared" si="5"/>
        <v>Independent</v>
      </c>
      <c r="AJ99" s="2" t="str">
        <f t="shared" si="6"/>
        <v>NO</v>
      </c>
      <c r="AK99" s="1" t="str">
        <f t="shared" si="7"/>
        <v>None</v>
      </c>
      <c r="AL99" s="1" t="str">
        <f t="shared" si="8"/>
        <v>1 Toilet</v>
      </c>
      <c r="AM99" s="1" t="str">
        <f t="shared" si="9"/>
        <v>NO</v>
      </c>
      <c r="AN99" s="1" t="str">
        <f>VLOOKUP(J99, 'Regions and Cities'!A:B, 2, FALSE)</f>
        <v>Pirkanmaa</v>
      </c>
    </row>
    <row r="100" spans="1:40" x14ac:dyDescent="0.3">
      <c r="A100" t="s">
        <v>1532</v>
      </c>
      <c r="B100" t="s">
        <v>1533</v>
      </c>
      <c r="C100" t="s">
        <v>1534</v>
      </c>
      <c r="D100" t="s">
        <v>1535</v>
      </c>
      <c r="E100" t="s">
        <v>1536</v>
      </c>
      <c r="F100" t="s">
        <v>1493</v>
      </c>
      <c r="H100">
        <v>75</v>
      </c>
      <c r="I100" t="s">
        <v>247</v>
      </c>
      <c r="J100" t="s">
        <v>365</v>
      </c>
      <c r="K100" t="s">
        <v>131</v>
      </c>
      <c r="L100" t="s">
        <v>1537</v>
      </c>
      <c r="M100" t="s">
        <v>37</v>
      </c>
      <c r="N100" t="s">
        <v>1538</v>
      </c>
      <c r="O100" t="s">
        <v>1539</v>
      </c>
      <c r="R100" t="s">
        <v>37</v>
      </c>
      <c r="S100" t="s">
        <v>37</v>
      </c>
      <c r="T100">
        <v>64.912927999999994</v>
      </c>
      <c r="U100" t="s">
        <v>1540</v>
      </c>
      <c r="V100" t="s">
        <v>1541</v>
      </c>
      <c r="W100">
        <v>25.503484</v>
      </c>
      <c r="X100">
        <v>136000</v>
      </c>
      <c r="Y100" t="s">
        <v>1542</v>
      </c>
      <c r="AA100" t="s">
        <v>38</v>
      </c>
      <c r="AB100" t="s">
        <v>39</v>
      </c>
      <c r="AC100" t="s">
        <v>480</v>
      </c>
      <c r="AD100" t="s">
        <v>46</v>
      </c>
      <c r="AE100" t="s">
        <v>1543</v>
      </c>
      <c r="AF100" t="s">
        <v>1544</v>
      </c>
      <c r="AG100" t="s">
        <v>1545</v>
      </c>
      <c r="AH100">
        <v>75</v>
      </c>
      <c r="AI100" s="2" t="str">
        <f t="shared" si="5"/>
        <v>Independent</v>
      </c>
      <c r="AJ100" s="2" t="str">
        <f t="shared" si="6"/>
        <v>NO</v>
      </c>
      <c r="AK100" s="1" t="str">
        <f t="shared" si="7"/>
        <v>None</v>
      </c>
      <c r="AL100" s="1" t="str">
        <f t="shared" si="8"/>
        <v>1 Toilet</v>
      </c>
      <c r="AM100" s="1" t="str">
        <f t="shared" si="9"/>
        <v>NO</v>
      </c>
      <c r="AN100" s="1" t="str">
        <f>VLOOKUP(J100, 'Regions and Cities'!A:B, 2, FALSE)</f>
        <v>Pohjois-Pohjanmaa</v>
      </c>
    </row>
    <row r="101" spans="1:40" x14ac:dyDescent="0.3">
      <c r="A101" t="s">
        <v>3724</v>
      </c>
      <c r="B101" t="s">
        <v>3725</v>
      </c>
      <c r="C101" t="s">
        <v>3726</v>
      </c>
      <c r="D101" t="s">
        <v>3727</v>
      </c>
      <c r="E101" t="s">
        <v>3728</v>
      </c>
      <c r="F101" t="s">
        <v>3729</v>
      </c>
      <c r="H101">
        <v>110</v>
      </c>
      <c r="I101" t="s">
        <v>252</v>
      </c>
      <c r="J101" t="s">
        <v>392</v>
      </c>
      <c r="K101" t="s">
        <v>3730</v>
      </c>
      <c r="L101" t="s">
        <v>3731</v>
      </c>
      <c r="M101" t="s">
        <v>37</v>
      </c>
      <c r="N101" t="s">
        <v>3732</v>
      </c>
      <c r="O101" t="s">
        <v>3733</v>
      </c>
      <c r="R101" t="s">
        <v>37</v>
      </c>
      <c r="S101" t="s">
        <v>37</v>
      </c>
      <c r="T101">
        <v>63.074066000000002</v>
      </c>
      <c r="U101" t="s">
        <v>3734</v>
      </c>
      <c r="V101" t="s">
        <v>3735</v>
      </c>
      <c r="W101">
        <v>21.658009</v>
      </c>
      <c r="X101">
        <v>105000</v>
      </c>
      <c r="Y101" t="s">
        <v>1678</v>
      </c>
      <c r="AA101" t="s">
        <v>38</v>
      </c>
      <c r="AB101" t="s">
        <v>39</v>
      </c>
      <c r="AC101" t="s">
        <v>480</v>
      </c>
      <c r="AD101" t="s">
        <v>55</v>
      </c>
      <c r="AE101" t="s">
        <v>3736</v>
      </c>
      <c r="AF101" t="s">
        <v>3737</v>
      </c>
      <c r="AG101" t="s">
        <v>3738</v>
      </c>
      <c r="AH101">
        <v>110</v>
      </c>
      <c r="AI101" s="2" t="str">
        <f t="shared" si="5"/>
        <v>Independent</v>
      </c>
      <c r="AJ101" s="2" t="str">
        <f t="shared" si="6"/>
        <v>NO</v>
      </c>
      <c r="AK101" s="1" t="str">
        <f t="shared" si="7"/>
        <v>None</v>
      </c>
      <c r="AL101" s="1" t="str">
        <f t="shared" si="8"/>
        <v>1 Toilet</v>
      </c>
      <c r="AM101" s="1" t="str">
        <f t="shared" si="9"/>
        <v>NO</v>
      </c>
      <c r="AN101" s="1" t="str">
        <f>VLOOKUP(J101, 'Regions and Cities'!A:B, 2, FALSE)</f>
        <v>Pohjanmaa</v>
      </c>
    </row>
    <row r="102" spans="1:40" x14ac:dyDescent="0.3">
      <c r="A102" t="s">
        <v>1792</v>
      </c>
      <c r="B102" t="s">
        <v>1793</v>
      </c>
      <c r="C102" t="s">
        <v>1794</v>
      </c>
      <c r="D102" t="s">
        <v>1795</v>
      </c>
      <c r="E102" t="s">
        <v>1796</v>
      </c>
      <c r="F102" t="s">
        <v>1797</v>
      </c>
      <c r="G102" t="s">
        <v>1798</v>
      </c>
      <c r="H102">
        <v>97</v>
      </c>
      <c r="I102" t="s">
        <v>188</v>
      </c>
      <c r="J102" t="s">
        <v>139</v>
      </c>
      <c r="K102" t="s">
        <v>131</v>
      </c>
      <c r="L102" t="s">
        <v>1799</v>
      </c>
      <c r="M102" t="s">
        <v>37</v>
      </c>
      <c r="N102" t="s">
        <v>1800</v>
      </c>
      <c r="O102" t="s">
        <v>1801</v>
      </c>
      <c r="P102" t="s">
        <v>1802</v>
      </c>
      <c r="R102" t="s">
        <v>37</v>
      </c>
      <c r="S102" t="s">
        <v>37</v>
      </c>
      <c r="T102">
        <v>61.498170999999999</v>
      </c>
      <c r="U102" t="s">
        <v>1803</v>
      </c>
      <c r="V102" t="s">
        <v>1804</v>
      </c>
      <c r="W102">
        <v>23.752531999999999</v>
      </c>
      <c r="X102">
        <v>318000</v>
      </c>
      <c r="Y102" t="s">
        <v>1805</v>
      </c>
      <c r="AA102" t="s">
        <v>38</v>
      </c>
      <c r="AB102" t="s">
        <v>39</v>
      </c>
      <c r="AC102" t="s">
        <v>480</v>
      </c>
      <c r="AD102" t="s">
        <v>46</v>
      </c>
      <c r="AE102" t="s">
        <v>1806</v>
      </c>
      <c r="AF102" t="s">
        <v>1807</v>
      </c>
      <c r="AG102" t="s">
        <v>1808</v>
      </c>
      <c r="AH102">
        <v>97</v>
      </c>
      <c r="AI102" s="2" t="str">
        <f t="shared" si="5"/>
        <v>Independent</v>
      </c>
      <c r="AJ102" s="2" t="str">
        <f t="shared" si="6"/>
        <v>YES</v>
      </c>
      <c r="AK102" s="1" t="str">
        <f t="shared" si="7"/>
        <v>Standard Balcony</v>
      </c>
      <c r="AL102" s="1" t="str">
        <f t="shared" si="8"/>
        <v>1 Toilet</v>
      </c>
      <c r="AM102" s="1" t="str">
        <f t="shared" si="9"/>
        <v>NO</v>
      </c>
      <c r="AN102" s="1" t="str">
        <f>VLOOKUP(J102, 'Regions and Cities'!A:B, 2, FALSE)</f>
        <v>Pirkanmaa</v>
      </c>
    </row>
    <row r="103" spans="1:40" x14ac:dyDescent="0.3">
      <c r="A103" t="s">
        <v>8219</v>
      </c>
      <c r="B103" t="s">
        <v>8220</v>
      </c>
      <c r="C103" t="s">
        <v>8221</v>
      </c>
      <c r="D103" t="s">
        <v>8222</v>
      </c>
      <c r="E103" t="s">
        <v>8223</v>
      </c>
      <c r="F103" t="s">
        <v>105</v>
      </c>
      <c r="H103">
        <v>58</v>
      </c>
      <c r="I103" t="s">
        <v>8224</v>
      </c>
      <c r="J103" t="s">
        <v>137</v>
      </c>
      <c r="K103" t="s">
        <v>8225</v>
      </c>
      <c r="L103" t="s">
        <v>8226</v>
      </c>
      <c r="M103" t="s">
        <v>37</v>
      </c>
      <c r="N103" t="s">
        <v>8227</v>
      </c>
      <c r="O103" t="s">
        <v>8228</v>
      </c>
      <c r="R103" t="s">
        <v>37</v>
      </c>
      <c r="S103" t="s">
        <v>37</v>
      </c>
      <c r="T103">
        <v>60.215673000000002</v>
      </c>
      <c r="U103" t="s">
        <v>8229</v>
      </c>
      <c r="V103" t="s">
        <v>8230</v>
      </c>
      <c r="W103">
        <v>24.980208999999999</v>
      </c>
      <c r="X103">
        <v>498000</v>
      </c>
      <c r="Y103" t="s">
        <v>462</v>
      </c>
      <c r="AA103" t="s">
        <v>63</v>
      </c>
      <c r="AB103" t="s">
        <v>39</v>
      </c>
      <c r="AC103" t="s">
        <v>6510</v>
      </c>
      <c r="AD103" t="s">
        <v>40</v>
      </c>
      <c r="AE103" t="s">
        <v>8231</v>
      </c>
      <c r="AF103" t="s">
        <v>8232</v>
      </c>
      <c r="AG103" t="s">
        <v>8233</v>
      </c>
      <c r="AH103">
        <v>84</v>
      </c>
      <c r="AI103" s="2" t="str">
        <f t="shared" si="5"/>
        <v>Kitchenette</v>
      </c>
      <c r="AJ103" s="2" t="str">
        <f t="shared" si="6"/>
        <v>NO</v>
      </c>
      <c r="AK103" s="1" t="str">
        <f t="shared" si="7"/>
        <v>Terrace</v>
      </c>
      <c r="AL103" s="1" t="str">
        <f t="shared" si="8"/>
        <v>1 Toilet</v>
      </c>
      <c r="AM103" s="1" t="str">
        <f t="shared" si="9"/>
        <v>NO</v>
      </c>
      <c r="AN103" s="1" t="str">
        <f>VLOOKUP(J103, 'Regions and Cities'!A:B, 2, FALSE)</f>
        <v>Uusimaa</v>
      </c>
    </row>
    <row r="104" spans="1:40" x14ac:dyDescent="0.3">
      <c r="A104" t="s">
        <v>8207</v>
      </c>
      <c r="B104" t="s">
        <v>8208</v>
      </c>
      <c r="C104" t="s">
        <v>5069</v>
      </c>
      <c r="D104" t="s">
        <v>5363</v>
      </c>
      <c r="E104" t="s">
        <v>5364</v>
      </c>
      <c r="F104" t="s">
        <v>5365</v>
      </c>
      <c r="G104" t="s">
        <v>5366</v>
      </c>
      <c r="H104">
        <v>120</v>
      </c>
      <c r="I104" t="s">
        <v>925</v>
      </c>
      <c r="J104" t="s">
        <v>409</v>
      </c>
      <c r="K104" t="s">
        <v>5072</v>
      </c>
      <c r="L104" t="s">
        <v>8209</v>
      </c>
      <c r="M104" t="s">
        <v>37</v>
      </c>
      <c r="N104" t="s">
        <v>8210</v>
      </c>
      <c r="O104" t="s">
        <v>8211</v>
      </c>
      <c r="P104" t="s">
        <v>8212</v>
      </c>
      <c r="Q104" t="s">
        <v>8213</v>
      </c>
      <c r="R104" t="s">
        <v>37</v>
      </c>
      <c r="S104" t="s">
        <v>37</v>
      </c>
      <c r="T104">
        <v>59.973469999999999</v>
      </c>
      <c r="U104" t="s">
        <v>8214</v>
      </c>
      <c r="V104" t="s">
        <v>8215</v>
      </c>
      <c r="W104">
        <v>23.393750000000001</v>
      </c>
      <c r="X104">
        <v>179000</v>
      </c>
      <c r="Y104" t="s">
        <v>117</v>
      </c>
      <c r="AA104" t="s">
        <v>63</v>
      </c>
      <c r="AB104" t="s">
        <v>39</v>
      </c>
      <c r="AC104" t="s">
        <v>6510</v>
      </c>
      <c r="AD104">
        <v>4</v>
      </c>
      <c r="AE104" t="s">
        <v>8216</v>
      </c>
      <c r="AF104" t="s">
        <v>8217</v>
      </c>
      <c r="AG104" t="s">
        <v>8218</v>
      </c>
      <c r="AH104">
        <v>180</v>
      </c>
      <c r="AI104" s="2" t="str">
        <f t="shared" si="5"/>
        <v>Independent</v>
      </c>
      <c r="AJ104" s="2" t="str">
        <f t="shared" si="6"/>
        <v>NO</v>
      </c>
      <c r="AK104" s="1" t="str">
        <f t="shared" si="7"/>
        <v>Terrace</v>
      </c>
      <c r="AL104" s="1" t="str">
        <f t="shared" si="8"/>
        <v>1 Toilet</v>
      </c>
      <c r="AM104" s="1" t="str">
        <f t="shared" si="9"/>
        <v>NO</v>
      </c>
      <c r="AN104" s="1" t="str">
        <f>VLOOKUP(J104, 'Regions and Cities'!A:B, 2, FALSE)</f>
        <v>Uusimaa</v>
      </c>
    </row>
    <row r="105" spans="1:40" x14ac:dyDescent="0.3">
      <c r="A105" t="s">
        <v>7300</v>
      </c>
      <c r="B105" t="s">
        <v>7301</v>
      </c>
      <c r="C105" t="s">
        <v>5321</v>
      </c>
      <c r="D105" t="s">
        <v>7302</v>
      </c>
      <c r="E105" t="s">
        <v>7303</v>
      </c>
      <c r="F105" t="s">
        <v>5324</v>
      </c>
      <c r="H105">
        <v>100</v>
      </c>
      <c r="I105" t="s">
        <v>1582</v>
      </c>
      <c r="J105" t="s">
        <v>158</v>
      </c>
      <c r="K105" t="s">
        <v>5326</v>
      </c>
      <c r="L105" t="s">
        <v>7304</v>
      </c>
      <c r="M105" t="s">
        <v>37</v>
      </c>
      <c r="N105" t="s">
        <v>7305</v>
      </c>
      <c r="O105" t="s">
        <v>7306</v>
      </c>
      <c r="R105" t="s">
        <v>37</v>
      </c>
      <c r="S105" t="s">
        <v>37</v>
      </c>
      <c r="T105">
        <v>60.379429999999999</v>
      </c>
      <c r="U105" t="s">
        <v>7307</v>
      </c>
      <c r="V105" t="s">
        <v>7308</v>
      </c>
      <c r="W105">
        <v>23.125219999999999</v>
      </c>
      <c r="X105">
        <v>109000</v>
      </c>
      <c r="Y105" t="s">
        <v>976</v>
      </c>
      <c r="AA105" t="s">
        <v>63</v>
      </c>
      <c r="AB105" t="s">
        <v>39</v>
      </c>
      <c r="AC105" t="s">
        <v>6396</v>
      </c>
      <c r="AD105" t="s">
        <v>55</v>
      </c>
      <c r="AE105" t="s">
        <v>7309</v>
      </c>
      <c r="AF105" t="s">
        <v>7310</v>
      </c>
      <c r="AG105" t="s">
        <v>7311</v>
      </c>
      <c r="AH105">
        <v>189</v>
      </c>
      <c r="AI105" s="2" t="str">
        <f t="shared" si="5"/>
        <v>Independent</v>
      </c>
      <c r="AJ105" s="2" t="str">
        <f t="shared" si="6"/>
        <v>YES</v>
      </c>
      <c r="AK105" s="1" t="str">
        <f t="shared" si="7"/>
        <v>None</v>
      </c>
      <c r="AL105" s="1" t="str">
        <f t="shared" si="8"/>
        <v>1 Toilet</v>
      </c>
      <c r="AM105" s="1" t="str">
        <f t="shared" si="9"/>
        <v>YES</v>
      </c>
      <c r="AN105" s="1" t="str">
        <f>VLOOKUP(J105, 'Regions and Cities'!A:B, 2, FALSE)</f>
        <v>Varsinais-Suomi</v>
      </c>
    </row>
    <row r="106" spans="1:40" x14ac:dyDescent="0.3">
      <c r="A106" t="s">
        <v>4182</v>
      </c>
      <c r="B106" t="s">
        <v>4183</v>
      </c>
      <c r="C106" t="s">
        <v>4184</v>
      </c>
      <c r="D106" t="s">
        <v>4185</v>
      </c>
      <c r="E106" t="s">
        <v>4186</v>
      </c>
      <c r="F106" t="s">
        <v>4187</v>
      </c>
      <c r="H106">
        <v>75</v>
      </c>
      <c r="I106" t="s">
        <v>556</v>
      </c>
      <c r="J106" t="s">
        <v>375</v>
      </c>
      <c r="K106" t="s">
        <v>4188</v>
      </c>
      <c r="L106" t="s">
        <v>4189</v>
      </c>
      <c r="M106" t="s">
        <v>37</v>
      </c>
      <c r="N106" t="s">
        <v>4190</v>
      </c>
      <c r="O106" t="s">
        <v>4191</v>
      </c>
      <c r="R106" t="s">
        <v>37</v>
      </c>
      <c r="S106" t="s">
        <v>37</v>
      </c>
      <c r="T106">
        <v>61.452060000000003</v>
      </c>
      <c r="U106" t="s">
        <v>4192</v>
      </c>
      <c r="V106" t="s">
        <v>4193</v>
      </c>
      <c r="W106">
        <v>21.892910000000001</v>
      </c>
      <c r="X106">
        <v>81000</v>
      </c>
      <c r="Y106" t="s">
        <v>2407</v>
      </c>
      <c r="AA106" t="s">
        <v>45</v>
      </c>
      <c r="AB106" t="s">
        <v>39</v>
      </c>
      <c r="AC106" t="s">
        <v>480</v>
      </c>
      <c r="AD106" t="s">
        <v>46</v>
      </c>
      <c r="AE106" t="s">
        <v>4194</v>
      </c>
      <c r="AF106" t="s">
        <v>4195</v>
      </c>
      <c r="AG106" t="s">
        <v>4196</v>
      </c>
      <c r="AH106">
        <v>75</v>
      </c>
      <c r="AI106" s="2" t="str">
        <f t="shared" si="5"/>
        <v>Kitchenette</v>
      </c>
      <c r="AJ106" s="2" t="str">
        <f t="shared" si="6"/>
        <v>YES</v>
      </c>
      <c r="AK106" s="1" t="str">
        <f t="shared" si="7"/>
        <v>None</v>
      </c>
      <c r="AL106" s="1" t="str">
        <f t="shared" si="8"/>
        <v>1 Toilet</v>
      </c>
      <c r="AM106" s="1" t="str">
        <f t="shared" si="9"/>
        <v>YES</v>
      </c>
      <c r="AN106" s="1" t="str">
        <f>VLOOKUP(J106, 'Regions and Cities'!A:B, 2, FALSE)</f>
        <v>Satakunta</v>
      </c>
    </row>
    <row r="107" spans="1:40" x14ac:dyDescent="0.3">
      <c r="A107" t="s">
        <v>1837</v>
      </c>
      <c r="B107" t="s">
        <v>1838</v>
      </c>
      <c r="C107" t="s">
        <v>1839</v>
      </c>
      <c r="D107" t="s">
        <v>1840</v>
      </c>
      <c r="E107" t="s">
        <v>1841</v>
      </c>
      <c r="F107" t="s">
        <v>70</v>
      </c>
      <c r="G107" t="s">
        <v>1842</v>
      </c>
      <c r="H107">
        <v>257</v>
      </c>
      <c r="I107" t="s">
        <v>252</v>
      </c>
      <c r="J107" t="s">
        <v>126</v>
      </c>
      <c r="K107" t="s">
        <v>1843</v>
      </c>
      <c r="L107" t="s">
        <v>1844</v>
      </c>
      <c r="M107" t="s">
        <v>37</v>
      </c>
      <c r="N107" t="s">
        <v>1845</v>
      </c>
      <c r="O107" t="s">
        <v>1846</v>
      </c>
      <c r="P107" t="s">
        <v>1847</v>
      </c>
      <c r="R107" t="s">
        <v>37</v>
      </c>
      <c r="S107" t="s">
        <v>37</v>
      </c>
      <c r="T107">
        <v>60.132075</v>
      </c>
      <c r="U107" t="s">
        <v>1848</v>
      </c>
      <c r="V107" t="s">
        <v>1849</v>
      </c>
      <c r="W107">
        <v>24.682535999999999</v>
      </c>
      <c r="X107">
        <v>695000</v>
      </c>
      <c r="Y107" t="s">
        <v>1850</v>
      </c>
      <c r="AA107" t="s">
        <v>54</v>
      </c>
      <c r="AB107" t="s">
        <v>39</v>
      </c>
      <c r="AC107" t="s">
        <v>1851</v>
      </c>
      <c r="AD107" t="s">
        <v>55</v>
      </c>
      <c r="AE107" t="s">
        <v>1852</v>
      </c>
      <c r="AF107" t="s">
        <v>1853</v>
      </c>
      <c r="AG107" t="s">
        <v>1854</v>
      </c>
      <c r="AH107">
        <v>257</v>
      </c>
      <c r="AI107" s="2" t="str">
        <f t="shared" si="5"/>
        <v>Kitchenette</v>
      </c>
      <c r="AJ107" s="2" t="str">
        <f t="shared" si="6"/>
        <v>NO</v>
      </c>
      <c r="AK107" s="1" t="str">
        <f t="shared" si="7"/>
        <v>Standard Balcony</v>
      </c>
      <c r="AL107" s="1" t="str">
        <f t="shared" si="8"/>
        <v>1 Toilet</v>
      </c>
      <c r="AM107" s="1" t="str">
        <f t="shared" si="9"/>
        <v>YES</v>
      </c>
      <c r="AN107" s="1" t="str">
        <f>VLOOKUP(J107, 'Regions and Cities'!A:B, 2, FALSE)</f>
        <v>Uusimaa</v>
      </c>
    </row>
    <row r="108" spans="1:40" x14ac:dyDescent="0.3">
      <c r="A108" t="s">
        <v>3862</v>
      </c>
      <c r="B108" t="s">
        <v>3863</v>
      </c>
      <c r="C108" t="s">
        <v>3864</v>
      </c>
      <c r="D108" t="s">
        <v>3865</v>
      </c>
      <c r="E108" t="s">
        <v>3866</v>
      </c>
      <c r="H108">
        <v>119</v>
      </c>
      <c r="I108" t="s">
        <v>556</v>
      </c>
      <c r="J108" t="s">
        <v>360</v>
      </c>
      <c r="K108" t="s">
        <v>3867</v>
      </c>
      <c r="L108" t="s">
        <v>3868</v>
      </c>
      <c r="M108" t="s">
        <v>37</v>
      </c>
      <c r="N108" t="s">
        <v>3869</v>
      </c>
      <c r="O108" t="s">
        <v>3870</v>
      </c>
      <c r="R108" t="s">
        <v>37</v>
      </c>
      <c r="S108" t="s">
        <v>37</v>
      </c>
      <c r="T108">
        <v>66.715591000000003</v>
      </c>
      <c r="U108" t="s">
        <v>3871</v>
      </c>
      <c r="V108" t="s">
        <v>3872</v>
      </c>
      <c r="W108">
        <v>27.488886999999998</v>
      </c>
      <c r="X108">
        <v>29000</v>
      </c>
      <c r="Y108" t="s">
        <v>3873</v>
      </c>
      <c r="AA108" t="s">
        <v>54</v>
      </c>
      <c r="AB108" t="s">
        <v>39</v>
      </c>
      <c r="AC108" t="s">
        <v>480</v>
      </c>
      <c r="AD108">
        <v>5</v>
      </c>
      <c r="AE108" t="s">
        <v>3874</v>
      </c>
      <c r="AF108" t="s">
        <v>3875</v>
      </c>
      <c r="AG108" t="s">
        <v>3876</v>
      </c>
      <c r="AH108">
        <v>142.5</v>
      </c>
      <c r="AI108" s="2" t="str">
        <f t="shared" si="5"/>
        <v>Independent</v>
      </c>
      <c r="AJ108" s="2" t="str">
        <f t="shared" si="6"/>
        <v>NO</v>
      </c>
      <c r="AK108" s="1" t="str">
        <f t="shared" si="7"/>
        <v>None</v>
      </c>
      <c r="AL108" s="1" t="str">
        <f t="shared" si="8"/>
        <v>1 Toilet</v>
      </c>
      <c r="AM108" s="1" t="str">
        <f t="shared" si="9"/>
        <v>NO</v>
      </c>
      <c r="AN108" s="1" t="str">
        <f>VLOOKUP(J108, 'Regions and Cities'!A:B, 2, FALSE)</f>
        <v>Lappi</v>
      </c>
    </row>
    <row r="109" spans="1:40" x14ac:dyDescent="0.3">
      <c r="A109" t="s">
        <v>5933</v>
      </c>
      <c r="B109" t="s">
        <v>5934</v>
      </c>
      <c r="C109" t="s">
        <v>5935</v>
      </c>
      <c r="D109" t="s">
        <v>1962</v>
      </c>
      <c r="E109" t="s">
        <v>1963</v>
      </c>
      <c r="F109" t="s">
        <v>1964</v>
      </c>
      <c r="H109">
        <v>56.5</v>
      </c>
      <c r="I109" t="s">
        <v>51</v>
      </c>
      <c r="J109" t="s">
        <v>139</v>
      </c>
      <c r="K109" t="s">
        <v>5936</v>
      </c>
      <c r="L109" t="s">
        <v>5937</v>
      </c>
      <c r="M109" t="s">
        <v>37</v>
      </c>
      <c r="N109" t="s">
        <v>5938</v>
      </c>
      <c r="O109" t="s">
        <v>5939</v>
      </c>
      <c r="R109" t="s">
        <v>37</v>
      </c>
      <c r="S109" t="s">
        <v>37</v>
      </c>
      <c r="T109">
        <v>61.492559999999997</v>
      </c>
      <c r="U109" t="s">
        <v>5940</v>
      </c>
      <c r="V109" t="s">
        <v>5941</v>
      </c>
      <c r="W109">
        <v>23.839790000000001</v>
      </c>
      <c r="X109">
        <v>179900</v>
      </c>
      <c r="Y109" t="s">
        <v>5942</v>
      </c>
      <c r="AA109" t="s">
        <v>38</v>
      </c>
      <c r="AB109" t="s">
        <v>39</v>
      </c>
      <c r="AC109" t="s">
        <v>480</v>
      </c>
      <c r="AD109" t="s">
        <v>40</v>
      </c>
      <c r="AE109" t="s">
        <v>5943</v>
      </c>
      <c r="AF109" t="s">
        <v>5944</v>
      </c>
      <c r="AG109" t="s">
        <v>5945</v>
      </c>
      <c r="AH109">
        <v>56.5</v>
      </c>
      <c r="AI109" s="2" t="str">
        <f t="shared" si="5"/>
        <v>Independent</v>
      </c>
      <c r="AJ109" s="2" t="str">
        <f t="shared" si="6"/>
        <v>YES</v>
      </c>
      <c r="AK109" s="1" t="str">
        <f t="shared" si="7"/>
        <v>Glazed Balcony</v>
      </c>
      <c r="AL109" s="1" t="str">
        <f t="shared" si="8"/>
        <v>1 Toilet</v>
      </c>
      <c r="AM109" s="1" t="str">
        <f t="shared" si="9"/>
        <v>YES</v>
      </c>
      <c r="AN109" s="1" t="str">
        <f>VLOOKUP(J109, 'Regions and Cities'!A:B, 2, FALSE)</f>
        <v>Pirkanmaa</v>
      </c>
    </row>
    <row r="110" spans="1:40" x14ac:dyDescent="0.3">
      <c r="A110" t="s">
        <v>3485</v>
      </c>
      <c r="B110" t="s">
        <v>3486</v>
      </c>
      <c r="C110" t="s">
        <v>3487</v>
      </c>
      <c r="D110" t="s">
        <v>142</v>
      </c>
      <c r="E110" t="s">
        <v>143</v>
      </c>
      <c r="F110" t="s">
        <v>144</v>
      </c>
      <c r="G110" t="s">
        <v>3488</v>
      </c>
      <c r="H110">
        <v>98.5</v>
      </c>
      <c r="I110" t="s">
        <v>247</v>
      </c>
      <c r="J110" t="s">
        <v>394</v>
      </c>
      <c r="K110" t="s">
        <v>3489</v>
      </c>
      <c r="L110" t="s">
        <v>3490</v>
      </c>
      <c r="M110" t="s">
        <v>37</v>
      </c>
      <c r="N110" t="s">
        <v>3491</v>
      </c>
      <c r="O110" t="s">
        <v>3492</v>
      </c>
      <c r="P110" t="s">
        <v>3493</v>
      </c>
      <c r="Q110" t="s">
        <v>3494</v>
      </c>
      <c r="R110" t="s">
        <v>37</v>
      </c>
      <c r="S110" t="s">
        <v>37</v>
      </c>
      <c r="T110">
        <v>61.327309999999997</v>
      </c>
      <c r="U110" t="s">
        <v>3495</v>
      </c>
      <c r="V110" t="s">
        <v>3496</v>
      </c>
      <c r="W110">
        <v>22.927910000000001</v>
      </c>
      <c r="X110">
        <v>134000</v>
      </c>
      <c r="Y110" t="s">
        <v>3497</v>
      </c>
      <c r="AA110" t="s">
        <v>45</v>
      </c>
      <c r="AB110" t="s">
        <v>39</v>
      </c>
      <c r="AC110" t="s">
        <v>480</v>
      </c>
      <c r="AD110" t="s">
        <v>75</v>
      </c>
      <c r="AE110" t="s">
        <v>3498</v>
      </c>
      <c r="AF110" t="s">
        <v>3499</v>
      </c>
      <c r="AG110" t="s">
        <v>3500</v>
      </c>
      <c r="AH110">
        <v>98.5</v>
      </c>
      <c r="AI110" s="2" t="str">
        <f t="shared" si="5"/>
        <v>Independent</v>
      </c>
      <c r="AJ110" s="2" t="str">
        <f t="shared" si="6"/>
        <v>NO</v>
      </c>
      <c r="AK110" s="1" t="str">
        <f t="shared" si="7"/>
        <v>None</v>
      </c>
      <c r="AL110" s="1" t="str">
        <f t="shared" si="8"/>
        <v>1 Toilet</v>
      </c>
      <c r="AM110" s="1" t="str">
        <f t="shared" si="9"/>
        <v>NO</v>
      </c>
      <c r="AN110" s="1" t="str">
        <f>VLOOKUP(J110, 'Regions and Cities'!A:B, 2, FALSE)</f>
        <v>Pirkanmaa</v>
      </c>
    </row>
    <row r="111" spans="1:40" x14ac:dyDescent="0.3">
      <c r="A111" t="s">
        <v>8430</v>
      </c>
      <c r="B111" t="s">
        <v>8431</v>
      </c>
      <c r="C111" t="s">
        <v>87</v>
      </c>
      <c r="D111" t="s">
        <v>88</v>
      </c>
      <c r="E111" t="s">
        <v>89</v>
      </c>
      <c r="F111" t="s">
        <v>79</v>
      </c>
      <c r="H111">
        <v>81</v>
      </c>
      <c r="I111" t="s">
        <v>2622</v>
      </c>
      <c r="J111" t="s">
        <v>90</v>
      </c>
      <c r="K111" t="s">
        <v>91</v>
      </c>
      <c r="L111" t="s">
        <v>8432</v>
      </c>
      <c r="M111" t="s">
        <v>37</v>
      </c>
      <c r="N111" t="s">
        <v>8433</v>
      </c>
      <c r="O111" t="s">
        <v>8434</v>
      </c>
      <c r="P111" t="s">
        <v>8435</v>
      </c>
      <c r="R111" t="s">
        <v>37</v>
      </c>
      <c r="S111" t="s">
        <v>37</v>
      </c>
      <c r="T111">
        <v>63.578634999999998</v>
      </c>
      <c r="U111" t="s">
        <v>8436</v>
      </c>
      <c r="V111" t="s">
        <v>8437</v>
      </c>
      <c r="W111">
        <v>27.209904999999999</v>
      </c>
      <c r="X111">
        <v>115000</v>
      </c>
      <c r="Y111" t="s">
        <v>4787</v>
      </c>
      <c r="AA111" t="s">
        <v>45</v>
      </c>
      <c r="AB111" t="s">
        <v>39</v>
      </c>
      <c r="AC111" t="s">
        <v>6510</v>
      </c>
      <c r="AD111" t="s">
        <v>46</v>
      </c>
      <c r="AE111" t="s">
        <v>47</v>
      </c>
      <c r="AF111" t="s">
        <v>8438</v>
      </c>
      <c r="AG111" t="s">
        <v>8439</v>
      </c>
      <c r="AH111">
        <v>81</v>
      </c>
      <c r="AI111" s="2" t="str">
        <f t="shared" si="5"/>
        <v>Independent</v>
      </c>
      <c r="AJ111" s="2" t="str">
        <f t="shared" si="6"/>
        <v>NO</v>
      </c>
      <c r="AK111" s="1" t="str">
        <f t="shared" si="7"/>
        <v>None</v>
      </c>
      <c r="AL111" s="1" t="str">
        <f t="shared" si="8"/>
        <v>1 Toilet</v>
      </c>
      <c r="AM111" s="1" t="str">
        <f t="shared" si="9"/>
        <v>NO</v>
      </c>
      <c r="AN111" s="1" t="str">
        <f>VLOOKUP(J111, 'Regions and Cities'!A:B, 2, FALSE)</f>
        <v>Pohjois-Savo</v>
      </c>
    </row>
    <row r="112" spans="1:40" x14ac:dyDescent="0.3">
      <c r="A112" t="s">
        <v>6399</v>
      </c>
      <c r="B112" t="s">
        <v>6400</v>
      </c>
      <c r="C112" t="s">
        <v>6401</v>
      </c>
      <c r="D112" t="s">
        <v>142</v>
      </c>
      <c r="E112" t="s">
        <v>143</v>
      </c>
      <c r="F112" t="s">
        <v>144</v>
      </c>
      <c r="G112" t="s">
        <v>967</v>
      </c>
      <c r="H112">
        <v>75</v>
      </c>
      <c r="I112" t="s">
        <v>589</v>
      </c>
      <c r="J112" t="s">
        <v>352</v>
      </c>
      <c r="K112" t="s">
        <v>6402</v>
      </c>
      <c r="L112" t="s">
        <v>6403</v>
      </c>
      <c r="M112" t="s">
        <v>37</v>
      </c>
      <c r="N112" t="s">
        <v>6404</v>
      </c>
      <c r="O112" t="s">
        <v>6405</v>
      </c>
      <c r="P112" t="s">
        <v>6406</v>
      </c>
      <c r="Q112" t="s">
        <v>6407</v>
      </c>
      <c r="R112" t="s">
        <v>37</v>
      </c>
      <c r="S112" t="s">
        <v>37</v>
      </c>
      <c r="T112">
        <v>61.53772</v>
      </c>
      <c r="U112" t="s">
        <v>6408</v>
      </c>
      <c r="V112" t="s">
        <v>6409</v>
      </c>
      <c r="W112">
        <v>23.598980000000001</v>
      </c>
      <c r="X112">
        <v>129000</v>
      </c>
      <c r="Y112" t="s">
        <v>177</v>
      </c>
      <c r="AA112" t="s">
        <v>45</v>
      </c>
      <c r="AB112" t="s">
        <v>39</v>
      </c>
      <c r="AC112" t="s">
        <v>6410</v>
      </c>
      <c r="AD112" t="s">
        <v>46</v>
      </c>
      <c r="AE112" t="s">
        <v>6411</v>
      </c>
      <c r="AF112" t="s">
        <v>6412</v>
      </c>
      <c r="AG112" t="s">
        <v>6413</v>
      </c>
      <c r="AH112">
        <v>75</v>
      </c>
      <c r="AI112" s="2" t="str">
        <f t="shared" si="5"/>
        <v>Independent</v>
      </c>
      <c r="AJ112" s="2" t="str">
        <f t="shared" si="6"/>
        <v>NO</v>
      </c>
      <c r="AK112" s="1" t="str">
        <f t="shared" si="7"/>
        <v>None</v>
      </c>
      <c r="AL112" s="1" t="str">
        <f t="shared" si="8"/>
        <v>1 Toilet</v>
      </c>
      <c r="AM112" s="1" t="str">
        <f t="shared" si="9"/>
        <v>YES</v>
      </c>
      <c r="AN112" s="1" t="str">
        <f>VLOOKUP(J112, 'Regions and Cities'!A:B, 2, FALSE)</f>
        <v>Pirkanmaa</v>
      </c>
    </row>
    <row r="113" spans="1:40" x14ac:dyDescent="0.3">
      <c r="A113" t="s">
        <v>3501</v>
      </c>
      <c r="B113" t="s">
        <v>3502</v>
      </c>
      <c r="C113" t="s">
        <v>3503</v>
      </c>
      <c r="D113" t="s">
        <v>3053</v>
      </c>
      <c r="E113" t="s">
        <v>3504</v>
      </c>
      <c r="H113">
        <v>198</v>
      </c>
      <c r="I113" t="s">
        <v>188</v>
      </c>
      <c r="J113" t="s">
        <v>395</v>
      </c>
      <c r="K113" t="s">
        <v>3505</v>
      </c>
      <c r="L113" t="s">
        <v>3506</v>
      </c>
      <c r="M113" t="s">
        <v>37</v>
      </c>
      <c r="N113" t="s">
        <v>3507</v>
      </c>
      <c r="O113" t="s">
        <v>3508</v>
      </c>
      <c r="R113" t="s">
        <v>37</v>
      </c>
      <c r="S113" t="s">
        <v>37</v>
      </c>
      <c r="T113">
        <v>62.713884999999998</v>
      </c>
      <c r="U113" t="s">
        <v>3509</v>
      </c>
      <c r="V113" s="4" t="s">
        <v>3510</v>
      </c>
      <c r="W113">
        <v>28.853117000000001</v>
      </c>
      <c r="X113">
        <v>30000</v>
      </c>
      <c r="Y113" t="s">
        <v>3511</v>
      </c>
      <c r="AA113" t="s">
        <v>63</v>
      </c>
      <c r="AB113" t="s">
        <v>39</v>
      </c>
      <c r="AC113" t="s">
        <v>480</v>
      </c>
      <c r="AD113">
        <v>2</v>
      </c>
      <c r="AE113" t="s">
        <v>3512</v>
      </c>
      <c r="AF113" t="s">
        <v>3513</v>
      </c>
      <c r="AG113" t="s">
        <v>3514</v>
      </c>
      <c r="AH113">
        <v>278</v>
      </c>
      <c r="AI113" s="2" t="str">
        <f t="shared" si="5"/>
        <v>Independent</v>
      </c>
      <c r="AJ113" s="2" t="str">
        <f t="shared" si="6"/>
        <v>YES</v>
      </c>
      <c r="AK113" s="1" t="str">
        <f t="shared" si="7"/>
        <v>None</v>
      </c>
      <c r="AL113" s="1" t="str">
        <f t="shared" si="8"/>
        <v>1 Toilet</v>
      </c>
      <c r="AM113" s="1" t="str">
        <f t="shared" si="9"/>
        <v>NO</v>
      </c>
      <c r="AN113" s="1" t="str">
        <f>VLOOKUP(J113, 'Regions and Cities'!A:B, 2, FALSE)</f>
        <v>Pohjois-Karjala</v>
      </c>
    </row>
    <row r="114" spans="1:40" x14ac:dyDescent="0.3">
      <c r="A114" t="s">
        <v>6697</v>
      </c>
      <c r="B114" t="s">
        <v>6698</v>
      </c>
      <c r="C114" t="s">
        <v>6699</v>
      </c>
      <c r="D114" t="s">
        <v>2353</v>
      </c>
      <c r="E114" t="s">
        <v>2354</v>
      </c>
      <c r="F114" t="s">
        <v>2355</v>
      </c>
      <c r="G114" t="s">
        <v>6700</v>
      </c>
      <c r="H114">
        <v>197</v>
      </c>
      <c r="I114" t="s">
        <v>136</v>
      </c>
      <c r="J114" t="s">
        <v>73</v>
      </c>
      <c r="K114" t="s">
        <v>6701</v>
      </c>
      <c r="L114" t="s">
        <v>6702</v>
      </c>
      <c r="M114" t="s">
        <v>37</v>
      </c>
      <c r="N114" t="s">
        <v>6703</v>
      </c>
      <c r="O114" t="s">
        <v>6704</v>
      </c>
      <c r="P114" t="s">
        <v>6705</v>
      </c>
      <c r="Q114" t="s">
        <v>6706</v>
      </c>
      <c r="R114" t="s">
        <v>37</v>
      </c>
      <c r="S114" t="s">
        <v>37</v>
      </c>
      <c r="T114">
        <v>62.270650000000003</v>
      </c>
      <c r="U114" t="s">
        <v>6707</v>
      </c>
      <c r="V114" t="s">
        <v>6708</v>
      </c>
      <c r="W114">
        <v>25.70149</v>
      </c>
      <c r="X114">
        <v>549000</v>
      </c>
      <c r="Y114" t="s">
        <v>6709</v>
      </c>
      <c r="AA114" t="s">
        <v>63</v>
      </c>
      <c r="AB114" t="s">
        <v>39</v>
      </c>
      <c r="AC114" t="s">
        <v>6510</v>
      </c>
      <c r="AD114" t="s">
        <v>64</v>
      </c>
      <c r="AE114" t="s">
        <v>6710</v>
      </c>
      <c r="AF114" t="s">
        <v>6711</v>
      </c>
      <c r="AG114" t="s">
        <v>6712</v>
      </c>
      <c r="AH114">
        <v>335</v>
      </c>
      <c r="AI114" s="2" t="str">
        <f t="shared" si="5"/>
        <v>Independent</v>
      </c>
      <c r="AJ114" s="2" t="str">
        <f t="shared" si="6"/>
        <v>YES</v>
      </c>
      <c r="AK114" s="1" t="str">
        <f t="shared" si="7"/>
        <v>None</v>
      </c>
      <c r="AL114" s="1" t="str">
        <f t="shared" si="8"/>
        <v>1 Toilet</v>
      </c>
      <c r="AM114" s="1" t="str">
        <f t="shared" si="9"/>
        <v>NO</v>
      </c>
      <c r="AN114" s="1" t="str">
        <f>VLOOKUP(J114, 'Regions and Cities'!A:B, 2, FALSE)</f>
        <v>Keski-Suomi</v>
      </c>
    </row>
    <row r="115" spans="1:40" x14ac:dyDescent="0.3">
      <c r="A115" t="s">
        <v>8705</v>
      </c>
      <c r="B115" t="s">
        <v>8706</v>
      </c>
      <c r="C115" t="s">
        <v>8707</v>
      </c>
      <c r="D115" t="s">
        <v>8708</v>
      </c>
      <c r="E115" t="s">
        <v>8709</v>
      </c>
      <c r="H115">
        <v>55</v>
      </c>
      <c r="I115" t="s">
        <v>1221</v>
      </c>
      <c r="J115" t="s">
        <v>427</v>
      </c>
      <c r="K115" t="s">
        <v>8710</v>
      </c>
      <c r="L115" t="s">
        <v>8711</v>
      </c>
      <c r="M115" t="s">
        <v>37</v>
      </c>
      <c r="N115" t="s">
        <v>8712</v>
      </c>
      <c r="O115" t="s">
        <v>8713</v>
      </c>
      <c r="R115" t="s">
        <v>37</v>
      </c>
      <c r="S115" t="s">
        <v>37</v>
      </c>
      <c r="T115">
        <v>64.062650000000005</v>
      </c>
      <c r="U115" t="s">
        <v>8714</v>
      </c>
      <c r="V115" t="s">
        <v>8715</v>
      </c>
      <c r="W115">
        <v>24.524139999999999</v>
      </c>
      <c r="X115">
        <v>64900</v>
      </c>
      <c r="Y115" t="s">
        <v>8716</v>
      </c>
      <c r="AA115" t="s">
        <v>45</v>
      </c>
      <c r="AB115" t="s">
        <v>39</v>
      </c>
      <c r="AC115" t="s">
        <v>268</v>
      </c>
      <c r="AD115" t="s">
        <v>40</v>
      </c>
      <c r="AE115" t="s">
        <v>8717</v>
      </c>
      <c r="AF115" t="s">
        <v>8718</v>
      </c>
      <c r="AG115" t="s">
        <v>8719</v>
      </c>
      <c r="AH115">
        <v>55</v>
      </c>
      <c r="AI115" s="2" t="str">
        <f t="shared" si="5"/>
        <v>Independent</v>
      </c>
      <c r="AJ115" s="2" t="str">
        <f t="shared" si="6"/>
        <v>YES</v>
      </c>
      <c r="AK115" s="1" t="str">
        <f t="shared" si="7"/>
        <v>None</v>
      </c>
      <c r="AL115" s="1" t="str">
        <f t="shared" si="8"/>
        <v>1 Toilet</v>
      </c>
      <c r="AM115" s="1" t="str">
        <f t="shared" si="9"/>
        <v>NO</v>
      </c>
      <c r="AN115" s="1" t="str">
        <f>VLOOKUP(J115, 'Regions and Cities'!A:B, 2, FALSE)</f>
        <v>Pohjois-Pohjanmaa</v>
      </c>
    </row>
    <row r="116" spans="1:40" x14ac:dyDescent="0.3">
      <c r="A116" t="s">
        <v>9470</v>
      </c>
      <c r="B116" t="s">
        <v>9471</v>
      </c>
      <c r="C116" t="s">
        <v>9472</v>
      </c>
      <c r="D116" t="s">
        <v>168</v>
      </c>
      <c r="E116" t="s">
        <v>169</v>
      </c>
      <c r="F116" t="s">
        <v>170</v>
      </c>
      <c r="H116">
        <v>37.5</v>
      </c>
      <c r="I116" t="s">
        <v>138</v>
      </c>
      <c r="J116" t="s">
        <v>397</v>
      </c>
      <c r="K116" t="s">
        <v>9473</v>
      </c>
      <c r="L116" t="s">
        <v>9474</v>
      </c>
      <c r="M116" t="s">
        <v>37</v>
      </c>
      <c r="N116" t="s">
        <v>9475</v>
      </c>
      <c r="O116" t="s">
        <v>9476</v>
      </c>
      <c r="R116" t="s">
        <v>37</v>
      </c>
      <c r="S116" t="s">
        <v>37</v>
      </c>
      <c r="T116">
        <v>60.146928000000003</v>
      </c>
      <c r="U116" t="s">
        <v>9477</v>
      </c>
      <c r="V116" t="s">
        <v>9478</v>
      </c>
      <c r="W116">
        <v>24.581906</v>
      </c>
      <c r="X116">
        <v>178700</v>
      </c>
      <c r="Y116" t="s">
        <v>9479</v>
      </c>
      <c r="AA116" t="s">
        <v>38</v>
      </c>
      <c r="AB116" t="s">
        <v>39</v>
      </c>
      <c r="AC116" t="s">
        <v>285</v>
      </c>
      <c r="AD116" t="s">
        <v>40</v>
      </c>
      <c r="AE116" t="s">
        <v>9480</v>
      </c>
      <c r="AF116" t="s">
        <v>9481</v>
      </c>
      <c r="AG116" t="s">
        <v>9482</v>
      </c>
      <c r="AH116">
        <v>37.5</v>
      </c>
      <c r="AI116" s="2" t="str">
        <f t="shared" si="5"/>
        <v>Open</v>
      </c>
      <c r="AJ116" s="2" t="str">
        <f t="shared" si="6"/>
        <v>NO</v>
      </c>
      <c r="AK116" s="1" t="str">
        <f t="shared" si="7"/>
        <v>Standard Balcony</v>
      </c>
      <c r="AL116" s="1" t="str">
        <f t="shared" si="8"/>
        <v>1 Toilet</v>
      </c>
      <c r="AM116" s="1" t="str">
        <f t="shared" si="9"/>
        <v>NO</v>
      </c>
      <c r="AN116" s="1" t="str">
        <f>VLOOKUP(J116, 'Regions and Cities'!A:B, 2, FALSE)</f>
        <v>Uusimaa</v>
      </c>
    </row>
    <row r="117" spans="1:40" x14ac:dyDescent="0.3">
      <c r="A117" t="s">
        <v>1176</v>
      </c>
      <c r="B117" t="s">
        <v>1177</v>
      </c>
      <c r="C117" t="s">
        <v>1178</v>
      </c>
      <c r="D117" t="s">
        <v>552</v>
      </c>
      <c r="E117" t="s">
        <v>553</v>
      </c>
      <c r="F117" t="s">
        <v>554</v>
      </c>
      <c r="G117" t="s">
        <v>1179</v>
      </c>
      <c r="H117">
        <v>51.5</v>
      </c>
      <c r="I117" t="s">
        <v>1180</v>
      </c>
      <c r="J117" t="s">
        <v>208</v>
      </c>
      <c r="K117" t="s">
        <v>1181</v>
      </c>
      <c r="L117" t="s">
        <v>1182</v>
      </c>
      <c r="M117" t="s">
        <v>37</v>
      </c>
      <c r="N117" t="s">
        <v>1183</v>
      </c>
      <c r="O117" t="s">
        <v>1184</v>
      </c>
      <c r="P117" t="s">
        <v>1185</v>
      </c>
      <c r="R117" t="s">
        <v>37</v>
      </c>
      <c r="S117" t="s">
        <v>37</v>
      </c>
      <c r="T117">
        <v>66.483090000000004</v>
      </c>
      <c r="U117" t="s">
        <v>1186</v>
      </c>
      <c r="V117" t="s">
        <v>1187</v>
      </c>
      <c r="W117">
        <v>25.71217</v>
      </c>
      <c r="X117">
        <v>165000</v>
      </c>
      <c r="Y117" t="s">
        <v>44</v>
      </c>
      <c r="AA117" t="s">
        <v>38</v>
      </c>
      <c r="AB117" t="s">
        <v>39</v>
      </c>
      <c r="AC117" t="s">
        <v>480</v>
      </c>
      <c r="AD117" t="s">
        <v>40</v>
      </c>
      <c r="AE117" t="s">
        <v>1188</v>
      </c>
      <c r="AF117" t="s">
        <v>1189</v>
      </c>
      <c r="AG117" t="s">
        <v>1190</v>
      </c>
      <c r="AH117">
        <v>51.5</v>
      </c>
      <c r="AI117" s="2" t="str">
        <f t="shared" si="5"/>
        <v>Independent</v>
      </c>
      <c r="AJ117" s="2" t="str">
        <f t="shared" si="6"/>
        <v>NO</v>
      </c>
      <c r="AK117" s="1" t="str">
        <f t="shared" si="7"/>
        <v>Standard Balcony</v>
      </c>
      <c r="AL117" s="1" t="str">
        <f t="shared" si="8"/>
        <v>1 Toilet</v>
      </c>
      <c r="AM117" s="1" t="str">
        <f t="shared" si="9"/>
        <v>YES</v>
      </c>
      <c r="AN117" s="1" t="str">
        <f>VLOOKUP(J117, 'Regions and Cities'!A:B, 2, FALSE)</f>
        <v>Lappi</v>
      </c>
    </row>
    <row r="118" spans="1:40" x14ac:dyDescent="0.3">
      <c r="A118" t="s">
        <v>6486</v>
      </c>
      <c r="B118" t="s">
        <v>6487</v>
      </c>
      <c r="C118" t="s">
        <v>1178</v>
      </c>
      <c r="D118" t="s">
        <v>6488</v>
      </c>
      <c r="E118" t="s">
        <v>6489</v>
      </c>
      <c r="F118" t="s">
        <v>6490</v>
      </c>
      <c r="H118">
        <v>66.5</v>
      </c>
      <c r="I118" t="s">
        <v>454</v>
      </c>
      <c r="J118" t="s">
        <v>208</v>
      </c>
      <c r="K118" t="s">
        <v>1181</v>
      </c>
      <c r="L118" t="s">
        <v>6491</v>
      </c>
      <c r="M118" t="s">
        <v>37</v>
      </c>
      <c r="N118" t="s">
        <v>6492</v>
      </c>
      <c r="O118" t="s">
        <v>6493</v>
      </c>
      <c r="R118" t="s">
        <v>37</v>
      </c>
      <c r="S118" t="s">
        <v>37</v>
      </c>
      <c r="T118">
        <v>66.482951999999997</v>
      </c>
      <c r="U118" t="s">
        <v>6494</v>
      </c>
      <c r="V118" t="s">
        <v>6495</v>
      </c>
      <c r="W118">
        <v>25.713498999999999</v>
      </c>
      <c r="X118">
        <v>179000</v>
      </c>
      <c r="Y118" t="s">
        <v>117</v>
      </c>
      <c r="AA118" t="s">
        <v>38</v>
      </c>
      <c r="AB118" t="s">
        <v>39</v>
      </c>
      <c r="AC118" t="s">
        <v>480</v>
      </c>
      <c r="AD118" t="s">
        <v>46</v>
      </c>
      <c r="AE118" t="s">
        <v>47</v>
      </c>
      <c r="AF118" t="s">
        <v>6496</v>
      </c>
      <c r="AG118" t="s">
        <v>6497</v>
      </c>
      <c r="AH118">
        <v>66.5</v>
      </c>
      <c r="AI118" s="2" t="str">
        <f t="shared" si="5"/>
        <v>Independent</v>
      </c>
      <c r="AJ118" s="2" t="str">
        <f t="shared" si="6"/>
        <v>NO</v>
      </c>
      <c r="AK118" s="1" t="str">
        <f t="shared" si="7"/>
        <v>None</v>
      </c>
      <c r="AL118" s="1" t="str">
        <f t="shared" si="8"/>
        <v>1 Toilet</v>
      </c>
      <c r="AM118" s="1" t="str">
        <f t="shared" si="9"/>
        <v>NO</v>
      </c>
      <c r="AN118" s="1" t="str">
        <f>VLOOKUP(J118, 'Regions and Cities'!A:B, 2, FALSE)</f>
        <v>Lappi</v>
      </c>
    </row>
    <row r="119" spans="1:40" x14ac:dyDescent="0.3">
      <c r="A119" t="s">
        <v>7229</v>
      </c>
      <c r="B119" t="s">
        <v>7230</v>
      </c>
      <c r="C119" t="s">
        <v>7231</v>
      </c>
      <c r="D119" t="s">
        <v>142</v>
      </c>
      <c r="E119" t="s">
        <v>143</v>
      </c>
      <c r="F119" t="s">
        <v>144</v>
      </c>
      <c r="G119" t="s">
        <v>4141</v>
      </c>
      <c r="H119">
        <v>67</v>
      </c>
      <c r="I119" t="s">
        <v>237</v>
      </c>
      <c r="J119" t="s">
        <v>352</v>
      </c>
      <c r="K119" t="s">
        <v>7232</v>
      </c>
      <c r="L119" t="s">
        <v>7233</v>
      </c>
      <c r="M119" t="s">
        <v>37</v>
      </c>
      <c r="N119" t="s">
        <v>7234</v>
      </c>
      <c r="O119" t="s">
        <v>7235</v>
      </c>
      <c r="P119" t="s">
        <v>7236</v>
      </c>
      <c r="Q119" t="s">
        <v>7237</v>
      </c>
      <c r="R119" t="s">
        <v>37</v>
      </c>
      <c r="S119" t="s">
        <v>37</v>
      </c>
      <c r="T119">
        <v>61.62885</v>
      </c>
      <c r="U119" t="s">
        <v>7238</v>
      </c>
      <c r="V119" t="s">
        <v>7239</v>
      </c>
      <c r="W119">
        <v>23.612120000000001</v>
      </c>
      <c r="X119">
        <v>119000</v>
      </c>
      <c r="Y119" t="s">
        <v>297</v>
      </c>
      <c r="AA119" t="s">
        <v>45</v>
      </c>
      <c r="AB119" t="s">
        <v>39</v>
      </c>
      <c r="AC119" t="s">
        <v>7240</v>
      </c>
      <c r="AD119" t="s">
        <v>46</v>
      </c>
      <c r="AE119" t="s">
        <v>7241</v>
      </c>
      <c r="AF119" t="s">
        <v>7242</v>
      </c>
      <c r="AG119" t="s">
        <v>7243</v>
      </c>
      <c r="AH119">
        <v>67</v>
      </c>
      <c r="AI119" s="2" t="str">
        <f t="shared" si="5"/>
        <v>Independent</v>
      </c>
      <c r="AJ119" s="2" t="str">
        <f t="shared" si="6"/>
        <v>NO</v>
      </c>
      <c r="AK119" s="1" t="str">
        <f t="shared" si="7"/>
        <v>None</v>
      </c>
      <c r="AL119" s="1" t="str">
        <f t="shared" si="8"/>
        <v>1 Toilet</v>
      </c>
      <c r="AM119" s="1" t="str">
        <f t="shared" si="9"/>
        <v>YES</v>
      </c>
      <c r="AN119" s="1" t="str">
        <f>VLOOKUP(J119, 'Regions and Cities'!A:B, 2, FALSE)</f>
        <v>Pirkanmaa</v>
      </c>
    </row>
    <row r="120" spans="1:40" x14ac:dyDescent="0.3">
      <c r="A120" t="s">
        <v>2548</v>
      </c>
      <c r="B120" t="s">
        <v>2549</v>
      </c>
      <c r="C120" t="s">
        <v>2550</v>
      </c>
      <c r="D120" t="s">
        <v>2551</v>
      </c>
      <c r="E120" t="s">
        <v>2552</v>
      </c>
      <c r="F120" t="s">
        <v>79</v>
      </c>
      <c r="H120">
        <v>68</v>
      </c>
      <c r="I120" t="s">
        <v>100</v>
      </c>
      <c r="J120" t="s">
        <v>382</v>
      </c>
      <c r="K120" t="s">
        <v>2553</v>
      </c>
      <c r="L120" t="s">
        <v>2554</v>
      </c>
      <c r="M120" t="s">
        <v>37</v>
      </c>
      <c r="N120" t="s">
        <v>2555</v>
      </c>
      <c r="O120" t="s">
        <v>2556</v>
      </c>
      <c r="P120" t="s">
        <v>2557</v>
      </c>
      <c r="R120" t="s">
        <v>37</v>
      </c>
      <c r="S120" t="s">
        <v>37</v>
      </c>
      <c r="T120">
        <v>60.628929999999997</v>
      </c>
      <c r="U120" t="s">
        <v>2558</v>
      </c>
      <c r="V120" t="s">
        <v>2559</v>
      </c>
      <c r="W120">
        <v>25.327241999999998</v>
      </c>
      <c r="X120">
        <v>139000</v>
      </c>
      <c r="Y120" t="s">
        <v>74</v>
      </c>
      <c r="AA120" t="s">
        <v>45</v>
      </c>
      <c r="AB120" t="s">
        <v>39</v>
      </c>
      <c r="AC120" t="s">
        <v>2560</v>
      </c>
      <c r="AD120" t="s">
        <v>46</v>
      </c>
      <c r="AE120" t="s">
        <v>2561</v>
      </c>
      <c r="AF120" t="s">
        <v>2562</v>
      </c>
      <c r="AG120" t="s">
        <v>2563</v>
      </c>
      <c r="AH120">
        <v>68</v>
      </c>
      <c r="AI120" s="2" t="str">
        <f t="shared" si="5"/>
        <v>Independent</v>
      </c>
      <c r="AJ120" s="2" t="str">
        <f t="shared" si="6"/>
        <v>YES</v>
      </c>
      <c r="AK120" s="1" t="str">
        <f t="shared" si="7"/>
        <v>None</v>
      </c>
      <c r="AL120" s="1" t="str">
        <f t="shared" si="8"/>
        <v>1 Toilet</v>
      </c>
      <c r="AM120" s="1" t="str">
        <f t="shared" si="9"/>
        <v>NO</v>
      </c>
      <c r="AN120" s="1" t="str">
        <f>VLOOKUP(J120, 'Regions and Cities'!A:B, 2, FALSE)</f>
        <v>Uusimaa</v>
      </c>
    </row>
    <row r="121" spans="1:40" x14ac:dyDescent="0.3">
      <c r="A121" t="s">
        <v>3318</v>
      </c>
      <c r="B121" t="s">
        <v>3319</v>
      </c>
      <c r="C121" t="s">
        <v>3320</v>
      </c>
      <c r="D121" t="s">
        <v>3321</v>
      </c>
      <c r="E121" t="s">
        <v>3322</v>
      </c>
      <c r="H121">
        <v>976</v>
      </c>
      <c r="J121" t="s">
        <v>393</v>
      </c>
      <c r="K121" t="s">
        <v>3323</v>
      </c>
      <c r="L121" t="s">
        <v>3324</v>
      </c>
      <c r="M121" t="s">
        <v>37</v>
      </c>
      <c r="N121" t="s">
        <v>3325</v>
      </c>
      <c r="O121" t="s">
        <v>3326</v>
      </c>
      <c r="R121" t="s">
        <v>37</v>
      </c>
      <c r="S121" t="s">
        <v>37</v>
      </c>
      <c r="T121">
        <v>63.709448999999999</v>
      </c>
      <c r="U121" t="s">
        <v>3327</v>
      </c>
      <c r="V121" t="s">
        <v>3328</v>
      </c>
      <c r="W121">
        <v>23.327683</v>
      </c>
      <c r="X121">
        <v>10000</v>
      </c>
      <c r="Y121" t="s">
        <v>3329</v>
      </c>
      <c r="AA121" t="s">
        <v>45</v>
      </c>
      <c r="AB121" t="s">
        <v>39</v>
      </c>
      <c r="AC121" t="s">
        <v>480</v>
      </c>
      <c r="AD121">
        <v>2</v>
      </c>
      <c r="AE121" t="s">
        <v>3330</v>
      </c>
      <c r="AF121" t="s">
        <v>3331</v>
      </c>
      <c r="AG121" t="s">
        <v>3332</v>
      </c>
      <c r="AH121"/>
      <c r="AI121" s="2" t="str">
        <f t="shared" si="5"/>
        <v>Independent</v>
      </c>
      <c r="AJ121" s="2" t="str">
        <f t="shared" si="6"/>
        <v>NO</v>
      </c>
      <c r="AK121" s="1" t="str">
        <f t="shared" si="7"/>
        <v>None</v>
      </c>
      <c r="AL121" s="1" t="str">
        <f t="shared" si="8"/>
        <v>1 Toilet</v>
      </c>
      <c r="AM121" s="1" t="str">
        <f t="shared" si="9"/>
        <v>NO</v>
      </c>
      <c r="AN121" s="1" t="str">
        <f>VLOOKUP(J121, 'Regions and Cities'!A:B, 2, FALSE)</f>
        <v>Pohjanmaa</v>
      </c>
    </row>
    <row r="122" spans="1:40" x14ac:dyDescent="0.3">
      <c r="A122" t="s">
        <v>1621</v>
      </c>
      <c r="B122" t="s">
        <v>1622</v>
      </c>
      <c r="C122" t="s">
        <v>1623</v>
      </c>
      <c r="D122" t="s">
        <v>1624</v>
      </c>
      <c r="E122" t="s">
        <v>1625</v>
      </c>
      <c r="F122" t="s">
        <v>1626</v>
      </c>
      <c r="H122">
        <v>99</v>
      </c>
      <c r="I122" t="s">
        <v>472</v>
      </c>
      <c r="J122" t="s">
        <v>368</v>
      </c>
      <c r="K122" t="s">
        <v>1627</v>
      </c>
      <c r="L122" t="s">
        <v>1628</v>
      </c>
      <c r="M122" t="s">
        <v>37</v>
      </c>
      <c r="N122" t="s">
        <v>1629</v>
      </c>
      <c r="O122" t="s">
        <v>1630</v>
      </c>
      <c r="R122" t="s">
        <v>37</v>
      </c>
      <c r="S122" t="s">
        <v>37</v>
      </c>
      <c r="T122">
        <v>60.310180000000003</v>
      </c>
      <c r="U122" t="s">
        <v>1631</v>
      </c>
      <c r="V122" t="s">
        <v>1632</v>
      </c>
      <c r="W122">
        <v>22.325569999999999</v>
      </c>
      <c r="X122">
        <v>98000</v>
      </c>
      <c r="Y122" t="s">
        <v>1559</v>
      </c>
      <c r="AA122" t="s">
        <v>63</v>
      </c>
      <c r="AB122" t="s">
        <v>39</v>
      </c>
      <c r="AC122" t="s">
        <v>480</v>
      </c>
      <c r="AD122" t="s">
        <v>75</v>
      </c>
      <c r="AE122" t="s">
        <v>1633</v>
      </c>
      <c r="AF122" t="s">
        <v>1634</v>
      </c>
      <c r="AG122" t="s">
        <v>1635</v>
      </c>
      <c r="AH122">
        <v>147</v>
      </c>
      <c r="AI122" s="2" t="str">
        <f t="shared" si="5"/>
        <v>Independent</v>
      </c>
      <c r="AJ122" s="2" t="str">
        <f t="shared" si="6"/>
        <v>YES</v>
      </c>
      <c r="AK122" s="1" t="str">
        <f t="shared" si="7"/>
        <v>None</v>
      </c>
      <c r="AL122" s="1" t="str">
        <f t="shared" si="8"/>
        <v>1 Toilet</v>
      </c>
      <c r="AM122" s="1" t="str">
        <f t="shared" si="9"/>
        <v>NO</v>
      </c>
      <c r="AN122" s="1" t="str">
        <f>VLOOKUP(J122, 'Regions and Cities'!A:B, 2, FALSE)</f>
        <v>Varsinais-Suomi</v>
      </c>
    </row>
    <row r="123" spans="1:40" x14ac:dyDescent="0.3">
      <c r="A123" t="s">
        <v>2616</v>
      </c>
      <c r="B123" t="s">
        <v>2617</v>
      </c>
      <c r="C123" t="s">
        <v>2618</v>
      </c>
      <c r="D123" t="s">
        <v>2619</v>
      </c>
      <c r="E123" t="s">
        <v>2620</v>
      </c>
      <c r="F123" t="s">
        <v>187</v>
      </c>
      <c r="G123" t="s">
        <v>2621</v>
      </c>
      <c r="H123">
        <v>61.5</v>
      </c>
      <c r="I123" t="s">
        <v>2622</v>
      </c>
      <c r="J123" t="s">
        <v>378</v>
      </c>
      <c r="K123" t="s">
        <v>2623</v>
      </c>
      <c r="L123" t="s">
        <v>2624</v>
      </c>
      <c r="M123" t="s">
        <v>37</v>
      </c>
      <c r="N123" t="s">
        <v>2625</v>
      </c>
      <c r="O123" t="s">
        <v>2626</v>
      </c>
      <c r="P123" t="s">
        <v>2627</v>
      </c>
      <c r="Q123" t="s">
        <v>2628</v>
      </c>
      <c r="R123" t="s">
        <v>37</v>
      </c>
      <c r="S123" t="s">
        <v>37</v>
      </c>
      <c r="T123">
        <v>61.673160000000003</v>
      </c>
      <c r="U123" t="s">
        <v>2629</v>
      </c>
      <c r="V123" t="s">
        <v>2630</v>
      </c>
      <c r="W123">
        <v>27.238769999999999</v>
      </c>
      <c r="X123">
        <v>105000</v>
      </c>
      <c r="Y123" t="s">
        <v>1678</v>
      </c>
      <c r="AA123" t="s">
        <v>45</v>
      </c>
      <c r="AB123" t="s">
        <v>39</v>
      </c>
      <c r="AC123" t="s">
        <v>480</v>
      </c>
      <c r="AD123" t="s">
        <v>40</v>
      </c>
      <c r="AE123" t="s">
        <v>165</v>
      </c>
      <c r="AF123" t="s">
        <v>2631</v>
      </c>
      <c r="AG123" t="s">
        <v>2632</v>
      </c>
      <c r="AH123">
        <v>61.5</v>
      </c>
      <c r="AI123" s="2" t="str">
        <f t="shared" si="5"/>
        <v>Independent</v>
      </c>
      <c r="AJ123" s="2" t="str">
        <f t="shared" si="6"/>
        <v>YES</v>
      </c>
      <c r="AK123" s="1" t="str">
        <f t="shared" si="7"/>
        <v>None</v>
      </c>
      <c r="AL123" s="1" t="str">
        <f t="shared" si="8"/>
        <v>1 Toilet</v>
      </c>
      <c r="AM123" s="1" t="str">
        <f t="shared" si="9"/>
        <v>NO</v>
      </c>
      <c r="AN123" s="1" t="str">
        <f>VLOOKUP(J123, 'Regions and Cities'!A:B, 2, FALSE)</f>
        <v>Etelä-Savo</v>
      </c>
    </row>
    <row r="124" spans="1:40" x14ac:dyDescent="0.3">
      <c r="A124" t="s">
        <v>6033</v>
      </c>
      <c r="B124" t="s">
        <v>6034</v>
      </c>
      <c r="C124" t="s">
        <v>6035</v>
      </c>
      <c r="D124" t="s">
        <v>6036</v>
      </c>
      <c r="E124" t="s">
        <v>6037</v>
      </c>
      <c r="F124" t="s">
        <v>105</v>
      </c>
      <c r="H124">
        <v>40</v>
      </c>
      <c r="I124" t="s">
        <v>6038</v>
      </c>
      <c r="J124" t="s">
        <v>137</v>
      </c>
      <c r="K124" t="s">
        <v>6039</v>
      </c>
      <c r="L124" t="s">
        <v>6040</v>
      </c>
      <c r="M124" t="s">
        <v>37</v>
      </c>
      <c r="N124" t="s">
        <v>6041</v>
      </c>
      <c r="O124" t="s">
        <v>6042</v>
      </c>
      <c r="R124" t="s">
        <v>37</v>
      </c>
      <c r="S124" t="s">
        <v>37</v>
      </c>
      <c r="T124">
        <v>60.169770999999997</v>
      </c>
      <c r="U124" t="s">
        <v>6043</v>
      </c>
      <c r="V124" t="s">
        <v>6044</v>
      </c>
      <c r="W124">
        <v>24.923839999999998</v>
      </c>
      <c r="X124">
        <v>287000</v>
      </c>
      <c r="Y124" t="s">
        <v>6045</v>
      </c>
      <c r="AA124" t="s">
        <v>38</v>
      </c>
      <c r="AB124" t="s">
        <v>39</v>
      </c>
      <c r="AC124" t="s">
        <v>480</v>
      </c>
      <c r="AD124" t="s">
        <v>40</v>
      </c>
      <c r="AE124" t="s">
        <v>6046</v>
      </c>
      <c r="AF124" t="s">
        <v>6047</v>
      </c>
      <c r="AG124" t="s">
        <v>6048</v>
      </c>
      <c r="AH124">
        <v>40</v>
      </c>
      <c r="AI124" s="2" t="str">
        <f t="shared" si="5"/>
        <v>Independent</v>
      </c>
      <c r="AJ124" s="2" t="str">
        <f t="shared" si="6"/>
        <v>NO</v>
      </c>
      <c r="AK124" s="1" t="str">
        <f t="shared" si="7"/>
        <v>None</v>
      </c>
      <c r="AL124" s="1" t="str">
        <f t="shared" si="8"/>
        <v>1 Toilet</v>
      </c>
      <c r="AM124" s="1" t="str">
        <f t="shared" si="9"/>
        <v>NO</v>
      </c>
      <c r="AN124" s="1" t="str">
        <f>VLOOKUP(J124, 'Regions and Cities'!A:B, 2, FALSE)</f>
        <v>Uusimaa</v>
      </c>
    </row>
    <row r="125" spans="1:40" x14ac:dyDescent="0.3">
      <c r="A125" t="s">
        <v>3676</v>
      </c>
      <c r="B125" t="s">
        <v>3677</v>
      </c>
      <c r="C125" t="s">
        <v>3678</v>
      </c>
      <c r="D125" t="s">
        <v>3679</v>
      </c>
      <c r="E125" t="s">
        <v>3680</v>
      </c>
      <c r="F125" t="s">
        <v>187</v>
      </c>
      <c r="G125" t="s">
        <v>3681</v>
      </c>
      <c r="H125">
        <v>157</v>
      </c>
      <c r="I125" t="s">
        <v>72</v>
      </c>
      <c r="J125" t="s">
        <v>396</v>
      </c>
      <c r="K125" t="s">
        <v>3682</v>
      </c>
      <c r="L125" t="s">
        <v>3683</v>
      </c>
      <c r="M125" t="s">
        <v>37</v>
      </c>
      <c r="N125" t="s">
        <v>3684</v>
      </c>
      <c r="O125" t="s">
        <v>3685</v>
      </c>
      <c r="P125" t="s">
        <v>3686</v>
      </c>
      <c r="Q125" t="s">
        <v>3687</v>
      </c>
      <c r="R125" t="s">
        <v>37</v>
      </c>
      <c r="S125" t="s">
        <v>37</v>
      </c>
      <c r="T125">
        <v>62.010869999999997</v>
      </c>
      <c r="U125" t="s">
        <v>3688</v>
      </c>
      <c r="V125" t="s">
        <v>3689</v>
      </c>
      <c r="W125">
        <v>24.483969999999999</v>
      </c>
      <c r="X125">
        <v>129000</v>
      </c>
      <c r="Y125" t="s">
        <v>177</v>
      </c>
      <c r="AA125" t="s">
        <v>63</v>
      </c>
      <c r="AB125" t="s">
        <v>39</v>
      </c>
      <c r="AC125" t="s">
        <v>3690</v>
      </c>
      <c r="AD125" t="s">
        <v>55</v>
      </c>
      <c r="AE125" t="s">
        <v>3691</v>
      </c>
      <c r="AF125" t="s">
        <v>3692</v>
      </c>
      <c r="AG125" t="s">
        <v>3693</v>
      </c>
      <c r="AH125">
        <v>164</v>
      </c>
      <c r="AI125" s="2" t="str">
        <f t="shared" si="5"/>
        <v>Independent</v>
      </c>
      <c r="AJ125" s="2" t="str">
        <f t="shared" si="6"/>
        <v>YES</v>
      </c>
      <c r="AK125" s="1" t="str">
        <f t="shared" si="7"/>
        <v>Standard Balcony</v>
      </c>
      <c r="AL125" s="1" t="str">
        <f t="shared" si="8"/>
        <v>1 Toilet</v>
      </c>
      <c r="AM125" s="1" t="str">
        <f t="shared" si="9"/>
        <v>YES</v>
      </c>
      <c r="AN125" s="1" t="str">
        <f>VLOOKUP(J125, 'Regions and Cities'!A:B, 2, FALSE)</f>
        <v>Pirkanmaa</v>
      </c>
    </row>
    <row r="126" spans="1:40" x14ac:dyDescent="0.3">
      <c r="A126" t="s">
        <v>1665</v>
      </c>
      <c r="B126" t="s">
        <v>1666</v>
      </c>
      <c r="C126" t="s">
        <v>369</v>
      </c>
      <c r="D126" t="s">
        <v>1667</v>
      </c>
      <c r="E126" t="s">
        <v>1668</v>
      </c>
      <c r="F126" t="s">
        <v>105</v>
      </c>
      <c r="G126" t="s">
        <v>1669</v>
      </c>
      <c r="H126">
        <v>121</v>
      </c>
      <c r="I126" t="s">
        <v>1670</v>
      </c>
      <c r="J126" t="s">
        <v>369</v>
      </c>
      <c r="L126" t="s">
        <v>1671</v>
      </c>
      <c r="M126" t="s">
        <v>37</v>
      </c>
      <c r="N126" t="s">
        <v>1672</v>
      </c>
      <c r="O126" t="s">
        <v>1673</v>
      </c>
      <c r="P126" t="s">
        <v>1674</v>
      </c>
      <c r="Q126" t="s">
        <v>1675</v>
      </c>
      <c r="R126" t="s">
        <v>37</v>
      </c>
      <c r="S126" t="s">
        <v>37</v>
      </c>
      <c r="T126">
        <v>61.884214</v>
      </c>
      <c r="U126" t="s">
        <v>1676</v>
      </c>
      <c r="V126" t="s">
        <v>1677</v>
      </c>
      <c r="W126">
        <v>27.886735000000002</v>
      </c>
      <c r="X126">
        <v>105000</v>
      </c>
      <c r="Y126" t="s">
        <v>1678</v>
      </c>
      <c r="AA126" t="s">
        <v>54</v>
      </c>
      <c r="AB126" t="s">
        <v>39</v>
      </c>
      <c r="AC126" t="s">
        <v>480</v>
      </c>
      <c r="AD126" t="s">
        <v>75</v>
      </c>
      <c r="AE126" t="s">
        <v>1679</v>
      </c>
      <c r="AF126" t="s">
        <v>1680</v>
      </c>
      <c r="AG126" t="s">
        <v>1681</v>
      </c>
      <c r="AH126"/>
      <c r="AI126" s="2" t="str">
        <f t="shared" si="5"/>
        <v>Independent</v>
      </c>
      <c r="AJ126" s="2" t="str">
        <f t="shared" si="6"/>
        <v>NO</v>
      </c>
      <c r="AK126" s="1" t="str">
        <f t="shared" si="7"/>
        <v>None</v>
      </c>
      <c r="AL126" s="1" t="str">
        <f t="shared" si="8"/>
        <v>1 Toilet</v>
      </c>
      <c r="AM126" s="1" t="str">
        <f t="shared" si="9"/>
        <v>YES</v>
      </c>
      <c r="AN126" s="1" t="str">
        <f>VLOOKUP(J126, 'Regions and Cities'!A:B, 2, FALSE)</f>
        <v>Etelä-Savo</v>
      </c>
    </row>
    <row r="127" spans="1:40" x14ac:dyDescent="0.3">
      <c r="A127" t="s">
        <v>5389</v>
      </c>
      <c r="B127" t="s">
        <v>5390</v>
      </c>
      <c r="C127" t="s">
        <v>5391</v>
      </c>
      <c r="D127" t="s">
        <v>5392</v>
      </c>
      <c r="E127" t="s">
        <v>5393</v>
      </c>
      <c r="F127" t="s">
        <v>5394</v>
      </c>
      <c r="G127" t="s">
        <v>5395</v>
      </c>
      <c r="H127">
        <v>31.5</v>
      </c>
      <c r="I127" t="s">
        <v>72</v>
      </c>
      <c r="J127" t="s">
        <v>382</v>
      </c>
      <c r="K127" t="s">
        <v>98</v>
      </c>
      <c r="L127" t="s">
        <v>5396</v>
      </c>
      <c r="M127" t="s">
        <v>37</v>
      </c>
      <c r="N127" t="s">
        <v>5397</v>
      </c>
      <c r="O127" t="s">
        <v>5398</v>
      </c>
      <c r="P127" t="s">
        <v>5399</v>
      </c>
      <c r="Q127" t="s">
        <v>5400</v>
      </c>
      <c r="R127" t="s">
        <v>37</v>
      </c>
      <c r="S127" t="s">
        <v>37</v>
      </c>
      <c r="T127">
        <v>60.636479999999999</v>
      </c>
      <c r="U127" t="s">
        <v>5401</v>
      </c>
      <c r="V127" t="s">
        <v>5402</v>
      </c>
      <c r="W127">
        <v>25.307960000000001</v>
      </c>
      <c r="X127">
        <v>74000</v>
      </c>
      <c r="Y127" t="s">
        <v>5403</v>
      </c>
      <c r="AA127" t="s">
        <v>45</v>
      </c>
      <c r="AB127" t="s">
        <v>39</v>
      </c>
      <c r="AC127" t="s">
        <v>480</v>
      </c>
      <c r="AD127" t="s">
        <v>202</v>
      </c>
      <c r="AE127" t="s">
        <v>5404</v>
      </c>
      <c r="AF127" t="s">
        <v>5405</v>
      </c>
      <c r="AG127" t="s">
        <v>5406</v>
      </c>
      <c r="AH127">
        <v>31.5</v>
      </c>
      <c r="AI127" s="2" t="str">
        <f t="shared" si="5"/>
        <v>Kitchenette</v>
      </c>
      <c r="AJ127" s="2" t="str">
        <f t="shared" si="6"/>
        <v>NO</v>
      </c>
      <c r="AK127" s="1" t="str">
        <f t="shared" si="7"/>
        <v>Terrace</v>
      </c>
      <c r="AL127" s="1" t="str">
        <f t="shared" si="8"/>
        <v>1 Toilet</v>
      </c>
      <c r="AM127" s="1" t="str">
        <f t="shared" si="9"/>
        <v>NO</v>
      </c>
      <c r="AN127" s="1" t="str">
        <f>VLOOKUP(J127, 'Regions and Cities'!A:B, 2, FALSE)</f>
        <v>Uusimaa</v>
      </c>
    </row>
    <row r="128" spans="1:40" x14ac:dyDescent="0.3">
      <c r="A128" t="s">
        <v>5699</v>
      </c>
      <c r="B128" t="s">
        <v>5700</v>
      </c>
      <c r="C128" t="s">
        <v>5701</v>
      </c>
      <c r="D128" t="s">
        <v>5702</v>
      </c>
      <c r="E128" t="s">
        <v>5703</v>
      </c>
      <c r="F128" t="s">
        <v>5704</v>
      </c>
      <c r="H128">
        <v>229</v>
      </c>
      <c r="I128" t="s">
        <v>235</v>
      </c>
      <c r="J128" t="s">
        <v>126</v>
      </c>
      <c r="K128" t="s">
        <v>5705</v>
      </c>
      <c r="L128" t="s">
        <v>5706</v>
      </c>
      <c r="M128" t="s">
        <v>37</v>
      </c>
      <c r="N128" t="s">
        <v>5707</v>
      </c>
      <c r="O128" t="s">
        <v>5708</v>
      </c>
      <c r="R128" t="s">
        <v>37</v>
      </c>
      <c r="S128" t="s">
        <v>37</v>
      </c>
      <c r="T128">
        <v>60.164569999999998</v>
      </c>
      <c r="U128" t="s">
        <v>5709</v>
      </c>
      <c r="V128" t="s">
        <v>5710</v>
      </c>
      <c r="W128">
        <v>24.794340999999999</v>
      </c>
      <c r="X128">
        <v>1545000</v>
      </c>
      <c r="Y128" t="s">
        <v>5711</v>
      </c>
      <c r="AA128" t="s">
        <v>63</v>
      </c>
      <c r="AB128" t="s">
        <v>39</v>
      </c>
      <c r="AC128" t="s">
        <v>480</v>
      </c>
      <c r="AD128" t="s">
        <v>64</v>
      </c>
      <c r="AE128" t="s">
        <v>5712</v>
      </c>
      <c r="AF128" t="s">
        <v>5713</v>
      </c>
      <c r="AG128" t="s">
        <v>5714</v>
      </c>
      <c r="AH128">
        <v>309</v>
      </c>
      <c r="AI128" s="2" t="str">
        <f t="shared" si="5"/>
        <v>Independent</v>
      </c>
      <c r="AJ128" s="2" t="str">
        <f t="shared" si="6"/>
        <v>YES</v>
      </c>
      <c r="AK128" s="1" t="str">
        <f t="shared" si="7"/>
        <v>None</v>
      </c>
      <c r="AL128" s="1" t="str">
        <f t="shared" si="8"/>
        <v>1 Toilet</v>
      </c>
      <c r="AM128" s="1" t="str">
        <f t="shared" si="9"/>
        <v>YES</v>
      </c>
      <c r="AN128" s="1" t="str">
        <f>VLOOKUP(J128, 'Regions and Cities'!A:B, 2, FALSE)</f>
        <v>Uusimaa</v>
      </c>
    </row>
    <row r="129" spans="1:40" x14ac:dyDescent="0.3">
      <c r="A129" t="s">
        <v>6384</v>
      </c>
      <c r="B129" t="s">
        <v>6385</v>
      </c>
      <c r="C129" t="s">
        <v>6386</v>
      </c>
      <c r="D129" t="s">
        <v>142</v>
      </c>
      <c r="E129" t="s">
        <v>143</v>
      </c>
      <c r="F129" t="s">
        <v>144</v>
      </c>
      <c r="G129" t="s">
        <v>967</v>
      </c>
      <c r="H129">
        <v>69</v>
      </c>
      <c r="I129" t="s">
        <v>2779</v>
      </c>
      <c r="J129" t="s">
        <v>348</v>
      </c>
      <c r="K129" t="s">
        <v>6387</v>
      </c>
      <c r="L129" t="s">
        <v>6388</v>
      </c>
      <c r="M129" t="s">
        <v>37</v>
      </c>
      <c r="N129" t="s">
        <v>6389</v>
      </c>
      <c r="O129" t="s">
        <v>6390</v>
      </c>
      <c r="P129" t="s">
        <v>6391</v>
      </c>
      <c r="Q129" t="s">
        <v>6392</v>
      </c>
      <c r="R129" t="s">
        <v>37</v>
      </c>
      <c r="S129" t="s">
        <v>37</v>
      </c>
      <c r="T129">
        <v>61.316310000000001</v>
      </c>
      <c r="U129" t="s">
        <v>6393</v>
      </c>
      <c r="V129" t="s">
        <v>6394</v>
      </c>
      <c r="W129">
        <v>23.751370000000001</v>
      </c>
      <c r="X129">
        <v>107000</v>
      </c>
      <c r="Y129" t="s">
        <v>6395</v>
      </c>
      <c r="AA129" t="s">
        <v>38</v>
      </c>
      <c r="AB129" t="s">
        <v>39</v>
      </c>
      <c r="AC129" t="s">
        <v>6396</v>
      </c>
      <c r="AD129" t="s">
        <v>46</v>
      </c>
      <c r="AE129" t="s">
        <v>1117</v>
      </c>
      <c r="AF129" t="s">
        <v>6397</v>
      </c>
      <c r="AG129" t="s">
        <v>6398</v>
      </c>
      <c r="AH129">
        <v>69</v>
      </c>
      <c r="AI129" s="2" t="str">
        <f t="shared" si="5"/>
        <v>Independent</v>
      </c>
      <c r="AJ129" s="2" t="str">
        <f t="shared" si="6"/>
        <v>NO</v>
      </c>
      <c r="AK129" s="1" t="str">
        <f t="shared" si="7"/>
        <v>None</v>
      </c>
      <c r="AL129" s="1" t="str">
        <f t="shared" si="8"/>
        <v>1 Toilet</v>
      </c>
      <c r="AM129" s="1" t="str">
        <f t="shared" si="9"/>
        <v>YES</v>
      </c>
      <c r="AN129" s="1" t="str">
        <f>VLOOKUP(J129, 'Regions and Cities'!A:B, 2, FALSE)</f>
        <v>Pirkanmaa</v>
      </c>
    </row>
    <row r="130" spans="1:40" x14ac:dyDescent="0.3">
      <c r="A130" t="s">
        <v>1012</v>
      </c>
      <c r="B130" t="s">
        <v>1013</v>
      </c>
      <c r="C130" t="s">
        <v>1014</v>
      </c>
      <c r="D130" t="s">
        <v>1015</v>
      </c>
      <c r="E130" t="s">
        <v>1016</v>
      </c>
      <c r="F130" t="s">
        <v>1017</v>
      </c>
      <c r="H130">
        <v>52</v>
      </c>
      <c r="I130" t="s">
        <v>247</v>
      </c>
      <c r="J130" t="s">
        <v>228</v>
      </c>
      <c r="K130" t="s">
        <v>1018</v>
      </c>
      <c r="L130" t="s">
        <v>1019</v>
      </c>
      <c r="M130" t="s">
        <v>37</v>
      </c>
      <c r="N130" t="s">
        <v>1020</v>
      </c>
      <c r="O130" t="s">
        <v>1021</v>
      </c>
      <c r="R130" t="s">
        <v>37</v>
      </c>
      <c r="S130" t="s">
        <v>37</v>
      </c>
      <c r="T130">
        <v>61.478095000000003</v>
      </c>
      <c r="U130" t="s">
        <v>1022</v>
      </c>
      <c r="V130" t="s">
        <v>1023</v>
      </c>
      <c r="W130">
        <v>23.509744999999999</v>
      </c>
      <c r="X130">
        <v>139500</v>
      </c>
      <c r="Y130" t="s">
        <v>1024</v>
      </c>
      <c r="AA130" t="s">
        <v>38</v>
      </c>
      <c r="AB130" t="s">
        <v>39</v>
      </c>
      <c r="AC130" t="s">
        <v>480</v>
      </c>
      <c r="AD130" t="s">
        <v>40</v>
      </c>
      <c r="AE130" t="s">
        <v>165</v>
      </c>
      <c r="AF130" t="s">
        <v>1025</v>
      </c>
      <c r="AG130" t="s">
        <v>1026</v>
      </c>
      <c r="AH130">
        <v>52</v>
      </c>
      <c r="AI130" s="2" t="str">
        <f t="shared" ref="AI130:AI193" si="10">IF(AE130="", "no info", IF(OR(ISNUMBER(SEARCH("kt", AE130)), ISNUMBER(SEARCH("avokeittiö", AE130))), "Open", IF(ISNUMBER(SEARCH("kk", AE130)), "Kitchenette", "Independent")))</f>
        <v>Independent</v>
      </c>
      <c r="AJ130" s="2" t="str">
        <f t="shared" ref="AJ130:AJ193" si="11">IF(AE130="", "no info", IF(OR(ISNUMBER(SEARCH(" s ", AE130)), ISNUMBER(SEARCH("sauna", AE130)), ISNUMBER(SEARCH("+ s", AE130))), "YES", "NO"))</f>
        <v>YES</v>
      </c>
      <c r="AK130" s="1" t="str">
        <f t="shared" ref="AK130:AK193" si="12">IF(AE130="", "no info", IF(OR(ISNUMBER(SEARCH("las.p", AE130)), ISNUMBER(SEARCH("lasitettu", AE130))), "Glazed Balcony", IF(OR(ISNUMBER(SEARCH(" p ", AE130)), ISNUMBER(SEARCH("parveke", AE130))), "Standard Balcony", IF(OR(ISNUMBER(SEARCH("terassi", AE130)), ISNUMBER(SEARCH("kuisti", AE130))), "Terrace", "None"))))</f>
        <v>None</v>
      </c>
      <c r="AL130" s="1" t="str">
        <f t="shared" ref="AL130:AL193" si="13">IF(AE130="", "no info", IF(OR(ISNUMBER(SEARCH("2wc", AE130)), ISNUMBER(SEARCH("2xwc", AE130))), "2 Toilets", "1 Toilet"))</f>
        <v>1 Toilet</v>
      </c>
      <c r="AM130" s="1" t="str">
        <f t="shared" ref="AM130:AM193" si="14">IF(AE130="", "no info", IF(OR(ISNUMBER(SEARCH("vh", AE130)), ISNUMBER(SEARCH("var", AE130))), "YES", "NO"))</f>
        <v>NO</v>
      </c>
      <c r="AN130" s="1" t="str">
        <f>VLOOKUP(J130, 'Regions and Cities'!A:B, 2, FALSE)</f>
        <v>Pirkanmaa</v>
      </c>
    </row>
    <row r="131" spans="1:40" x14ac:dyDescent="0.3">
      <c r="A131" t="s">
        <v>4070</v>
      </c>
      <c r="B131" t="s">
        <v>4071</v>
      </c>
      <c r="C131" t="s">
        <v>4072</v>
      </c>
      <c r="D131" t="s">
        <v>690</v>
      </c>
      <c r="E131" t="s">
        <v>691</v>
      </c>
      <c r="H131">
        <v>169.5</v>
      </c>
      <c r="I131" t="s">
        <v>66</v>
      </c>
      <c r="J131" t="s">
        <v>265</v>
      </c>
      <c r="K131" t="s">
        <v>4073</v>
      </c>
      <c r="L131" t="s">
        <v>4074</v>
      </c>
      <c r="M131" t="s">
        <v>37</v>
      </c>
      <c r="N131" t="s">
        <v>4075</v>
      </c>
      <c r="O131" t="s">
        <v>4076</v>
      </c>
      <c r="R131" t="s">
        <v>37</v>
      </c>
      <c r="S131" t="s">
        <v>37</v>
      </c>
      <c r="T131">
        <v>65.082083999999995</v>
      </c>
      <c r="U131" t="s">
        <v>4077</v>
      </c>
      <c r="V131" t="s">
        <v>4078</v>
      </c>
      <c r="W131">
        <v>25.465923</v>
      </c>
      <c r="X131">
        <v>348000</v>
      </c>
      <c r="Y131" t="s">
        <v>4079</v>
      </c>
      <c r="AA131" t="s">
        <v>63</v>
      </c>
      <c r="AB131" t="s">
        <v>39</v>
      </c>
      <c r="AC131" t="s">
        <v>4080</v>
      </c>
      <c r="AD131" t="s">
        <v>55</v>
      </c>
      <c r="AE131" t="s">
        <v>3874</v>
      </c>
      <c r="AF131" t="s">
        <v>4081</v>
      </c>
      <c r="AG131" t="s">
        <v>4082</v>
      </c>
      <c r="AH131">
        <v>169.5</v>
      </c>
      <c r="AI131" s="2" t="str">
        <f t="shared" si="10"/>
        <v>Independent</v>
      </c>
      <c r="AJ131" s="2" t="str">
        <f t="shared" si="11"/>
        <v>NO</v>
      </c>
      <c r="AK131" s="1" t="str">
        <f t="shared" si="12"/>
        <v>None</v>
      </c>
      <c r="AL131" s="1" t="str">
        <f t="shared" si="13"/>
        <v>1 Toilet</v>
      </c>
      <c r="AM131" s="1" t="str">
        <f t="shared" si="14"/>
        <v>NO</v>
      </c>
      <c r="AN131" s="1" t="str">
        <f>VLOOKUP(J131, 'Regions and Cities'!A:B, 2, FALSE)</f>
        <v>Pohjois-Pohjanmaa</v>
      </c>
    </row>
    <row r="132" spans="1:40" x14ac:dyDescent="0.3">
      <c r="A132" t="s">
        <v>5659</v>
      </c>
      <c r="B132" t="s">
        <v>5660</v>
      </c>
      <c r="C132" t="s">
        <v>5661</v>
      </c>
      <c r="D132" t="s">
        <v>766</v>
      </c>
      <c r="E132" t="s">
        <v>767</v>
      </c>
      <c r="F132" t="s">
        <v>768</v>
      </c>
      <c r="H132">
        <v>136</v>
      </c>
      <c r="I132" t="s">
        <v>189</v>
      </c>
      <c r="J132" t="s">
        <v>126</v>
      </c>
      <c r="K132" t="s">
        <v>5662</v>
      </c>
      <c r="L132" t="s">
        <v>5663</v>
      </c>
      <c r="M132" t="s">
        <v>37</v>
      </c>
      <c r="N132" t="s">
        <v>5664</v>
      </c>
      <c r="O132" t="s">
        <v>5665</v>
      </c>
      <c r="R132" t="s">
        <v>37</v>
      </c>
      <c r="S132" t="s">
        <v>37</v>
      </c>
      <c r="T132">
        <v>60.219740000000002</v>
      </c>
      <c r="U132" t="s">
        <v>5666</v>
      </c>
      <c r="V132" t="s">
        <v>5667</v>
      </c>
      <c r="W132">
        <v>24.63447</v>
      </c>
      <c r="X132">
        <v>795000</v>
      </c>
      <c r="Y132" t="s">
        <v>5668</v>
      </c>
      <c r="AA132" t="s">
        <v>63</v>
      </c>
      <c r="AB132" t="s">
        <v>39</v>
      </c>
      <c r="AC132" t="s">
        <v>480</v>
      </c>
      <c r="AD132" t="s">
        <v>75</v>
      </c>
      <c r="AE132" t="s">
        <v>5669</v>
      </c>
      <c r="AF132" t="s">
        <v>5670</v>
      </c>
      <c r="AG132" t="s">
        <v>5671</v>
      </c>
      <c r="AH132"/>
      <c r="AI132" s="2" t="str">
        <f t="shared" si="10"/>
        <v>Independent</v>
      </c>
      <c r="AJ132" s="2" t="str">
        <f t="shared" si="11"/>
        <v>YES</v>
      </c>
      <c r="AK132" s="1" t="str">
        <f t="shared" si="12"/>
        <v>None</v>
      </c>
      <c r="AL132" s="1" t="str">
        <f t="shared" si="13"/>
        <v>1 Toilet</v>
      </c>
      <c r="AM132" s="1" t="str">
        <f t="shared" si="14"/>
        <v>NO</v>
      </c>
      <c r="AN132" s="1" t="str">
        <f>VLOOKUP(J132, 'Regions and Cities'!A:B, 2, FALSE)</f>
        <v>Uusimaa</v>
      </c>
    </row>
    <row r="133" spans="1:40" x14ac:dyDescent="0.3">
      <c r="A133" t="s">
        <v>2148</v>
      </c>
      <c r="B133" t="s">
        <v>2149</v>
      </c>
      <c r="C133" t="s">
        <v>2150</v>
      </c>
      <c r="D133" t="s">
        <v>2151</v>
      </c>
      <c r="E133" t="s">
        <v>2152</v>
      </c>
      <c r="F133" t="s">
        <v>79</v>
      </c>
      <c r="G133" t="s">
        <v>2153</v>
      </c>
      <c r="H133">
        <v>44.5</v>
      </c>
      <c r="I133" t="s">
        <v>35</v>
      </c>
      <c r="J133" t="s">
        <v>126</v>
      </c>
      <c r="K133" t="s">
        <v>2154</v>
      </c>
      <c r="L133" t="s">
        <v>2155</v>
      </c>
      <c r="M133" t="s">
        <v>37</v>
      </c>
      <c r="N133" t="s">
        <v>2156</v>
      </c>
      <c r="O133" t="s">
        <v>2157</v>
      </c>
      <c r="P133" t="s">
        <v>2158</v>
      </c>
      <c r="R133" t="s">
        <v>37</v>
      </c>
      <c r="S133" t="s">
        <v>37</v>
      </c>
      <c r="T133">
        <v>60.218730000000001</v>
      </c>
      <c r="U133" t="s">
        <v>2159</v>
      </c>
      <c r="V133" t="s">
        <v>2160</v>
      </c>
      <c r="W133">
        <v>24.626263999999999</v>
      </c>
      <c r="X133">
        <v>149000</v>
      </c>
      <c r="Y133" t="s">
        <v>261</v>
      </c>
      <c r="AA133" t="s">
        <v>38</v>
      </c>
      <c r="AB133" t="s">
        <v>39</v>
      </c>
      <c r="AC133" t="s">
        <v>480</v>
      </c>
      <c r="AD133" t="s">
        <v>40</v>
      </c>
      <c r="AE133" t="s">
        <v>2161</v>
      </c>
      <c r="AF133" t="s">
        <v>2162</v>
      </c>
      <c r="AG133" t="s">
        <v>2163</v>
      </c>
      <c r="AH133">
        <v>44.5</v>
      </c>
      <c r="AI133" s="2" t="str">
        <f t="shared" si="10"/>
        <v>Open</v>
      </c>
      <c r="AJ133" s="2" t="str">
        <f t="shared" si="11"/>
        <v>NO</v>
      </c>
      <c r="AK133" s="1" t="str">
        <f t="shared" si="12"/>
        <v>Standard Balcony</v>
      </c>
      <c r="AL133" s="1" t="str">
        <f t="shared" si="13"/>
        <v>1 Toilet</v>
      </c>
      <c r="AM133" s="1" t="str">
        <f t="shared" si="14"/>
        <v>NO</v>
      </c>
      <c r="AN133" s="1" t="str">
        <f>VLOOKUP(J133, 'Regions and Cities'!A:B, 2, FALSE)</f>
        <v>Uusimaa</v>
      </c>
    </row>
    <row r="134" spans="1:40" x14ac:dyDescent="0.3">
      <c r="A134" t="s">
        <v>1998</v>
      </c>
      <c r="B134" t="s">
        <v>1999</v>
      </c>
      <c r="C134" t="s">
        <v>2000</v>
      </c>
      <c r="D134" t="s">
        <v>1685</v>
      </c>
      <c r="E134" t="s">
        <v>1686</v>
      </c>
      <c r="F134" t="s">
        <v>1687</v>
      </c>
      <c r="G134" t="s">
        <v>1688</v>
      </c>
      <c r="H134">
        <v>90</v>
      </c>
      <c r="I134" t="s">
        <v>2001</v>
      </c>
      <c r="J134" t="s">
        <v>361</v>
      </c>
      <c r="K134" t="s">
        <v>2002</v>
      </c>
      <c r="L134" t="s">
        <v>2003</v>
      </c>
      <c r="M134" t="s">
        <v>37</v>
      </c>
      <c r="N134" t="s">
        <v>2004</v>
      </c>
      <c r="O134" t="s">
        <v>2005</v>
      </c>
      <c r="P134" t="s">
        <v>2006</v>
      </c>
      <c r="R134" t="s">
        <v>37</v>
      </c>
      <c r="S134" t="s">
        <v>37</v>
      </c>
      <c r="T134">
        <v>62.764200000000002</v>
      </c>
      <c r="U134" t="s">
        <v>2007</v>
      </c>
      <c r="V134" t="s">
        <v>2008</v>
      </c>
      <c r="W134">
        <v>22.855032999999999</v>
      </c>
      <c r="X134">
        <v>99500</v>
      </c>
      <c r="Y134" t="s">
        <v>2009</v>
      </c>
      <c r="AA134" t="s">
        <v>45</v>
      </c>
      <c r="AB134" t="s">
        <v>39</v>
      </c>
      <c r="AC134" t="s">
        <v>480</v>
      </c>
      <c r="AD134" t="s">
        <v>75</v>
      </c>
      <c r="AE134" t="s">
        <v>2010</v>
      </c>
      <c r="AF134" t="s">
        <v>2011</v>
      </c>
      <c r="AG134" t="s">
        <v>2012</v>
      </c>
      <c r="AH134">
        <v>90</v>
      </c>
      <c r="AI134" s="2" t="str">
        <f t="shared" si="10"/>
        <v>Independent</v>
      </c>
      <c r="AJ134" s="2" t="str">
        <f t="shared" si="11"/>
        <v>NO</v>
      </c>
      <c r="AK134" s="1" t="str">
        <f t="shared" si="12"/>
        <v>None</v>
      </c>
      <c r="AL134" s="1" t="str">
        <f t="shared" si="13"/>
        <v>1 Toilet</v>
      </c>
      <c r="AM134" s="1" t="str">
        <f t="shared" si="14"/>
        <v>YES</v>
      </c>
      <c r="AN134" s="1" t="str">
        <f>VLOOKUP(J134, 'Regions and Cities'!A:B, 2, FALSE)</f>
        <v>Etelä-Pohjanmaa</v>
      </c>
    </row>
    <row r="135" spans="1:40" x14ac:dyDescent="0.3">
      <c r="A135" t="s">
        <v>3580</v>
      </c>
      <c r="B135" t="s">
        <v>3581</v>
      </c>
      <c r="C135" t="s">
        <v>3582</v>
      </c>
      <c r="D135" t="s">
        <v>84</v>
      </c>
      <c r="E135" t="s">
        <v>85</v>
      </c>
      <c r="F135" t="s">
        <v>79</v>
      </c>
      <c r="G135" t="s">
        <v>3583</v>
      </c>
      <c r="H135">
        <v>360</v>
      </c>
      <c r="I135" t="s">
        <v>59</v>
      </c>
      <c r="J135" t="s">
        <v>86</v>
      </c>
      <c r="K135" t="s">
        <v>3584</v>
      </c>
      <c r="L135" t="s">
        <v>3585</v>
      </c>
      <c r="M135" t="s">
        <v>37</v>
      </c>
      <c r="N135" t="s">
        <v>3586</v>
      </c>
      <c r="O135" t="s">
        <v>3587</v>
      </c>
      <c r="P135" t="s">
        <v>3588</v>
      </c>
      <c r="Q135" t="s">
        <v>3589</v>
      </c>
      <c r="R135" t="s">
        <v>37</v>
      </c>
      <c r="S135" t="s">
        <v>37</v>
      </c>
      <c r="T135">
        <v>60.606079999999999</v>
      </c>
      <c r="U135" t="s">
        <v>3590</v>
      </c>
      <c r="V135" t="s">
        <v>3591</v>
      </c>
      <c r="W135">
        <v>22.081472999999999</v>
      </c>
      <c r="X135">
        <v>299000</v>
      </c>
      <c r="Y135" t="s">
        <v>2849</v>
      </c>
      <c r="AA135" t="s">
        <v>63</v>
      </c>
      <c r="AB135" t="s">
        <v>39</v>
      </c>
      <c r="AC135" t="s">
        <v>3592</v>
      </c>
      <c r="AD135" t="s">
        <v>64</v>
      </c>
      <c r="AE135" t="s">
        <v>3593</v>
      </c>
      <c r="AF135" t="s">
        <v>3594</v>
      </c>
      <c r="AG135" t="s">
        <v>3595</v>
      </c>
      <c r="AH135">
        <v>451</v>
      </c>
      <c r="AI135" s="2" t="str">
        <f t="shared" si="10"/>
        <v>Independent</v>
      </c>
      <c r="AJ135" s="2" t="str">
        <f t="shared" si="11"/>
        <v>YES</v>
      </c>
      <c r="AK135" s="1" t="str">
        <f t="shared" si="12"/>
        <v>None</v>
      </c>
      <c r="AL135" s="1" t="str">
        <f t="shared" si="13"/>
        <v>2 Toilets</v>
      </c>
      <c r="AM135" s="1" t="str">
        <f t="shared" si="14"/>
        <v>YES</v>
      </c>
      <c r="AN135" s="1" t="str">
        <f>VLOOKUP(J135, 'Regions and Cities'!A:B, 2, FALSE)</f>
        <v>Varsinais-Suomi</v>
      </c>
    </row>
    <row r="136" spans="1:40" x14ac:dyDescent="0.3">
      <c r="A136" t="s">
        <v>584</v>
      </c>
      <c r="B136" t="s">
        <v>585</v>
      </c>
      <c r="C136" t="s">
        <v>586</v>
      </c>
      <c r="D136" t="s">
        <v>587</v>
      </c>
      <c r="E136" t="s">
        <v>588</v>
      </c>
      <c r="F136" t="s">
        <v>187</v>
      </c>
      <c r="H136">
        <v>100.4</v>
      </c>
      <c r="I136" t="s">
        <v>589</v>
      </c>
      <c r="J136" t="s">
        <v>114</v>
      </c>
      <c r="K136" t="s">
        <v>590</v>
      </c>
      <c r="L136" t="s">
        <v>591</v>
      </c>
      <c r="M136" t="s">
        <v>37</v>
      </c>
      <c r="N136" t="s">
        <v>592</v>
      </c>
      <c r="O136" t="s">
        <v>593</v>
      </c>
      <c r="R136" t="s">
        <v>37</v>
      </c>
      <c r="S136" t="s">
        <v>37</v>
      </c>
      <c r="T136">
        <v>60.2258</v>
      </c>
      <c r="U136" t="s">
        <v>594</v>
      </c>
      <c r="V136" t="s">
        <v>595</v>
      </c>
      <c r="W136">
        <v>24.020769999999999</v>
      </c>
      <c r="X136">
        <v>199000</v>
      </c>
      <c r="Y136" t="s">
        <v>53</v>
      </c>
      <c r="AA136" t="s">
        <v>63</v>
      </c>
      <c r="AB136" t="s">
        <v>39</v>
      </c>
      <c r="AC136" t="s">
        <v>596</v>
      </c>
      <c r="AD136" t="s">
        <v>75</v>
      </c>
      <c r="AE136" t="s">
        <v>597</v>
      </c>
      <c r="AF136" t="s">
        <v>598</v>
      </c>
      <c r="AG136" t="s">
        <v>599</v>
      </c>
      <c r="AH136">
        <v>183.6</v>
      </c>
      <c r="AI136" s="2" t="str">
        <f t="shared" si="10"/>
        <v>Independent</v>
      </c>
      <c r="AJ136" s="2" t="str">
        <f t="shared" si="11"/>
        <v>YES</v>
      </c>
      <c r="AK136" s="1" t="str">
        <f t="shared" si="12"/>
        <v>None</v>
      </c>
      <c r="AL136" s="1" t="str">
        <f t="shared" si="13"/>
        <v>1 Toilet</v>
      </c>
      <c r="AM136" s="1" t="str">
        <f t="shared" si="14"/>
        <v>NO</v>
      </c>
      <c r="AN136" s="1" t="str">
        <f>VLOOKUP(J136, 'Regions and Cities'!A:B, 2, FALSE)</f>
        <v>Uusimaa</v>
      </c>
    </row>
    <row r="137" spans="1:40" x14ac:dyDescent="0.3">
      <c r="A137" t="s">
        <v>4211</v>
      </c>
      <c r="B137" t="s">
        <v>4212</v>
      </c>
      <c r="C137" t="s">
        <v>4213</v>
      </c>
      <c r="D137" t="s">
        <v>3831</v>
      </c>
      <c r="E137" t="s">
        <v>3832</v>
      </c>
      <c r="F137" t="s">
        <v>452</v>
      </c>
      <c r="G137" t="s">
        <v>3833</v>
      </c>
      <c r="H137">
        <v>85</v>
      </c>
      <c r="I137" t="s">
        <v>589</v>
      </c>
      <c r="J137" t="s">
        <v>400</v>
      </c>
      <c r="K137" t="s">
        <v>400</v>
      </c>
      <c r="L137" t="s">
        <v>4214</v>
      </c>
      <c r="M137" t="s">
        <v>37</v>
      </c>
      <c r="N137" t="s">
        <v>4215</v>
      </c>
      <c r="O137" t="s">
        <v>4216</v>
      </c>
      <c r="P137" t="s">
        <v>4217</v>
      </c>
      <c r="Q137" t="s">
        <v>4218</v>
      </c>
      <c r="R137" t="s">
        <v>37</v>
      </c>
      <c r="S137" t="s">
        <v>37</v>
      </c>
      <c r="T137">
        <v>61.085529000000001</v>
      </c>
      <c r="U137" t="s">
        <v>4219</v>
      </c>
      <c r="V137" t="s">
        <v>4220</v>
      </c>
      <c r="W137">
        <v>23.553829</v>
      </c>
      <c r="X137">
        <v>59000</v>
      </c>
      <c r="Y137" t="s">
        <v>544</v>
      </c>
      <c r="AA137" t="s">
        <v>54</v>
      </c>
      <c r="AB137" t="s">
        <v>39</v>
      </c>
      <c r="AC137" t="s">
        <v>480</v>
      </c>
      <c r="AD137" t="s">
        <v>46</v>
      </c>
      <c r="AE137" t="s">
        <v>4221</v>
      </c>
      <c r="AF137" t="s">
        <v>4222</v>
      </c>
      <c r="AG137" t="s">
        <v>4223</v>
      </c>
      <c r="AH137">
        <v>85</v>
      </c>
      <c r="AI137" s="2" t="str">
        <f t="shared" si="10"/>
        <v>Independent</v>
      </c>
      <c r="AJ137" s="2" t="str">
        <f t="shared" si="11"/>
        <v>NO</v>
      </c>
      <c r="AK137" s="1" t="str">
        <f t="shared" si="12"/>
        <v>None</v>
      </c>
      <c r="AL137" s="1" t="str">
        <f t="shared" si="13"/>
        <v>1 Toilet</v>
      </c>
      <c r="AM137" s="1" t="str">
        <f t="shared" si="14"/>
        <v>NO</v>
      </c>
      <c r="AN137" s="1" t="str">
        <f>VLOOKUP(J137, 'Regions and Cities'!A:B, 2, FALSE)</f>
        <v>Pirkanmaa</v>
      </c>
    </row>
    <row r="138" spans="1:40" x14ac:dyDescent="0.3">
      <c r="A138" t="s">
        <v>5191</v>
      </c>
      <c r="B138" t="s">
        <v>5192</v>
      </c>
      <c r="C138" t="s">
        <v>5193</v>
      </c>
      <c r="D138" t="s">
        <v>5194</v>
      </c>
      <c r="E138" t="s">
        <v>5195</v>
      </c>
      <c r="F138" t="s">
        <v>5196</v>
      </c>
      <c r="H138">
        <v>85</v>
      </c>
      <c r="I138" t="s">
        <v>2001</v>
      </c>
      <c r="J138" t="s">
        <v>370</v>
      </c>
      <c r="K138" t="s">
        <v>5197</v>
      </c>
      <c r="L138" t="s">
        <v>5198</v>
      </c>
      <c r="M138" t="s">
        <v>37</v>
      </c>
      <c r="N138" t="s">
        <v>5199</v>
      </c>
      <c r="O138" t="s">
        <v>5200</v>
      </c>
      <c r="R138" t="s">
        <v>37</v>
      </c>
      <c r="S138" t="s">
        <v>37</v>
      </c>
      <c r="T138">
        <v>60.560502999999997</v>
      </c>
      <c r="U138" t="s">
        <v>5201</v>
      </c>
      <c r="V138" t="s">
        <v>5202</v>
      </c>
      <c r="W138">
        <v>24.948228</v>
      </c>
      <c r="X138">
        <v>137000</v>
      </c>
      <c r="Y138" t="s">
        <v>102</v>
      </c>
      <c r="AA138" t="s">
        <v>63</v>
      </c>
      <c r="AB138" t="s">
        <v>39</v>
      </c>
      <c r="AC138" t="s">
        <v>5203</v>
      </c>
      <c r="AD138" t="s">
        <v>75</v>
      </c>
      <c r="AE138" t="s">
        <v>5204</v>
      </c>
      <c r="AF138" t="s">
        <v>5205</v>
      </c>
      <c r="AG138" t="s">
        <v>5206</v>
      </c>
      <c r="AH138">
        <v>145</v>
      </c>
      <c r="AI138" s="2" t="str">
        <f t="shared" si="10"/>
        <v>Independent</v>
      </c>
      <c r="AJ138" s="2" t="str">
        <f t="shared" si="11"/>
        <v>YES</v>
      </c>
      <c r="AK138" s="1" t="str">
        <f t="shared" si="12"/>
        <v>None</v>
      </c>
      <c r="AL138" s="1" t="str">
        <f t="shared" si="13"/>
        <v>1 Toilet</v>
      </c>
      <c r="AM138" s="1" t="str">
        <f t="shared" si="14"/>
        <v>NO</v>
      </c>
      <c r="AN138" s="1" t="str">
        <f>VLOOKUP(J138, 'Regions and Cities'!A:B, 2, FALSE)</f>
        <v>Uusimaa</v>
      </c>
    </row>
    <row r="139" spans="1:40" x14ac:dyDescent="0.3">
      <c r="A139" t="s">
        <v>4197</v>
      </c>
      <c r="B139" t="s">
        <v>4198</v>
      </c>
      <c r="C139" t="s">
        <v>4199</v>
      </c>
      <c r="D139" t="s">
        <v>906</v>
      </c>
      <c r="E139" t="s">
        <v>907</v>
      </c>
      <c r="F139" t="s">
        <v>105</v>
      </c>
      <c r="G139" t="s">
        <v>4200</v>
      </c>
      <c r="H139">
        <v>135</v>
      </c>
      <c r="I139" t="s">
        <v>247</v>
      </c>
      <c r="J139" t="s">
        <v>350</v>
      </c>
      <c r="K139" t="s">
        <v>4201</v>
      </c>
      <c r="L139" t="s">
        <v>4202</v>
      </c>
      <c r="M139" t="s">
        <v>37</v>
      </c>
      <c r="N139" t="s">
        <v>4203</v>
      </c>
      <c r="O139" t="s">
        <v>4204</v>
      </c>
      <c r="P139" t="s">
        <v>4205</v>
      </c>
      <c r="R139" t="s">
        <v>37</v>
      </c>
      <c r="S139" t="s">
        <v>37</v>
      </c>
      <c r="T139">
        <v>62.633577000000002</v>
      </c>
      <c r="U139" t="s">
        <v>4206</v>
      </c>
      <c r="V139" t="s">
        <v>4207</v>
      </c>
      <c r="W139">
        <v>29.691295</v>
      </c>
      <c r="X139">
        <v>185000</v>
      </c>
      <c r="Y139" t="s">
        <v>230</v>
      </c>
      <c r="AA139" t="s">
        <v>63</v>
      </c>
      <c r="AB139" t="s">
        <v>39</v>
      </c>
      <c r="AC139" t="s">
        <v>480</v>
      </c>
      <c r="AD139" t="s">
        <v>55</v>
      </c>
      <c r="AE139" t="s">
        <v>4208</v>
      </c>
      <c r="AF139" t="s">
        <v>4209</v>
      </c>
      <c r="AG139" t="s">
        <v>4210</v>
      </c>
      <c r="AH139">
        <v>150</v>
      </c>
      <c r="AI139" s="2" t="str">
        <f t="shared" si="10"/>
        <v>Independent</v>
      </c>
      <c r="AJ139" s="2" t="str">
        <f t="shared" si="11"/>
        <v>NO</v>
      </c>
      <c r="AK139" s="1" t="str">
        <f t="shared" si="12"/>
        <v>None</v>
      </c>
      <c r="AL139" s="1" t="str">
        <f t="shared" si="13"/>
        <v>1 Toilet</v>
      </c>
      <c r="AM139" s="1" t="str">
        <f t="shared" si="14"/>
        <v>NO</v>
      </c>
      <c r="AN139" s="1" t="str">
        <f>VLOOKUP(J139, 'Regions and Cities'!A:B, 2, FALSE)</f>
        <v>Pohjois-Karjala</v>
      </c>
    </row>
    <row r="140" spans="1:40" x14ac:dyDescent="0.3">
      <c r="A140" t="s">
        <v>859</v>
      </c>
      <c r="B140" t="s">
        <v>860</v>
      </c>
      <c r="C140" t="s">
        <v>646</v>
      </c>
      <c r="D140" t="s">
        <v>178</v>
      </c>
      <c r="E140" t="s">
        <v>179</v>
      </c>
      <c r="F140" t="s">
        <v>180</v>
      </c>
      <c r="H140">
        <v>93.5</v>
      </c>
      <c r="I140" t="s">
        <v>861</v>
      </c>
      <c r="J140" t="s">
        <v>73</v>
      </c>
      <c r="K140" t="s">
        <v>650</v>
      </c>
      <c r="L140" t="s">
        <v>862</v>
      </c>
      <c r="M140" t="s">
        <v>37</v>
      </c>
      <c r="N140" t="s">
        <v>863</v>
      </c>
      <c r="O140" t="s">
        <v>864</v>
      </c>
      <c r="R140" t="s">
        <v>37</v>
      </c>
      <c r="S140" t="s">
        <v>37</v>
      </c>
      <c r="T140">
        <v>62.206400000000002</v>
      </c>
      <c r="U140" t="s">
        <v>865</v>
      </c>
      <c r="V140" t="s">
        <v>866</v>
      </c>
      <c r="W140">
        <v>25.7639</v>
      </c>
      <c r="X140">
        <v>32779.379999999997</v>
      </c>
      <c r="Y140" t="s">
        <v>867</v>
      </c>
      <c r="AA140" t="s">
        <v>45</v>
      </c>
      <c r="AB140" t="s">
        <v>39</v>
      </c>
      <c r="AC140" t="s">
        <v>868</v>
      </c>
      <c r="AD140" t="s">
        <v>75</v>
      </c>
      <c r="AE140" t="s">
        <v>869</v>
      </c>
      <c r="AF140" t="s">
        <v>870</v>
      </c>
      <c r="AG140" t="s">
        <v>871</v>
      </c>
      <c r="AH140"/>
      <c r="AI140" s="2" t="str">
        <f t="shared" si="10"/>
        <v>Independent</v>
      </c>
      <c r="AJ140" s="2" t="str">
        <f t="shared" si="11"/>
        <v>YES</v>
      </c>
      <c r="AK140" s="1" t="str">
        <f t="shared" si="12"/>
        <v>None</v>
      </c>
      <c r="AL140" s="1" t="str">
        <f t="shared" si="13"/>
        <v>1 Toilet</v>
      </c>
      <c r="AM140" s="1" t="str">
        <f t="shared" si="14"/>
        <v>NO</v>
      </c>
      <c r="AN140" s="1" t="str">
        <f>VLOOKUP(J140, 'Regions and Cities'!A:B, 2, FALSE)</f>
        <v>Keski-Suomi</v>
      </c>
    </row>
    <row r="141" spans="1:40" x14ac:dyDescent="0.3">
      <c r="A141" t="s">
        <v>8263</v>
      </c>
      <c r="B141" t="s">
        <v>8264</v>
      </c>
      <c r="C141" t="s">
        <v>2921</v>
      </c>
      <c r="D141" t="s">
        <v>7332</v>
      </c>
      <c r="E141" t="s">
        <v>7333</v>
      </c>
      <c r="F141" t="s">
        <v>7334</v>
      </c>
      <c r="G141" t="s">
        <v>8265</v>
      </c>
      <c r="H141">
        <v>29</v>
      </c>
      <c r="I141" t="s">
        <v>8224</v>
      </c>
      <c r="J141" t="s">
        <v>139</v>
      </c>
      <c r="K141" t="s">
        <v>2923</v>
      </c>
      <c r="L141" t="s">
        <v>8266</v>
      </c>
      <c r="M141" t="s">
        <v>37</v>
      </c>
      <c r="N141" t="s">
        <v>8267</v>
      </c>
      <c r="O141" t="s">
        <v>8268</v>
      </c>
      <c r="P141" t="s">
        <v>8269</v>
      </c>
      <c r="Q141" t="s">
        <v>8270</v>
      </c>
      <c r="R141" t="s">
        <v>37</v>
      </c>
      <c r="S141" t="s">
        <v>37</v>
      </c>
      <c r="T141">
        <v>61.503332</v>
      </c>
      <c r="U141" t="s">
        <v>8271</v>
      </c>
      <c r="V141" t="s">
        <v>8272</v>
      </c>
      <c r="W141">
        <v>23.771903999999999</v>
      </c>
      <c r="X141">
        <v>135000</v>
      </c>
      <c r="Y141" t="s">
        <v>164</v>
      </c>
      <c r="AA141" t="s">
        <v>38</v>
      </c>
      <c r="AB141" t="s">
        <v>39</v>
      </c>
      <c r="AC141" t="s">
        <v>6510</v>
      </c>
      <c r="AD141" t="s">
        <v>202</v>
      </c>
      <c r="AE141" t="s">
        <v>961</v>
      </c>
      <c r="AF141" t="s">
        <v>8273</v>
      </c>
      <c r="AG141" t="s">
        <v>8274</v>
      </c>
      <c r="AH141">
        <v>29</v>
      </c>
      <c r="AI141" s="2" t="str">
        <f t="shared" si="10"/>
        <v>Independent</v>
      </c>
      <c r="AJ141" s="2" t="str">
        <f t="shared" si="11"/>
        <v>NO</v>
      </c>
      <c r="AK141" s="1" t="str">
        <f t="shared" si="12"/>
        <v>None</v>
      </c>
      <c r="AL141" s="1" t="str">
        <f t="shared" si="13"/>
        <v>1 Toilet</v>
      </c>
      <c r="AM141" s="1" t="str">
        <f t="shared" si="14"/>
        <v>NO</v>
      </c>
      <c r="AN141" s="1" t="str">
        <f>VLOOKUP(J141, 'Regions and Cities'!A:B, 2, FALSE)</f>
        <v>Pirkanmaa</v>
      </c>
    </row>
    <row r="142" spans="1:40" x14ac:dyDescent="0.3">
      <c r="A142" t="s">
        <v>3216</v>
      </c>
      <c r="B142" t="s">
        <v>3217</v>
      </c>
      <c r="C142" t="s">
        <v>306</v>
      </c>
      <c r="D142" t="s">
        <v>3218</v>
      </c>
      <c r="E142" t="s">
        <v>3219</v>
      </c>
      <c r="F142" t="s">
        <v>3220</v>
      </c>
      <c r="H142">
        <v>59</v>
      </c>
      <c r="I142" t="s">
        <v>235</v>
      </c>
      <c r="J142" t="s">
        <v>110</v>
      </c>
      <c r="K142" t="s">
        <v>131</v>
      </c>
      <c r="L142" t="s">
        <v>3221</v>
      </c>
      <c r="M142" t="s">
        <v>37</v>
      </c>
      <c r="N142" t="s">
        <v>3222</v>
      </c>
      <c r="O142" t="s">
        <v>3223</v>
      </c>
      <c r="R142" t="s">
        <v>37</v>
      </c>
      <c r="S142" t="s">
        <v>37</v>
      </c>
      <c r="T142">
        <v>60.452559999999998</v>
      </c>
      <c r="U142" t="s">
        <v>3224</v>
      </c>
      <c r="V142" t="s">
        <v>3225</v>
      </c>
      <c r="W142">
        <v>22.255769999999998</v>
      </c>
      <c r="X142">
        <v>255000</v>
      </c>
      <c r="Y142" t="s">
        <v>3226</v>
      </c>
      <c r="AA142" t="s">
        <v>38</v>
      </c>
      <c r="AB142" t="s">
        <v>39</v>
      </c>
      <c r="AC142" t="s">
        <v>480</v>
      </c>
      <c r="AD142" t="s">
        <v>46</v>
      </c>
      <c r="AE142" t="s">
        <v>3227</v>
      </c>
      <c r="AF142" t="s">
        <v>3228</v>
      </c>
      <c r="AG142" t="s">
        <v>3229</v>
      </c>
      <c r="AH142">
        <v>59</v>
      </c>
      <c r="AI142" s="2" t="str">
        <f t="shared" si="10"/>
        <v>Open</v>
      </c>
      <c r="AJ142" s="2" t="str">
        <f t="shared" si="11"/>
        <v>NO</v>
      </c>
      <c r="AK142" s="1" t="str">
        <f t="shared" si="12"/>
        <v>None</v>
      </c>
      <c r="AL142" s="1" t="str">
        <f t="shared" si="13"/>
        <v>1 Toilet</v>
      </c>
      <c r="AM142" s="1" t="str">
        <f t="shared" si="14"/>
        <v>NO</v>
      </c>
      <c r="AN142" s="1" t="str">
        <f>VLOOKUP(J142, 'Regions and Cities'!A:B, 2, FALSE)</f>
        <v>Varsinais-Suomi</v>
      </c>
    </row>
    <row r="143" spans="1:40" x14ac:dyDescent="0.3">
      <c r="A143" t="s">
        <v>9172</v>
      </c>
      <c r="B143" t="s">
        <v>9173</v>
      </c>
      <c r="C143" t="s">
        <v>9174</v>
      </c>
      <c r="D143" t="s">
        <v>9175</v>
      </c>
      <c r="E143" t="s">
        <v>9176</v>
      </c>
      <c r="F143" t="s">
        <v>105</v>
      </c>
      <c r="H143">
        <v>38</v>
      </c>
      <c r="I143" t="s">
        <v>129</v>
      </c>
      <c r="J143" t="s">
        <v>137</v>
      </c>
      <c r="K143" t="s">
        <v>9177</v>
      </c>
      <c r="L143" t="s">
        <v>9178</v>
      </c>
      <c r="M143" t="s">
        <v>37</v>
      </c>
      <c r="N143" t="s">
        <v>9179</v>
      </c>
      <c r="O143" t="s">
        <v>9180</v>
      </c>
      <c r="R143" t="s">
        <v>37</v>
      </c>
      <c r="S143" t="s">
        <v>37</v>
      </c>
      <c r="T143">
        <v>60.197510000000001</v>
      </c>
      <c r="U143" t="s">
        <v>9181</v>
      </c>
      <c r="V143" t="s">
        <v>9182</v>
      </c>
      <c r="W143">
        <v>24.883904000000001</v>
      </c>
      <c r="X143">
        <v>235000</v>
      </c>
      <c r="Y143" t="s">
        <v>234</v>
      </c>
      <c r="AA143" t="s">
        <v>38</v>
      </c>
      <c r="AB143" t="s">
        <v>39</v>
      </c>
      <c r="AC143" t="s">
        <v>6510</v>
      </c>
      <c r="AD143" t="s">
        <v>202</v>
      </c>
      <c r="AE143" t="s">
        <v>1104</v>
      </c>
      <c r="AF143" t="s">
        <v>9183</v>
      </c>
      <c r="AG143" t="s">
        <v>9184</v>
      </c>
      <c r="AH143">
        <v>38</v>
      </c>
      <c r="AI143" s="2" t="str">
        <f t="shared" si="10"/>
        <v>Kitchenette</v>
      </c>
      <c r="AJ143" s="2" t="str">
        <f t="shared" si="11"/>
        <v>NO</v>
      </c>
      <c r="AK143" s="1" t="str">
        <f t="shared" si="12"/>
        <v>None</v>
      </c>
      <c r="AL143" s="1" t="str">
        <f t="shared" si="13"/>
        <v>1 Toilet</v>
      </c>
      <c r="AM143" s="1" t="str">
        <f t="shared" si="14"/>
        <v>NO</v>
      </c>
      <c r="AN143" s="1" t="str">
        <f>VLOOKUP(J143, 'Regions and Cities'!A:B, 2, FALSE)</f>
        <v>Uusimaa</v>
      </c>
    </row>
    <row r="144" spans="1:40" x14ac:dyDescent="0.3">
      <c r="A144" t="s">
        <v>8672</v>
      </c>
      <c r="B144" t="s">
        <v>8673</v>
      </c>
      <c r="C144" t="s">
        <v>373</v>
      </c>
      <c r="D144" t="s">
        <v>1988</v>
      </c>
      <c r="E144" t="s">
        <v>1989</v>
      </c>
      <c r="H144">
        <v>62.5</v>
      </c>
      <c r="I144" t="s">
        <v>156</v>
      </c>
      <c r="J144" t="s">
        <v>373</v>
      </c>
      <c r="L144" t="s">
        <v>8674</v>
      </c>
      <c r="M144" t="s">
        <v>37</v>
      </c>
      <c r="N144" t="s">
        <v>8675</v>
      </c>
      <c r="O144" t="s">
        <v>8676</v>
      </c>
      <c r="R144" t="s">
        <v>37</v>
      </c>
      <c r="S144" t="s">
        <v>37</v>
      </c>
      <c r="T144">
        <v>60.886339999999997</v>
      </c>
      <c r="U144" t="s">
        <v>8677</v>
      </c>
      <c r="V144" t="s">
        <v>8678</v>
      </c>
      <c r="W144">
        <v>21.700530000000001</v>
      </c>
      <c r="X144">
        <v>68000</v>
      </c>
      <c r="Y144" t="s">
        <v>7596</v>
      </c>
      <c r="AA144" t="s">
        <v>45</v>
      </c>
      <c r="AB144" t="s">
        <v>39</v>
      </c>
      <c r="AC144" t="s">
        <v>6510</v>
      </c>
      <c r="AD144" t="s">
        <v>40</v>
      </c>
      <c r="AE144" t="s">
        <v>165</v>
      </c>
      <c r="AF144" t="s">
        <v>8679</v>
      </c>
      <c r="AG144" t="s">
        <v>8680</v>
      </c>
      <c r="AH144">
        <v>62.5</v>
      </c>
      <c r="AI144" s="2" t="str">
        <f t="shared" si="10"/>
        <v>Independent</v>
      </c>
      <c r="AJ144" s="2" t="str">
        <f t="shared" si="11"/>
        <v>YES</v>
      </c>
      <c r="AK144" s="1" t="str">
        <f t="shared" si="12"/>
        <v>None</v>
      </c>
      <c r="AL144" s="1" t="str">
        <f t="shared" si="13"/>
        <v>1 Toilet</v>
      </c>
      <c r="AM144" s="1" t="str">
        <f t="shared" si="14"/>
        <v>NO</v>
      </c>
      <c r="AN144" s="1" t="str">
        <f>VLOOKUP(J144, 'Regions and Cities'!A:B, 2, FALSE)</f>
        <v>Varsinais-Suomi</v>
      </c>
    </row>
    <row r="145" spans="1:40" x14ac:dyDescent="0.3">
      <c r="A145" t="s">
        <v>8154</v>
      </c>
      <c r="B145" t="s">
        <v>8155</v>
      </c>
      <c r="C145" t="s">
        <v>8156</v>
      </c>
      <c r="D145" t="s">
        <v>1491</v>
      </c>
      <c r="E145" t="s">
        <v>1492</v>
      </c>
      <c r="F145" t="s">
        <v>1493</v>
      </c>
      <c r="H145">
        <v>100</v>
      </c>
      <c r="I145" t="s">
        <v>556</v>
      </c>
      <c r="J145" t="s">
        <v>110</v>
      </c>
      <c r="K145" t="s">
        <v>8157</v>
      </c>
      <c r="L145" t="s">
        <v>8158</v>
      </c>
      <c r="M145" t="s">
        <v>37</v>
      </c>
      <c r="N145" t="s">
        <v>8159</v>
      </c>
      <c r="O145" t="s">
        <v>8160</v>
      </c>
      <c r="R145" t="s">
        <v>37</v>
      </c>
      <c r="S145" t="s">
        <v>37</v>
      </c>
      <c r="T145">
        <v>60.439258000000002</v>
      </c>
      <c r="U145" t="s">
        <v>8161</v>
      </c>
      <c r="V145" t="s">
        <v>8162</v>
      </c>
      <c r="W145">
        <v>22.345953999999999</v>
      </c>
      <c r="X145">
        <v>189000</v>
      </c>
      <c r="Y145" t="s">
        <v>995</v>
      </c>
      <c r="AA145" t="s">
        <v>45</v>
      </c>
      <c r="AB145" t="s">
        <v>39</v>
      </c>
      <c r="AC145" t="s">
        <v>6510</v>
      </c>
      <c r="AD145" t="s">
        <v>75</v>
      </c>
      <c r="AE145" t="s">
        <v>8163</v>
      </c>
      <c r="AF145" t="s">
        <v>8164</v>
      </c>
      <c r="AG145" t="s">
        <v>8165</v>
      </c>
      <c r="AH145">
        <v>100</v>
      </c>
      <c r="AI145" s="2" t="str">
        <f t="shared" si="10"/>
        <v>Independent</v>
      </c>
      <c r="AJ145" s="2" t="str">
        <f t="shared" si="11"/>
        <v>NO</v>
      </c>
      <c r="AK145" s="1" t="str">
        <f t="shared" si="12"/>
        <v>None</v>
      </c>
      <c r="AL145" s="1" t="str">
        <f t="shared" si="13"/>
        <v>2 Toilets</v>
      </c>
      <c r="AM145" s="1" t="str">
        <f t="shared" si="14"/>
        <v>YES</v>
      </c>
      <c r="AN145" s="1" t="str">
        <f>VLOOKUP(J145, 'Regions and Cities'!A:B, 2, FALSE)</f>
        <v>Varsinais-Suomi</v>
      </c>
    </row>
    <row r="146" spans="1:40" x14ac:dyDescent="0.3">
      <c r="A146" t="s">
        <v>2564</v>
      </c>
      <c r="B146" t="s">
        <v>2565</v>
      </c>
      <c r="C146" t="s">
        <v>1905</v>
      </c>
      <c r="H146">
        <v>58</v>
      </c>
      <c r="I146" t="s">
        <v>252</v>
      </c>
      <c r="J146" t="s">
        <v>372</v>
      </c>
      <c r="K146" t="s">
        <v>131</v>
      </c>
      <c r="L146" t="s">
        <v>2566</v>
      </c>
      <c r="M146" t="s">
        <v>37</v>
      </c>
      <c r="N146" t="s">
        <v>2567</v>
      </c>
      <c r="O146" t="s">
        <v>2568</v>
      </c>
      <c r="R146" t="s">
        <v>37</v>
      </c>
      <c r="S146" t="s">
        <v>111</v>
      </c>
      <c r="T146">
        <v>61.745185999999997</v>
      </c>
      <c r="U146" t="s">
        <v>2569</v>
      </c>
      <c r="V146" t="s">
        <v>2570</v>
      </c>
      <c r="W146">
        <v>26.106829999999999</v>
      </c>
      <c r="X146">
        <v>16500</v>
      </c>
      <c r="Y146" t="s">
        <v>2571</v>
      </c>
      <c r="Z146" t="s">
        <v>839</v>
      </c>
      <c r="AA146" t="s">
        <v>38</v>
      </c>
      <c r="AB146" t="s">
        <v>39</v>
      </c>
      <c r="AC146" t="s">
        <v>480</v>
      </c>
      <c r="AD146" t="s">
        <v>40</v>
      </c>
      <c r="AE146" t="s">
        <v>2572</v>
      </c>
      <c r="AF146" t="s">
        <v>2573</v>
      </c>
      <c r="AG146" t="s">
        <v>2574</v>
      </c>
      <c r="AH146"/>
      <c r="AI146" s="2" t="str">
        <f t="shared" si="10"/>
        <v>Independent</v>
      </c>
      <c r="AJ146" s="2" t="str">
        <f t="shared" si="11"/>
        <v>NO</v>
      </c>
      <c r="AK146" s="1" t="str">
        <f t="shared" si="12"/>
        <v>None</v>
      </c>
      <c r="AL146" s="1" t="str">
        <f t="shared" si="13"/>
        <v>1 Toilet</v>
      </c>
      <c r="AM146" s="1" t="str">
        <f t="shared" si="14"/>
        <v>NO</v>
      </c>
      <c r="AN146" s="1" t="str">
        <f>VLOOKUP(J146, 'Regions and Cities'!A:B, 2, FALSE)</f>
        <v>Keski-Suomi</v>
      </c>
    </row>
    <row r="147" spans="1:40" x14ac:dyDescent="0.3">
      <c r="A147" t="s">
        <v>9185</v>
      </c>
      <c r="B147" t="s">
        <v>9186</v>
      </c>
      <c r="C147" t="s">
        <v>9187</v>
      </c>
      <c r="D147" t="s">
        <v>1917</v>
      </c>
      <c r="E147" t="s">
        <v>1918</v>
      </c>
      <c r="F147" t="s">
        <v>226</v>
      </c>
      <c r="H147">
        <v>98.5</v>
      </c>
      <c r="I147" t="s">
        <v>35</v>
      </c>
      <c r="J147" t="s">
        <v>283</v>
      </c>
      <c r="K147" t="s">
        <v>9188</v>
      </c>
      <c r="L147" t="s">
        <v>9189</v>
      </c>
      <c r="M147" t="s">
        <v>37</v>
      </c>
      <c r="N147" t="s">
        <v>9190</v>
      </c>
      <c r="O147" t="s">
        <v>9191</v>
      </c>
      <c r="R147" t="s">
        <v>37</v>
      </c>
      <c r="S147" t="s">
        <v>37</v>
      </c>
      <c r="T147">
        <v>60.380549999999999</v>
      </c>
      <c r="U147" t="s">
        <v>9192</v>
      </c>
      <c r="V147" t="s">
        <v>9193</v>
      </c>
      <c r="W147">
        <v>24.68638</v>
      </c>
      <c r="X147">
        <v>315000</v>
      </c>
      <c r="Y147" t="s">
        <v>233</v>
      </c>
      <c r="AA147" t="s">
        <v>54</v>
      </c>
      <c r="AB147" t="s">
        <v>39</v>
      </c>
      <c r="AC147" t="s">
        <v>6510</v>
      </c>
      <c r="AD147" t="s">
        <v>75</v>
      </c>
      <c r="AE147" t="s">
        <v>9194</v>
      </c>
      <c r="AF147" t="s">
        <v>9195</v>
      </c>
      <c r="AG147" t="s">
        <v>9196</v>
      </c>
      <c r="AH147">
        <v>102.7</v>
      </c>
      <c r="AI147" s="2" t="str">
        <f t="shared" si="10"/>
        <v>Independent</v>
      </c>
      <c r="AJ147" s="2" t="str">
        <f t="shared" si="11"/>
        <v>NO</v>
      </c>
      <c r="AK147" s="1" t="str">
        <f t="shared" si="12"/>
        <v>Terrace</v>
      </c>
      <c r="AL147" s="1" t="str">
        <f t="shared" si="13"/>
        <v>1 Toilet</v>
      </c>
      <c r="AM147" s="1" t="str">
        <f t="shared" si="14"/>
        <v>YES</v>
      </c>
      <c r="AN147" s="1" t="str">
        <f>VLOOKUP(J147, 'Regions and Cities'!A:B, 2, FALSE)</f>
        <v>Uusimaa</v>
      </c>
    </row>
    <row r="148" spans="1:40" x14ac:dyDescent="0.3">
      <c r="A148" t="s">
        <v>5292</v>
      </c>
      <c r="B148" t="s">
        <v>5293</v>
      </c>
      <c r="C148" t="s">
        <v>5294</v>
      </c>
      <c r="D148" t="s">
        <v>5127</v>
      </c>
      <c r="E148" t="s">
        <v>5128</v>
      </c>
      <c r="F148" t="s">
        <v>105</v>
      </c>
      <c r="G148" t="s">
        <v>5295</v>
      </c>
      <c r="H148">
        <v>133</v>
      </c>
      <c r="I148" t="s">
        <v>3712</v>
      </c>
      <c r="J148" t="s">
        <v>301</v>
      </c>
      <c r="K148" t="s">
        <v>5296</v>
      </c>
      <c r="L148" t="s">
        <v>5297</v>
      </c>
      <c r="M148" t="s">
        <v>37</v>
      </c>
      <c r="N148" t="s">
        <v>5298</v>
      </c>
      <c r="O148" t="s">
        <v>5299</v>
      </c>
      <c r="P148" t="s">
        <v>5300</v>
      </c>
      <c r="R148" t="s">
        <v>37</v>
      </c>
      <c r="S148" t="s">
        <v>37</v>
      </c>
      <c r="T148">
        <v>61.469749</v>
      </c>
      <c r="U148" t="s">
        <v>5301</v>
      </c>
      <c r="V148" t="s">
        <v>5302</v>
      </c>
      <c r="W148">
        <v>23.656831</v>
      </c>
      <c r="X148">
        <v>655000</v>
      </c>
      <c r="Y148" t="s">
        <v>5303</v>
      </c>
      <c r="AA148" t="s">
        <v>54</v>
      </c>
      <c r="AB148" t="s">
        <v>39</v>
      </c>
      <c r="AC148" t="s">
        <v>5304</v>
      </c>
      <c r="AD148" t="s">
        <v>75</v>
      </c>
      <c r="AE148" t="s">
        <v>5305</v>
      </c>
      <c r="AF148" t="s">
        <v>5306</v>
      </c>
      <c r="AG148" t="s">
        <v>5307</v>
      </c>
      <c r="AH148">
        <v>213</v>
      </c>
      <c r="AI148" s="2" t="str">
        <f t="shared" si="10"/>
        <v>Independent</v>
      </c>
      <c r="AJ148" s="2" t="str">
        <f t="shared" si="11"/>
        <v>YES</v>
      </c>
      <c r="AK148" s="1" t="str">
        <f t="shared" si="12"/>
        <v>None</v>
      </c>
      <c r="AL148" s="1" t="str">
        <f t="shared" si="13"/>
        <v>1 Toilet</v>
      </c>
      <c r="AM148" s="1" t="str">
        <f t="shared" si="14"/>
        <v>YES</v>
      </c>
      <c r="AN148" s="1" t="str">
        <f>VLOOKUP(J148, 'Regions and Cities'!A:B, 2, FALSE)</f>
        <v>Pirkanmaa</v>
      </c>
    </row>
    <row r="149" spans="1:40" x14ac:dyDescent="0.3">
      <c r="A149" t="s">
        <v>2602</v>
      </c>
      <c r="B149" t="s">
        <v>2603</v>
      </c>
      <c r="C149" t="s">
        <v>2604</v>
      </c>
      <c r="D149" t="s">
        <v>733</v>
      </c>
      <c r="E149" t="s">
        <v>734</v>
      </c>
      <c r="F149" t="s">
        <v>58</v>
      </c>
      <c r="G149" t="s">
        <v>735</v>
      </c>
      <c r="H149">
        <v>50.5</v>
      </c>
      <c r="I149" t="s">
        <v>1858</v>
      </c>
      <c r="J149" t="s">
        <v>139</v>
      </c>
      <c r="K149" t="s">
        <v>2605</v>
      </c>
      <c r="L149" t="s">
        <v>2606</v>
      </c>
      <c r="M149" t="s">
        <v>37</v>
      </c>
      <c r="N149" t="s">
        <v>2607</v>
      </c>
      <c r="O149" t="s">
        <v>2608</v>
      </c>
      <c r="P149" t="s">
        <v>2609</v>
      </c>
      <c r="Q149" t="s">
        <v>2610</v>
      </c>
      <c r="R149" t="s">
        <v>37</v>
      </c>
      <c r="S149" t="s">
        <v>37</v>
      </c>
      <c r="T149">
        <v>61.504150000000003</v>
      </c>
      <c r="U149" t="s">
        <v>2611</v>
      </c>
      <c r="V149" t="s">
        <v>2612</v>
      </c>
      <c r="W149">
        <v>23.689119999999999</v>
      </c>
      <c r="X149">
        <v>168000</v>
      </c>
      <c r="Y149" t="s">
        <v>2613</v>
      </c>
      <c r="AA149" t="s">
        <v>808</v>
      </c>
      <c r="AB149" t="s">
        <v>39</v>
      </c>
      <c r="AC149" t="s">
        <v>480</v>
      </c>
      <c r="AD149" t="s">
        <v>40</v>
      </c>
      <c r="AE149" t="s">
        <v>684</v>
      </c>
      <c r="AF149" t="s">
        <v>2614</v>
      </c>
      <c r="AG149" t="s">
        <v>2615</v>
      </c>
      <c r="AH149">
        <v>50.5</v>
      </c>
      <c r="AI149" s="2" t="str">
        <f t="shared" si="10"/>
        <v>Kitchenette</v>
      </c>
      <c r="AJ149" s="2" t="str">
        <f t="shared" si="11"/>
        <v>YES</v>
      </c>
      <c r="AK149" s="1" t="str">
        <f t="shared" si="12"/>
        <v>None</v>
      </c>
      <c r="AL149" s="1" t="str">
        <f t="shared" si="13"/>
        <v>1 Toilet</v>
      </c>
      <c r="AM149" s="1" t="str">
        <f t="shared" si="14"/>
        <v>NO</v>
      </c>
      <c r="AN149" s="1" t="str">
        <f>VLOOKUP(J149, 'Regions and Cities'!A:B, 2, FALSE)</f>
        <v>Pirkanmaa</v>
      </c>
    </row>
    <row r="150" spans="1:40" x14ac:dyDescent="0.3">
      <c r="A150" t="s">
        <v>8234</v>
      </c>
      <c r="B150" t="s">
        <v>8235</v>
      </c>
      <c r="C150" t="s">
        <v>8236</v>
      </c>
      <c r="D150" t="s">
        <v>8237</v>
      </c>
      <c r="E150" t="s">
        <v>8238</v>
      </c>
      <c r="H150">
        <v>83.5</v>
      </c>
      <c r="I150" t="s">
        <v>1552</v>
      </c>
      <c r="J150" t="s">
        <v>137</v>
      </c>
      <c r="K150" t="s">
        <v>8239</v>
      </c>
      <c r="L150" t="s">
        <v>8240</v>
      </c>
      <c r="M150" t="s">
        <v>37</v>
      </c>
      <c r="N150" t="s">
        <v>8241</v>
      </c>
      <c r="O150" t="s">
        <v>8242</v>
      </c>
      <c r="R150" t="s">
        <v>37</v>
      </c>
      <c r="S150" t="s">
        <v>37</v>
      </c>
      <c r="T150">
        <v>60.229723999999997</v>
      </c>
      <c r="U150" t="s">
        <v>8243</v>
      </c>
      <c r="V150" t="s">
        <v>8244</v>
      </c>
      <c r="W150">
        <v>24.899844999999999</v>
      </c>
      <c r="X150">
        <v>339000</v>
      </c>
      <c r="Y150" t="s">
        <v>1228</v>
      </c>
      <c r="AA150" t="s">
        <v>38</v>
      </c>
      <c r="AB150" t="s">
        <v>39</v>
      </c>
      <c r="AC150" t="s">
        <v>6510</v>
      </c>
      <c r="AD150" t="s">
        <v>75</v>
      </c>
      <c r="AE150" t="s">
        <v>8245</v>
      </c>
      <c r="AF150" t="s">
        <v>8246</v>
      </c>
      <c r="AG150" t="s">
        <v>8247</v>
      </c>
      <c r="AH150"/>
      <c r="AI150" s="2" t="str">
        <f t="shared" si="10"/>
        <v>Independent</v>
      </c>
      <c r="AJ150" s="2" t="str">
        <f t="shared" si="11"/>
        <v>NO</v>
      </c>
      <c r="AK150" s="1" t="str">
        <f t="shared" si="12"/>
        <v>Glazed Balcony</v>
      </c>
      <c r="AL150" s="1" t="str">
        <f t="shared" si="13"/>
        <v>1 Toilet</v>
      </c>
      <c r="AM150" s="1" t="str">
        <f t="shared" si="14"/>
        <v>NO</v>
      </c>
      <c r="AN150" s="1" t="str">
        <f>VLOOKUP(J150, 'Regions and Cities'!A:B, 2, FALSE)</f>
        <v>Uusimaa</v>
      </c>
    </row>
    <row r="151" spans="1:40" x14ac:dyDescent="0.3">
      <c r="A151" t="s">
        <v>9101</v>
      </c>
      <c r="B151" t="s">
        <v>9102</v>
      </c>
      <c r="C151" t="s">
        <v>9103</v>
      </c>
      <c r="D151" t="s">
        <v>302</v>
      </c>
      <c r="E151" t="s">
        <v>303</v>
      </c>
      <c r="F151" t="s">
        <v>304</v>
      </c>
      <c r="H151">
        <v>80</v>
      </c>
      <c r="I151" t="s">
        <v>490</v>
      </c>
      <c r="J151" t="s">
        <v>60</v>
      </c>
      <c r="K151" t="s">
        <v>9104</v>
      </c>
      <c r="L151" t="s">
        <v>9105</v>
      </c>
      <c r="M151" t="s">
        <v>37</v>
      </c>
      <c r="N151" t="s">
        <v>9106</v>
      </c>
      <c r="O151" t="s">
        <v>9107</v>
      </c>
      <c r="R151" t="s">
        <v>37</v>
      </c>
      <c r="S151" t="s">
        <v>37</v>
      </c>
      <c r="T151">
        <v>60.99738</v>
      </c>
      <c r="U151" t="s">
        <v>9108</v>
      </c>
      <c r="V151" t="s">
        <v>9109</v>
      </c>
      <c r="W151">
        <v>24.504465</v>
      </c>
      <c r="X151">
        <v>119000</v>
      </c>
      <c r="Y151" t="s">
        <v>297</v>
      </c>
      <c r="AA151" t="s">
        <v>45</v>
      </c>
      <c r="AB151" t="s">
        <v>39</v>
      </c>
      <c r="AC151" t="s">
        <v>6510</v>
      </c>
      <c r="AD151" t="s">
        <v>46</v>
      </c>
      <c r="AE151" t="s">
        <v>9110</v>
      </c>
      <c r="AF151" t="s">
        <v>9111</v>
      </c>
      <c r="AG151" t="s">
        <v>9112</v>
      </c>
      <c r="AH151">
        <v>80</v>
      </c>
      <c r="AI151" s="2" t="str">
        <f t="shared" si="10"/>
        <v>Independent</v>
      </c>
      <c r="AJ151" s="2" t="str">
        <f t="shared" si="11"/>
        <v>NO</v>
      </c>
      <c r="AK151" s="1" t="str">
        <f t="shared" si="12"/>
        <v>Standard Balcony</v>
      </c>
      <c r="AL151" s="1" t="str">
        <f t="shared" si="13"/>
        <v>1 Toilet</v>
      </c>
      <c r="AM151" s="1" t="str">
        <f t="shared" si="14"/>
        <v>NO</v>
      </c>
      <c r="AN151" s="1" t="str">
        <f>VLOOKUP(J151, 'Regions and Cities'!A:B, 2, FALSE)</f>
        <v>Kanta-Häme</v>
      </c>
    </row>
    <row r="152" spans="1:40" x14ac:dyDescent="0.3">
      <c r="A152" t="s">
        <v>7286</v>
      </c>
      <c r="B152" t="s">
        <v>7287</v>
      </c>
      <c r="C152" t="s">
        <v>7288</v>
      </c>
      <c r="D152" t="s">
        <v>535</v>
      </c>
      <c r="E152" t="s">
        <v>536</v>
      </c>
      <c r="F152" t="s">
        <v>79</v>
      </c>
      <c r="G152" t="s">
        <v>537</v>
      </c>
      <c r="H152">
        <v>197</v>
      </c>
      <c r="I152" t="s">
        <v>227</v>
      </c>
      <c r="J152" t="s">
        <v>375</v>
      </c>
      <c r="K152" t="s">
        <v>7289</v>
      </c>
      <c r="L152" t="s">
        <v>7290</v>
      </c>
      <c r="M152" t="s">
        <v>37</v>
      </c>
      <c r="N152" t="s">
        <v>7291</v>
      </c>
      <c r="O152" t="s">
        <v>7292</v>
      </c>
      <c r="P152" t="s">
        <v>7293</v>
      </c>
      <c r="R152" t="s">
        <v>37</v>
      </c>
      <c r="S152" t="s">
        <v>37</v>
      </c>
      <c r="T152">
        <v>61.498891</v>
      </c>
      <c r="U152" t="s">
        <v>7294</v>
      </c>
      <c r="V152" t="s">
        <v>7295</v>
      </c>
      <c r="W152">
        <v>21.913886999999999</v>
      </c>
      <c r="X152">
        <v>235000</v>
      </c>
      <c r="Y152" t="s">
        <v>234</v>
      </c>
      <c r="AA152" t="s">
        <v>63</v>
      </c>
      <c r="AB152" t="s">
        <v>39</v>
      </c>
      <c r="AC152" t="s">
        <v>7296</v>
      </c>
      <c r="AD152" t="s">
        <v>55</v>
      </c>
      <c r="AE152" t="s">
        <v>7297</v>
      </c>
      <c r="AF152" t="s">
        <v>7298</v>
      </c>
      <c r="AG152" t="s">
        <v>7299</v>
      </c>
      <c r="AH152">
        <v>242</v>
      </c>
      <c r="AI152" s="2" t="str">
        <f t="shared" si="10"/>
        <v>Kitchenette</v>
      </c>
      <c r="AJ152" s="2" t="str">
        <f t="shared" si="11"/>
        <v>NO</v>
      </c>
      <c r="AK152" s="1" t="str">
        <f t="shared" si="12"/>
        <v>None</v>
      </c>
      <c r="AL152" s="1" t="str">
        <f t="shared" si="13"/>
        <v>2 Toilets</v>
      </c>
      <c r="AM152" s="1" t="str">
        <f t="shared" si="14"/>
        <v>YES</v>
      </c>
      <c r="AN152" s="1" t="str">
        <f>VLOOKUP(J152, 'Regions and Cities'!A:B, 2, FALSE)</f>
        <v>Satakunta</v>
      </c>
    </row>
    <row r="153" spans="1:40" x14ac:dyDescent="0.3">
      <c r="A153" t="s">
        <v>3470</v>
      </c>
      <c r="B153" t="s">
        <v>3471</v>
      </c>
      <c r="C153" t="s">
        <v>3472</v>
      </c>
      <c r="D153" t="s">
        <v>3473</v>
      </c>
      <c r="E153" t="s">
        <v>3474</v>
      </c>
      <c r="F153" t="s">
        <v>226</v>
      </c>
      <c r="H153">
        <v>62</v>
      </c>
      <c r="I153" t="s">
        <v>119</v>
      </c>
      <c r="J153" t="s">
        <v>126</v>
      </c>
      <c r="K153" t="s">
        <v>3475</v>
      </c>
      <c r="L153" t="s">
        <v>3476</v>
      </c>
      <c r="M153" t="s">
        <v>111</v>
      </c>
      <c r="N153" t="s">
        <v>3477</v>
      </c>
      <c r="O153" t="s">
        <v>3478</v>
      </c>
      <c r="R153" t="s">
        <v>37</v>
      </c>
      <c r="S153" t="s">
        <v>37</v>
      </c>
      <c r="T153">
        <v>60.149209999999997</v>
      </c>
      <c r="U153" t="s">
        <v>3479</v>
      </c>
      <c r="V153" t="s">
        <v>3480</v>
      </c>
      <c r="W153">
        <v>24.690519999999999</v>
      </c>
      <c r="X153">
        <v>200000</v>
      </c>
      <c r="Y153" t="s">
        <v>527</v>
      </c>
      <c r="AA153" t="s">
        <v>38</v>
      </c>
      <c r="AB153" t="s">
        <v>39</v>
      </c>
      <c r="AC153" t="s">
        <v>3481</v>
      </c>
      <c r="AD153" t="s">
        <v>46</v>
      </c>
      <c r="AE153" t="s">
        <v>3482</v>
      </c>
      <c r="AF153" t="s">
        <v>3483</v>
      </c>
      <c r="AG153" t="s">
        <v>3484</v>
      </c>
      <c r="AH153">
        <v>62</v>
      </c>
      <c r="AI153" s="2" t="str">
        <f t="shared" si="10"/>
        <v>Independent</v>
      </c>
      <c r="AJ153" s="2" t="str">
        <f t="shared" si="11"/>
        <v>NO</v>
      </c>
      <c r="AK153" s="1" t="str">
        <f t="shared" si="12"/>
        <v>Glazed Balcony</v>
      </c>
      <c r="AL153" s="1" t="str">
        <f t="shared" si="13"/>
        <v>1 Toilet</v>
      </c>
      <c r="AM153" s="1" t="str">
        <f t="shared" si="14"/>
        <v>NO</v>
      </c>
      <c r="AN153" s="1" t="str">
        <f>VLOOKUP(J153, 'Regions and Cities'!A:B, 2, FALSE)</f>
        <v>Uusimaa</v>
      </c>
    </row>
    <row r="154" spans="1:40" x14ac:dyDescent="0.3">
      <c r="A154" t="s">
        <v>9539</v>
      </c>
      <c r="B154" t="s">
        <v>9540</v>
      </c>
      <c r="C154" t="s">
        <v>9541</v>
      </c>
      <c r="D154" t="s">
        <v>9542</v>
      </c>
      <c r="E154" t="s">
        <v>9543</v>
      </c>
      <c r="F154" t="s">
        <v>9544</v>
      </c>
      <c r="H154">
        <v>33</v>
      </c>
      <c r="I154" t="s">
        <v>174</v>
      </c>
      <c r="J154" t="s">
        <v>441</v>
      </c>
      <c r="K154" t="s">
        <v>9545</v>
      </c>
      <c r="L154" t="s">
        <v>9546</v>
      </c>
      <c r="M154" t="s">
        <v>37</v>
      </c>
      <c r="N154" t="s">
        <v>9547</v>
      </c>
      <c r="O154" t="s">
        <v>9548</v>
      </c>
      <c r="R154" t="s">
        <v>37</v>
      </c>
      <c r="S154" t="s">
        <v>37</v>
      </c>
      <c r="T154">
        <v>63.558190000000003</v>
      </c>
      <c r="U154" t="s">
        <v>9549</v>
      </c>
      <c r="V154" t="s">
        <v>9550</v>
      </c>
      <c r="W154">
        <v>29.105540000000001</v>
      </c>
      <c r="X154">
        <v>23800</v>
      </c>
      <c r="Y154" t="s">
        <v>9551</v>
      </c>
      <c r="AA154" t="s">
        <v>38</v>
      </c>
      <c r="AB154" t="s">
        <v>39</v>
      </c>
      <c r="AC154" t="s">
        <v>6510</v>
      </c>
      <c r="AD154" t="s">
        <v>202</v>
      </c>
      <c r="AE154" t="s">
        <v>9552</v>
      </c>
      <c r="AF154" t="s">
        <v>9553</v>
      </c>
      <c r="AG154" t="s">
        <v>9554</v>
      </c>
      <c r="AH154">
        <v>33</v>
      </c>
      <c r="AI154" s="2" t="str">
        <f t="shared" si="10"/>
        <v>Independent</v>
      </c>
      <c r="AJ154" s="2" t="str">
        <f t="shared" si="11"/>
        <v>NO</v>
      </c>
      <c r="AK154" s="1" t="str">
        <f t="shared" si="12"/>
        <v>Standard Balcony</v>
      </c>
      <c r="AL154" s="1" t="str">
        <f t="shared" si="13"/>
        <v>1 Toilet</v>
      </c>
      <c r="AM154" s="1" t="str">
        <f t="shared" si="14"/>
        <v>NO</v>
      </c>
      <c r="AN154" s="1" t="str">
        <f>VLOOKUP(J154, 'Regions and Cities'!A:B, 2, FALSE)</f>
        <v>Pohjois-Karjala</v>
      </c>
    </row>
    <row r="155" spans="1:40" x14ac:dyDescent="0.3">
      <c r="A155" t="s">
        <v>4127</v>
      </c>
      <c r="B155" t="s">
        <v>4128</v>
      </c>
      <c r="C155" t="s">
        <v>3346</v>
      </c>
      <c r="D155" t="s">
        <v>172</v>
      </c>
      <c r="E155" t="s">
        <v>173</v>
      </c>
      <c r="F155" t="s">
        <v>50</v>
      </c>
      <c r="G155" t="s">
        <v>4129</v>
      </c>
      <c r="H155">
        <v>60.5</v>
      </c>
      <c r="J155" t="s">
        <v>139</v>
      </c>
      <c r="K155" t="s">
        <v>3350</v>
      </c>
      <c r="L155" t="s">
        <v>4130</v>
      </c>
      <c r="M155" t="s">
        <v>37</v>
      </c>
      <c r="N155" t="s">
        <v>4131</v>
      </c>
      <c r="O155" t="s">
        <v>4132</v>
      </c>
      <c r="P155" t="s">
        <v>4133</v>
      </c>
      <c r="R155" t="s">
        <v>37</v>
      </c>
      <c r="S155" t="s">
        <v>37</v>
      </c>
      <c r="T155">
        <v>61.500819999999997</v>
      </c>
      <c r="U155" t="s">
        <v>4134</v>
      </c>
      <c r="V155" t="s">
        <v>4135</v>
      </c>
      <c r="W155">
        <v>23.780760000000001</v>
      </c>
      <c r="X155">
        <v>229000</v>
      </c>
      <c r="Y155" t="s">
        <v>1041</v>
      </c>
      <c r="AA155" t="s">
        <v>38</v>
      </c>
      <c r="AB155" t="s">
        <v>39</v>
      </c>
      <c r="AC155" t="s">
        <v>480</v>
      </c>
      <c r="AD155" t="s">
        <v>40</v>
      </c>
      <c r="AE155" t="s">
        <v>790</v>
      </c>
      <c r="AF155" t="s">
        <v>4136</v>
      </c>
      <c r="AG155" t="s">
        <v>4137</v>
      </c>
      <c r="AH155">
        <v>60.5</v>
      </c>
      <c r="AI155" s="2" t="str">
        <f t="shared" si="10"/>
        <v>Independent</v>
      </c>
      <c r="AJ155" s="2" t="str">
        <f t="shared" si="11"/>
        <v>NO</v>
      </c>
      <c r="AK155" s="1" t="str">
        <f t="shared" si="12"/>
        <v>None</v>
      </c>
      <c r="AL155" s="1" t="str">
        <f t="shared" si="13"/>
        <v>1 Toilet</v>
      </c>
      <c r="AM155" s="1" t="str">
        <f t="shared" si="14"/>
        <v>NO</v>
      </c>
      <c r="AN155" s="1" t="str">
        <f>VLOOKUP(J155, 'Regions and Cities'!A:B, 2, FALSE)</f>
        <v>Pirkanmaa</v>
      </c>
    </row>
    <row r="156" spans="1:40" x14ac:dyDescent="0.3">
      <c r="A156" t="s">
        <v>5554</v>
      </c>
      <c r="B156" t="s">
        <v>5555</v>
      </c>
      <c r="C156" t="s">
        <v>5556</v>
      </c>
      <c r="D156" t="s">
        <v>2353</v>
      </c>
      <c r="E156" t="s">
        <v>2354</v>
      </c>
      <c r="F156" t="s">
        <v>2355</v>
      </c>
      <c r="G156" t="s">
        <v>5557</v>
      </c>
      <c r="H156">
        <v>64.5</v>
      </c>
      <c r="I156" t="s">
        <v>190</v>
      </c>
      <c r="J156" t="s">
        <v>73</v>
      </c>
      <c r="K156" t="s">
        <v>5558</v>
      </c>
      <c r="L156" t="s">
        <v>5559</v>
      </c>
      <c r="M156" t="s">
        <v>37</v>
      </c>
      <c r="N156" t="s">
        <v>5560</v>
      </c>
      <c r="O156" t="s">
        <v>5561</v>
      </c>
      <c r="P156" t="s">
        <v>5562</v>
      </c>
      <c r="Q156" t="s">
        <v>5563</v>
      </c>
      <c r="R156" t="s">
        <v>37</v>
      </c>
      <c r="S156" t="s">
        <v>37</v>
      </c>
      <c r="T156">
        <v>62.245620000000002</v>
      </c>
      <c r="U156" t="s">
        <v>5564</v>
      </c>
      <c r="V156" t="s">
        <v>5565</v>
      </c>
      <c r="W156">
        <v>25.755050000000001</v>
      </c>
      <c r="X156">
        <v>228000</v>
      </c>
      <c r="Y156" t="s">
        <v>3419</v>
      </c>
      <c r="AA156" t="s">
        <v>38</v>
      </c>
      <c r="AB156" t="s">
        <v>39</v>
      </c>
      <c r="AC156" t="s">
        <v>480</v>
      </c>
      <c r="AD156" t="s">
        <v>46</v>
      </c>
      <c r="AE156" t="s">
        <v>3645</v>
      </c>
      <c r="AF156" t="s">
        <v>5566</v>
      </c>
      <c r="AG156" t="s">
        <v>5567</v>
      </c>
      <c r="AH156">
        <v>64.5</v>
      </c>
      <c r="AI156" s="2" t="str">
        <f t="shared" si="10"/>
        <v>Independent</v>
      </c>
      <c r="AJ156" s="2" t="str">
        <f t="shared" si="11"/>
        <v>NO</v>
      </c>
      <c r="AK156" s="1" t="str">
        <f t="shared" si="12"/>
        <v>Glazed Balcony</v>
      </c>
      <c r="AL156" s="1" t="str">
        <f t="shared" si="13"/>
        <v>1 Toilet</v>
      </c>
      <c r="AM156" s="1" t="str">
        <f t="shared" si="14"/>
        <v>NO</v>
      </c>
      <c r="AN156" s="1" t="str">
        <f>VLOOKUP(J156, 'Regions and Cities'!A:B, 2, FALSE)</f>
        <v>Keski-Suomi</v>
      </c>
    </row>
    <row r="157" spans="1:40" x14ac:dyDescent="0.3">
      <c r="A157" t="s">
        <v>5877</v>
      </c>
      <c r="B157" t="s">
        <v>5878</v>
      </c>
      <c r="C157" t="s">
        <v>5879</v>
      </c>
      <c r="D157" t="s">
        <v>84</v>
      </c>
      <c r="E157" t="s">
        <v>85</v>
      </c>
      <c r="F157" t="s">
        <v>79</v>
      </c>
      <c r="G157" t="s">
        <v>5880</v>
      </c>
      <c r="H157">
        <v>82</v>
      </c>
      <c r="I157" t="s">
        <v>490</v>
      </c>
      <c r="J157" t="s">
        <v>414</v>
      </c>
      <c r="K157" t="s">
        <v>1933</v>
      </c>
      <c r="L157" t="s">
        <v>5881</v>
      </c>
      <c r="M157" t="s">
        <v>37</v>
      </c>
      <c r="N157" t="s">
        <v>5882</v>
      </c>
      <c r="O157" t="s">
        <v>5883</v>
      </c>
      <c r="P157" t="s">
        <v>5884</v>
      </c>
      <c r="R157" t="s">
        <v>37</v>
      </c>
      <c r="S157" t="s">
        <v>37</v>
      </c>
      <c r="T157">
        <v>60.435813000000003</v>
      </c>
      <c r="U157" t="s">
        <v>5885</v>
      </c>
      <c r="V157" t="s">
        <v>5886</v>
      </c>
      <c r="W157">
        <v>22.713726000000001</v>
      </c>
      <c r="X157">
        <v>158000</v>
      </c>
      <c r="Y157" t="s">
        <v>5887</v>
      </c>
      <c r="AA157" t="s">
        <v>45</v>
      </c>
      <c r="AB157" t="s">
        <v>39</v>
      </c>
      <c r="AC157" t="s">
        <v>480</v>
      </c>
      <c r="AD157" t="s">
        <v>46</v>
      </c>
      <c r="AE157" t="s">
        <v>196</v>
      </c>
      <c r="AF157" t="s">
        <v>5888</v>
      </c>
      <c r="AG157" t="s">
        <v>5889</v>
      </c>
      <c r="AH157">
        <v>82</v>
      </c>
      <c r="AI157" s="2" t="str">
        <f t="shared" si="10"/>
        <v>Independent</v>
      </c>
      <c r="AJ157" s="2" t="str">
        <f t="shared" si="11"/>
        <v>YES</v>
      </c>
      <c r="AK157" s="1" t="str">
        <f t="shared" si="12"/>
        <v>None</v>
      </c>
      <c r="AL157" s="1" t="str">
        <f t="shared" si="13"/>
        <v>1 Toilet</v>
      </c>
      <c r="AM157" s="1" t="str">
        <f t="shared" si="14"/>
        <v>NO</v>
      </c>
      <c r="AN157" s="1" t="str">
        <f>VLOOKUP(J157, 'Regions and Cities'!A:B, 2, FALSE)</f>
        <v>Varsinais-Suomi</v>
      </c>
    </row>
    <row r="158" spans="1:40" x14ac:dyDescent="0.3">
      <c r="A158" t="s">
        <v>6713</v>
      </c>
      <c r="B158" t="s">
        <v>6714</v>
      </c>
      <c r="C158" t="s">
        <v>6715</v>
      </c>
      <c r="D158" t="s">
        <v>2399</v>
      </c>
      <c r="E158" t="s">
        <v>2400</v>
      </c>
      <c r="F158" t="s">
        <v>2401</v>
      </c>
      <c r="H158">
        <v>150</v>
      </c>
      <c r="I158" t="s">
        <v>925</v>
      </c>
      <c r="J158" t="s">
        <v>376</v>
      </c>
      <c r="K158" t="s">
        <v>6716</v>
      </c>
      <c r="L158" t="s">
        <v>6717</v>
      </c>
      <c r="M158" t="s">
        <v>37</v>
      </c>
      <c r="N158" t="s">
        <v>6718</v>
      </c>
      <c r="O158" t="s">
        <v>6719</v>
      </c>
      <c r="R158" t="s">
        <v>37</v>
      </c>
      <c r="S158" t="s">
        <v>37</v>
      </c>
      <c r="T158">
        <v>61.218179999999997</v>
      </c>
      <c r="U158" t="s">
        <v>6720</v>
      </c>
      <c r="V158" t="s">
        <v>6721</v>
      </c>
      <c r="W158">
        <v>22.309249999999999</v>
      </c>
      <c r="X158">
        <v>74000</v>
      </c>
      <c r="Y158" t="s">
        <v>5403</v>
      </c>
      <c r="AA158" t="s">
        <v>63</v>
      </c>
      <c r="AB158" t="s">
        <v>39</v>
      </c>
      <c r="AC158" t="s">
        <v>6510</v>
      </c>
      <c r="AD158" t="s">
        <v>55</v>
      </c>
      <c r="AE158" t="s">
        <v>6722</v>
      </c>
      <c r="AF158" t="s">
        <v>6723</v>
      </c>
      <c r="AG158" t="s">
        <v>6724</v>
      </c>
      <c r="AH158">
        <v>180</v>
      </c>
      <c r="AI158" s="2" t="str">
        <f t="shared" si="10"/>
        <v>Kitchenette</v>
      </c>
      <c r="AJ158" s="2" t="str">
        <f t="shared" si="11"/>
        <v>YES</v>
      </c>
      <c r="AK158" s="1" t="str">
        <f t="shared" si="12"/>
        <v>None</v>
      </c>
      <c r="AL158" s="1" t="str">
        <f t="shared" si="13"/>
        <v>1 Toilet</v>
      </c>
      <c r="AM158" s="1" t="str">
        <f t="shared" si="14"/>
        <v>YES</v>
      </c>
      <c r="AN158" s="1" t="str">
        <f>VLOOKUP(J158, 'Regions and Cities'!A:B, 2, FALSE)</f>
        <v>Satakunta</v>
      </c>
    </row>
    <row r="159" spans="1:40" x14ac:dyDescent="0.3">
      <c r="A159" t="s">
        <v>8014</v>
      </c>
      <c r="B159" t="s">
        <v>8015</v>
      </c>
      <c r="C159" t="s">
        <v>8016</v>
      </c>
      <c r="D159" t="s">
        <v>8017</v>
      </c>
      <c r="E159" t="s">
        <v>8018</v>
      </c>
      <c r="F159" t="s">
        <v>8019</v>
      </c>
      <c r="H159">
        <v>62.5</v>
      </c>
      <c r="I159" t="s">
        <v>190</v>
      </c>
      <c r="J159" t="s">
        <v>139</v>
      </c>
      <c r="K159" t="s">
        <v>8020</v>
      </c>
      <c r="L159" t="s">
        <v>8021</v>
      </c>
      <c r="M159" t="s">
        <v>37</v>
      </c>
      <c r="N159" t="s">
        <v>8022</v>
      </c>
      <c r="O159" t="s">
        <v>8023</v>
      </c>
      <c r="R159" t="s">
        <v>37</v>
      </c>
      <c r="S159" t="s">
        <v>37</v>
      </c>
      <c r="T159">
        <v>61.464461999999997</v>
      </c>
      <c r="U159" t="s">
        <v>8024</v>
      </c>
      <c r="V159" t="s">
        <v>8025</v>
      </c>
      <c r="W159">
        <v>23.799911000000002</v>
      </c>
      <c r="X159">
        <v>36360.550000000003</v>
      </c>
      <c r="Y159" t="s">
        <v>8026</v>
      </c>
      <c r="AA159" t="s">
        <v>38</v>
      </c>
      <c r="AB159" t="s">
        <v>39</v>
      </c>
      <c r="AC159" t="s">
        <v>6510</v>
      </c>
      <c r="AD159" t="s">
        <v>46</v>
      </c>
      <c r="AE159" t="s">
        <v>140</v>
      </c>
      <c r="AF159" t="s">
        <v>8027</v>
      </c>
      <c r="AG159" t="s">
        <v>8028</v>
      </c>
      <c r="AH159"/>
      <c r="AI159" s="2" t="str">
        <f t="shared" si="10"/>
        <v>Open</v>
      </c>
      <c r="AJ159" s="2" t="str">
        <f t="shared" si="11"/>
        <v>YES</v>
      </c>
      <c r="AK159" s="1" t="str">
        <f t="shared" si="12"/>
        <v>None</v>
      </c>
      <c r="AL159" s="1" t="str">
        <f t="shared" si="13"/>
        <v>1 Toilet</v>
      </c>
      <c r="AM159" s="1" t="str">
        <f t="shared" si="14"/>
        <v>NO</v>
      </c>
      <c r="AN159" s="1" t="str">
        <f>VLOOKUP(J159, 'Regions and Cities'!A:B, 2, FALSE)</f>
        <v>Pirkanmaa</v>
      </c>
    </row>
    <row r="160" spans="1:40" x14ac:dyDescent="0.3">
      <c r="A160" t="s">
        <v>778</v>
      </c>
      <c r="B160" t="s">
        <v>779</v>
      </c>
      <c r="C160" t="s">
        <v>780</v>
      </c>
      <c r="D160" t="s">
        <v>781</v>
      </c>
      <c r="E160" t="s">
        <v>782</v>
      </c>
      <c r="F160" t="s">
        <v>187</v>
      </c>
      <c r="H160">
        <v>55</v>
      </c>
      <c r="I160" t="s">
        <v>239</v>
      </c>
      <c r="J160" t="s">
        <v>347</v>
      </c>
      <c r="K160" t="s">
        <v>783</v>
      </c>
      <c r="L160" t="s">
        <v>784</v>
      </c>
      <c r="M160" t="s">
        <v>37</v>
      </c>
      <c r="N160" t="s">
        <v>785</v>
      </c>
      <c r="O160" t="s">
        <v>786</v>
      </c>
      <c r="R160" t="s">
        <v>37</v>
      </c>
      <c r="S160" t="s">
        <v>37</v>
      </c>
      <c r="T160">
        <v>61.166449999999998</v>
      </c>
      <c r="U160" t="s">
        <v>787</v>
      </c>
      <c r="V160" t="s">
        <v>788</v>
      </c>
      <c r="W160">
        <v>28.79382</v>
      </c>
      <c r="X160">
        <v>24000</v>
      </c>
      <c r="Y160" t="s">
        <v>789</v>
      </c>
      <c r="AA160" t="s">
        <v>38</v>
      </c>
      <c r="AB160" t="s">
        <v>39</v>
      </c>
      <c r="AC160" t="s">
        <v>480</v>
      </c>
      <c r="AD160" t="s">
        <v>40</v>
      </c>
      <c r="AE160" t="s">
        <v>790</v>
      </c>
      <c r="AF160" t="s">
        <v>791</v>
      </c>
      <c r="AG160" t="s">
        <v>792</v>
      </c>
      <c r="AH160">
        <v>55</v>
      </c>
      <c r="AI160" s="2" t="str">
        <f t="shared" si="10"/>
        <v>Independent</v>
      </c>
      <c r="AJ160" s="2" t="str">
        <f t="shared" si="11"/>
        <v>NO</v>
      </c>
      <c r="AK160" s="1" t="str">
        <f t="shared" si="12"/>
        <v>None</v>
      </c>
      <c r="AL160" s="1" t="str">
        <f t="shared" si="13"/>
        <v>1 Toilet</v>
      </c>
      <c r="AM160" s="1" t="str">
        <f t="shared" si="14"/>
        <v>NO</v>
      </c>
      <c r="AN160" s="1" t="str">
        <f>VLOOKUP(J160, 'Regions and Cities'!A:B, 2, FALSE)</f>
        <v>Etelä-Karjala</v>
      </c>
    </row>
    <row r="161" spans="1:40" x14ac:dyDescent="0.3">
      <c r="A161" t="s">
        <v>4653</v>
      </c>
      <c r="B161" t="s">
        <v>4654</v>
      </c>
      <c r="C161" t="s">
        <v>4655</v>
      </c>
      <c r="D161" t="s">
        <v>4656</v>
      </c>
      <c r="E161" t="s">
        <v>4657</v>
      </c>
      <c r="F161" t="s">
        <v>79</v>
      </c>
      <c r="G161" t="s">
        <v>4658</v>
      </c>
      <c r="H161">
        <v>101.5</v>
      </c>
      <c r="I161" t="s">
        <v>119</v>
      </c>
      <c r="J161" t="s">
        <v>407</v>
      </c>
      <c r="K161" t="s">
        <v>4659</v>
      </c>
      <c r="L161" t="s">
        <v>4660</v>
      </c>
      <c r="M161" t="s">
        <v>37</v>
      </c>
      <c r="N161" t="s">
        <v>4661</v>
      </c>
      <c r="O161" t="s">
        <v>4662</v>
      </c>
      <c r="P161" t="s">
        <v>4663</v>
      </c>
      <c r="R161" t="s">
        <v>37</v>
      </c>
      <c r="S161" t="s">
        <v>37</v>
      </c>
      <c r="T161">
        <v>62.347569999999997</v>
      </c>
      <c r="U161" t="s">
        <v>4664</v>
      </c>
      <c r="V161" t="s">
        <v>4665</v>
      </c>
      <c r="W161">
        <v>27.862680000000001</v>
      </c>
      <c r="X161">
        <v>92000</v>
      </c>
      <c r="Y161" t="s">
        <v>4666</v>
      </c>
      <c r="AA161" t="s">
        <v>63</v>
      </c>
      <c r="AB161" t="s">
        <v>39</v>
      </c>
      <c r="AC161" t="s">
        <v>480</v>
      </c>
      <c r="AD161" t="s">
        <v>75</v>
      </c>
      <c r="AE161" t="s">
        <v>4667</v>
      </c>
      <c r="AF161" t="s">
        <v>4668</v>
      </c>
      <c r="AG161" t="s">
        <v>4669</v>
      </c>
      <c r="AH161">
        <v>173</v>
      </c>
      <c r="AI161" s="2" t="str">
        <f t="shared" si="10"/>
        <v>Independent</v>
      </c>
      <c r="AJ161" s="2" t="str">
        <f t="shared" si="11"/>
        <v>NO</v>
      </c>
      <c r="AK161" s="1" t="str">
        <f t="shared" si="12"/>
        <v>None</v>
      </c>
      <c r="AL161" s="1" t="str">
        <f t="shared" si="13"/>
        <v>1 Toilet</v>
      </c>
      <c r="AM161" s="1" t="str">
        <f t="shared" si="14"/>
        <v>NO</v>
      </c>
      <c r="AN161" s="1" t="str">
        <f>VLOOKUP(J161, 'Regions and Cities'!A:B, 2, FALSE)</f>
        <v>Pohjois-Savo</v>
      </c>
    </row>
    <row r="162" spans="1:40" x14ac:dyDescent="0.3">
      <c r="A162" t="s">
        <v>5233</v>
      </c>
      <c r="B162" t="s">
        <v>5234</v>
      </c>
      <c r="C162" t="s">
        <v>160</v>
      </c>
      <c r="D162" t="s">
        <v>5235</v>
      </c>
      <c r="E162" t="s">
        <v>5236</v>
      </c>
      <c r="F162" t="s">
        <v>105</v>
      </c>
      <c r="G162" t="s">
        <v>5237</v>
      </c>
      <c r="H162">
        <v>44</v>
      </c>
      <c r="I162" t="s">
        <v>190</v>
      </c>
      <c r="J162" t="s">
        <v>116</v>
      </c>
      <c r="K162" t="s">
        <v>163</v>
      </c>
      <c r="L162" t="s">
        <v>5238</v>
      </c>
      <c r="M162" t="s">
        <v>37</v>
      </c>
      <c r="N162" t="s">
        <v>5239</v>
      </c>
      <c r="O162" t="s">
        <v>5240</v>
      </c>
      <c r="P162" t="s">
        <v>5241</v>
      </c>
      <c r="R162" t="s">
        <v>37</v>
      </c>
      <c r="S162" t="s">
        <v>37</v>
      </c>
      <c r="T162">
        <v>60.261550999999997</v>
      </c>
      <c r="U162" t="s">
        <v>5242</v>
      </c>
      <c r="V162" t="s">
        <v>5243</v>
      </c>
      <c r="W162">
        <v>24.851379000000001</v>
      </c>
      <c r="X162">
        <v>198000</v>
      </c>
      <c r="Y162" t="s">
        <v>267</v>
      </c>
      <c r="AA162" t="s">
        <v>38</v>
      </c>
      <c r="AB162" t="s">
        <v>39</v>
      </c>
      <c r="AC162" t="s">
        <v>480</v>
      </c>
      <c r="AD162" t="s">
        <v>40</v>
      </c>
      <c r="AE162" t="s">
        <v>5244</v>
      </c>
      <c r="AF162" t="s">
        <v>5245</v>
      </c>
      <c r="AG162" t="s">
        <v>5246</v>
      </c>
      <c r="AH162">
        <v>44</v>
      </c>
      <c r="AI162" s="2" t="str">
        <f t="shared" si="10"/>
        <v>Independent</v>
      </c>
      <c r="AJ162" s="2" t="str">
        <f t="shared" si="11"/>
        <v>NO</v>
      </c>
      <c r="AK162" s="1" t="str">
        <f t="shared" si="12"/>
        <v>Glazed Balcony</v>
      </c>
      <c r="AL162" s="1" t="str">
        <f t="shared" si="13"/>
        <v>1 Toilet</v>
      </c>
      <c r="AM162" s="1" t="str">
        <f t="shared" si="14"/>
        <v>YES</v>
      </c>
      <c r="AN162" s="1" t="str">
        <f>VLOOKUP(J162, 'Regions and Cities'!A:B, 2, FALSE)</f>
        <v>Uusimaa</v>
      </c>
    </row>
    <row r="163" spans="1:40" x14ac:dyDescent="0.3">
      <c r="A163" t="s">
        <v>6061</v>
      </c>
      <c r="B163" t="s">
        <v>6062</v>
      </c>
      <c r="C163" t="s">
        <v>3137</v>
      </c>
      <c r="D163" t="s">
        <v>487</v>
      </c>
      <c r="E163" t="s">
        <v>488</v>
      </c>
      <c r="F163" t="s">
        <v>50</v>
      </c>
      <c r="G163" t="s">
        <v>489</v>
      </c>
      <c r="H163">
        <v>72</v>
      </c>
      <c r="I163" t="s">
        <v>43</v>
      </c>
      <c r="J163" t="s">
        <v>340</v>
      </c>
      <c r="K163" t="s">
        <v>3138</v>
      </c>
      <c r="L163" t="s">
        <v>6063</v>
      </c>
      <c r="M163" t="s">
        <v>37</v>
      </c>
      <c r="N163" t="s">
        <v>6064</v>
      </c>
      <c r="O163" t="s">
        <v>6065</v>
      </c>
      <c r="P163" t="s">
        <v>6066</v>
      </c>
      <c r="R163" t="s">
        <v>37</v>
      </c>
      <c r="S163" t="s">
        <v>37</v>
      </c>
      <c r="T163">
        <v>60.37914</v>
      </c>
      <c r="U163" t="s">
        <v>6067</v>
      </c>
      <c r="V163" t="s">
        <v>6068</v>
      </c>
      <c r="W163">
        <v>25.26952</v>
      </c>
      <c r="X163">
        <v>199000</v>
      </c>
      <c r="Y163" t="s">
        <v>53</v>
      </c>
      <c r="AA163" t="s">
        <v>38</v>
      </c>
      <c r="AB163" t="s">
        <v>39</v>
      </c>
      <c r="AC163" t="s">
        <v>480</v>
      </c>
      <c r="AD163" t="s">
        <v>46</v>
      </c>
      <c r="AE163" t="s">
        <v>196</v>
      </c>
      <c r="AF163" t="s">
        <v>6069</v>
      </c>
      <c r="AG163" t="s">
        <v>6070</v>
      </c>
      <c r="AH163">
        <v>76</v>
      </c>
      <c r="AI163" s="2" t="str">
        <f t="shared" si="10"/>
        <v>Independent</v>
      </c>
      <c r="AJ163" s="2" t="str">
        <f t="shared" si="11"/>
        <v>YES</v>
      </c>
      <c r="AK163" s="1" t="str">
        <f t="shared" si="12"/>
        <v>None</v>
      </c>
      <c r="AL163" s="1" t="str">
        <f t="shared" si="13"/>
        <v>1 Toilet</v>
      </c>
      <c r="AM163" s="1" t="str">
        <f t="shared" si="14"/>
        <v>NO</v>
      </c>
      <c r="AN163" s="1" t="str">
        <f>VLOOKUP(J163, 'Regions and Cities'!A:B, 2, FALSE)</f>
        <v>Uusimaa</v>
      </c>
    </row>
    <row r="164" spans="1:40" x14ac:dyDescent="0.3">
      <c r="A164" t="s">
        <v>4979</v>
      </c>
      <c r="B164" t="s">
        <v>4980</v>
      </c>
      <c r="C164" t="s">
        <v>373</v>
      </c>
      <c r="D164" t="s">
        <v>1988</v>
      </c>
      <c r="E164" t="s">
        <v>1989</v>
      </c>
      <c r="H164">
        <v>82.5</v>
      </c>
      <c r="I164" t="s">
        <v>454</v>
      </c>
      <c r="J164" t="s">
        <v>373</v>
      </c>
      <c r="L164" t="s">
        <v>4981</v>
      </c>
      <c r="M164" t="s">
        <v>37</v>
      </c>
      <c r="N164" t="s">
        <v>4982</v>
      </c>
      <c r="O164" t="s">
        <v>4983</v>
      </c>
      <c r="R164" t="s">
        <v>37</v>
      </c>
      <c r="S164" t="s">
        <v>37</v>
      </c>
      <c r="T164">
        <v>60.879370000000002</v>
      </c>
      <c r="U164" t="s">
        <v>4984</v>
      </c>
      <c r="V164" t="s">
        <v>4985</v>
      </c>
      <c r="W164">
        <v>21.691220000000001</v>
      </c>
      <c r="X164">
        <v>170000</v>
      </c>
      <c r="Y164" t="s">
        <v>4986</v>
      </c>
      <c r="AA164" t="s">
        <v>38</v>
      </c>
      <c r="AB164" t="s">
        <v>39</v>
      </c>
      <c r="AC164" t="s">
        <v>480</v>
      </c>
      <c r="AD164" t="s">
        <v>46</v>
      </c>
      <c r="AE164" t="s">
        <v>196</v>
      </c>
      <c r="AF164" t="s">
        <v>4987</v>
      </c>
      <c r="AG164" t="s">
        <v>4988</v>
      </c>
      <c r="AH164">
        <v>82.5</v>
      </c>
      <c r="AI164" s="2" t="str">
        <f t="shared" si="10"/>
        <v>Independent</v>
      </c>
      <c r="AJ164" s="2" t="str">
        <f t="shared" si="11"/>
        <v>YES</v>
      </c>
      <c r="AK164" s="1" t="str">
        <f t="shared" si="12"/>
        <v>None</v>
      </c>
      <c r="AL164" s="1" t="str">
        <f t="shared" si="13"/>
        <v>1 Toilet</v>
      </c>
      <c r="AM164" s="1" t="str">
        <f t="shared" si="14"/>
        <v>NO</v>
      </c>
      <c r="AN164" s="1" t="str">
        <f>VLOOKUP(J164, 'Regions and Cities'!A:B, 2, FALSE)</f>
        <v>Varsinais-Suomi</v>
      </c>
    </row>
    <row r="165" spans="1:40" x14ac:dyDescent="0.3">
      <c r="A165" t="s">
        <v>4716</v>
      </c>
      <c r="B165" t="s">
        <v>4717</v>
      </c>
      <c r="C165" t="s">
        <v>4718</v>
      </c>
      <c r="D165" t="s">
        <v>3548</v>
      </c>
      <c r="E165" t="s">
        <v>3549</v>
      </c>
      <c r="F165" t="s">
        <v>79</v>
      </c>
      <c r="H165">
        <v>105</v>
      </c>
      <c r="I165" t="s">
        <v>4719</v>
      </c>
      <c r="J165" t="s">
        <v>36</v>
      </c>
      <c r="K165" t="s">
        <v>4720</v>
      </c>
      <c r="L165" t="s">
        <v>4721</v>
      </c>
      <c r="M165" t="s">
        <v>37</v>
      </c>
      <c r="N165" t="s">
        <v>4722</v>
      </c>
      <c r="O165" t="s">
        <v>4723</v>
      </c>
      <c r="P165" t="s">
        <v>4724</v>
      </c>
      <c r="Q165" t="s">
        <v>4725</v>
      </c>
      <c r="R165" t="s">
        <v>37</v>
      </c>
      <c r="S165" t="s">
        <v>37</v>
      </c>
      <c r="T165">
        <v>60.398207999999997</v>
      </c>
      <c r="U165" t="s">
        <v>4726</v>
      </c>
      <c r="V165" t="s">
        <v>4727</v>
      </c>
      <c r="W165">
        <v>25.66018</v>
      </c>
      <c r="X165">
        <v>480000</v>
      </c>
      <c r="Y165" t="s">
        <v>4728</v>
      </c>
      <c r="AA165" t="s">
        <v>63</v>
      </c>
      <c r="AB165" t="s">
        <v>39</v>
      </c>
      <c r="AC165" t="s">
        <v>480</v>
      </c>
      <c r="AD165">
        <v>3</v>
      </c>
      <c r="AE165" t="s">
        <v>4729</v>
      </c>
      <c r="AF165" t="s">
        <v>4730</v>
      </c>
      <c r="AG165" t="s">
        <v>4731</v>
      </c>
      <c r="AH165">
        <v>216</v>
      </c>
      <c r="AI165" s="2" t="str">
        <f t="shared" si="10"/>
        <v>Independent</v>
      </c>
      <c r="AJ165" s="2" t="str">
        <f t="shared" si="11"/>
        <v>NO</v>
      </c>
      <c r="AK165" s="1" t="str">
        <f t="shared" si="12"/>
        <v>None</v>
      </c>
      <c r="AL165" s="1" t="str">
        <f t="shared" si="13"/>
        <v>1 Toilet</v>
      </c>
      <c r="AM165" s="1" t="str">
        <f t="shared" si="14"/>
        <v>NO</v>
      </c>
      <c r="AN165" s="1" t="str">
        <f>VLOOKUP(J165, 'Regions and Cities'!A:B, 2, FALSE)</f>
        <v>Uusimaa</v>
      </c>
    </row>
    <row r="166" spans="1:40" x14ac:dyDescent="0.3">
      <c r="A166" t="s">
        <v>1488</v>
      </c>
      <c r="B166" t="s">
        <v>1489</v>
      </c>
      <c r="C166" t="s">
        <v>1490</v>
      </c>
      <c r="D166" t="s">
        <v>1491</v>
      </c>
      <c r="E166" t="s">
        <v>1492</v>
      </c>
      <c r="F166" t="s">
        <v>1493</v>
      </c>
      <c r="H166">
        <v>51</v>
      </c>
      <c r="I166" t="s">
        <v>96</v>
      </c>
      <c r="J166" t="s">
        <v>110</v>
      </c>
      <c r="K166" t="s">
        <v>1494</v>
      </c>
      <c r="L166" t="s">
        <v>1495</v>
      </c>
      <c r="M166" t="s">
        <v>37</v>
      </c>
      <c r="N166" t="s">
        <v>1496</v>
      </c>
      <c r="O166" t="s">
        <v>1497</v>
      </c>
      <c r="R166" t="s">
        <v>37</v>
      </c>
      <c r="S166" t="s">
        <v>37</v>
      </c>
      <c r="T166">
        <v>60.442174000000001</v>
      </c>
      <c r="U166" t="s">
        <v>1498</v>
      </c>
      <c r="V166" t="s">
        <v>1499</v>
      </c>
      <c r="W166">
        <v>22.252157</v>
      </c>
      <c r="X166">
        <v>169000</v>
      </c>
      <c r="Y166" t="s">
        <v>1088</v>
      </c>
      <c r="AA166" t="s">
        <v>38</v>
      </c>
      <c r="AB166" t="s">
        <v>39</v>
      </c>
      <c r="AC166" t="s">
        <v>480</v>
      </c>
      <c r="AD166" t="s">
        <v>40</v>
      </c>
      <c r="AE166" t="s">
        <v>1500</v>
      </c>
      <c r="AF166" t="s">
        <v>1501</v>
      </c>
      <c r="AG166" t="s">
        <v>1502</v>
      </c>
      <c r="AH166">
        <v>51</v>
      </c>
      <c r="AI166" s="2" t="str">
        <f t="shared" si="10"/>
        <v>Independent</v>
      </c>
      <c r="AJ166" s="2" t="str">
        <f t="shared" si="11"/>
        <v>NO</v>
      </c>
      <c r="AK166" s="1" t="str">
        <f t="shared" si="12"/>
        <v>Glazed Balcony</v>
      </c>
      <c r="AL166" s="1" t="str">
        <f t="shared" si="13"/>
        <v>1 Toilet</v>
      </c>
      <c r="AM166" s="1" t="str">
        <f t="shared" si="14"/>
        <v>NO</v>
      </c>
      <c r="AN166" s="1" t="str">
        <f>VLOOKUP(J166, 'Regions and Cities'!A:B, 2, FALSE)</f>
        <v>Varsinais-Suomi</v>
      </c>
    </row>
    <row r="167" spans="1:40" x14ac:dyDescent="0.3">
      <c r="A167" t="s">
        <v>9113</v>
      </c>
      <c r="B167" t="s">
        <v>9114</v>
      </c>
      <c r="C167" t="s">
        <v>9115</v>
      </c>
      <c r="D167" t="s">
        <v>9116</v>
      </c>
      <c r="E167" t="s">
        <v>9117</v>
      </c>
      <c r="F167" t="s">
        <v>9118</v>
      </c>
      <c r="H167">
        <v>75.5</v>
      </c>
      <c r="I167" t="s">
        <v>181</v>
      </c>
      <c r="J167" t="s">
        <v>110</v>
      </c>
      <c r="K167" t="s">
        <v>9119</v>
      </c>
      <c r="L167" t="s">
        <v>9120</v>
      </c>
      <c r="M167" t="s">
        <v>37</v>
      </c>
      <c r="N167" t="s">
        <v>9121</v>
      </c>
      <c r="O167" t="s">
        <v>9122</v>
      </c>
      <c r="R167" t="s">
        <v>37</v>
      </c>
      <c r="S167" t="s">
        <v>37</v>
      </c>
      <c r="T167">
        <v>60.437019999999997</v>
      </c>
      <c r="U167" t="s">
        <v>9123</v>
      </c>
      <c r="V167" t="s">
        <v>9124</v>
      </c>
      <c r="W167">
        <v>22.242239999999999</v>
      </c>
      <c r="X167">
        <v>500000</v>
      </c>
      <c r="Y167" t="s">
        <v>9125</v>
      </c>
      <c r="AA167" t="s">
        <v>38</v>
      </c>
      <c r="AB167" t="s">
        <v>39</v>
      </c>
      <c r="AC167" t="s">
        <v>9126</v>
      </c>
      <c r="AD167" t="s">
        <v>40</v>
      </c>
      <c r="AE167" t="s">
        <v>9127</v>
      </c>
      <c r="AF167" t="s">
        <v>9128</v>
      </c>
      <c r="AG167" t="s">
        <v>9129</v>
      </c>
      <c r="AH167">
        <v>75.5</v>
      </c>
      <c r="AI167" s="2" t="str">
        <f t="shared" si="10"/>
        <v>Open</v>
      </c>
      <c r="AJ167" s="2" t="str">
        <f t="shared" si="11"/>
        <v>YES</v>
      </c>
      <c r="AK167" s="1" t="str">
        <f t="shared" si="12"/>
        <v>Terrace</v>
      </c>
      <c r="AL167" s="1" t="str">
        <f t="shared" si="13"/>
        <v>1 Toilet</v>
      </c>
      <c r="AM167" s="1" t="str">
        <f t="shared" si="14"/>
        <v>NO</v>
      </c>
      <c r="AN167" s="1" t="str">
        <f>VLOOKUP(J167, 'Regions and Cities'!A:B, 2, FALSE)</f>
        <v>Varsinais-Suomi</v>
      </c>
    </row>
    <row r="168" spans="1:40" x14ac:dyDescent="0.3">
      <c r="A168" t="s">
        <v>2296</v>
      </c>
      <c r="B168" t="s">
        <v>2297</v>
      </c>
      <c r="C168" t="s">
        <v>2298</v>
      </c>
      <c r="D168" t="s">
        <v>2151</v>
      </c>
      <c r="E168" t="s">
        <v>2152</v>
      </c>
      <c r="F168" t="s">
        <v>79</v>
      </c>
      <c r="G168" t="s">
        <v>2299</v>
      </c>
      <c r="H168">
        <v>126</v>
      </c>
      <c r="I168" t="s">
        <v>454</v>
      </c>
      <c r="J168" t="s">
        <v>137</v>
      </c>
      <c r="K168" t="s">
        <v>2300</v>
      </c>
      <c r="L168" t="s">
        <v>2301</v>
      </c>
      <c r="M168" t="s">
        <v>37</v>
      </c>
      <c r="N168" t="s">
        <v>2302</v>
      </c>
      <c r="O168" t="s">
        <v>2303</v>
      </c>
      <c r="P168" t="s">
        <v>2304</v>
      </c>
      <c r="Q168" t="s">
        <v>2305</v>
      </c>
      <c r="R168" t="s">
        <v>37</v>
      </c>
      <c r="S168" t="s">
        <v>37</v>
      </c>
      <c r="T168">
        <v>60.183974999999997</v>
      </c>
      <c r="U168" t="s">
        <v>2306</v>
      </c>
      <c r="V168" t="s">
        <v>2307</v>
      </c>
      <c r="W168">
        <v>25.049987999999999</v>
      </c>
      <c r="X168">
        <v>729000</v>
      </c>
      <c r="Y168" t="s">
        <v>2308</v>
      </c>
      <c r="AA168" t="s">
        <v>63</v>
      </c>
      <c r="AB168" t="s">
        <v>39</v>
      </c>
      <c r="AC168" t="s">
        <v>480</v>
      </c>
      <c r="AD168" t="s">
        <v>55</v>
      </c>
      <c r="AE168" t="s">
        <v>2309</v>
      </c>
      <c r="AF168" t="s">
        <v>2310</v>
      </c>
      <c r="AG168" t="s">
        <v>2311</v>
      </c>
      <c r="AH168">
        <v>236.5</v>
      </c>
      <c r="AI168" s="2" t="str">
        <f t="shared" si="10"/>
        <v>Independent</v>
      </c>
      <c r="AJ168" s="2" t="str">
        <f t="shared" si="11"/>
        <v>NO</v>
      </c>
      <c r="AK168" s="1" t="str">
        <f t="shared" si="12"/>
        <v>None</v>
      </c>
      <c r="AL168" s="1" t="str">
        <f t="shared" si="13"/>
        <v>1 Toilet</v>
      </c>
      <c r="AM168" s="1" t="str">
        <f t="shared" si="14"/>
        <v>NO</v>
      </c>
      <c r="AN168" s="1" t="str">
        <f>VLOOKUP(J168, 'Regions and Cities'!A:B, 2, FALSE)</f>
        <v>Uusimaa</v>
      </c>
    </row>
    <row r="169" spans="1:40" x14ac:dyDescent="0.3">
      <c r="A169" t="s">
        <v>2312</v>
      </c>
      <c r="B169" t="s">
        <v>2313</v>
      </c>
      <c r="C169" t="s">
        <v>2314</v>
      </c>
      <c r="D169" t="s">
        <v>1667</v>
      </c>
      <c r="E169" t="s">
        <v>1668</v>
      </c>
      <c r="F169" t="s">
        <v>105</v>
      </c>
      <c r="G169" t="s">
        <v>1669</v>
      </c>
      <c r="H169">
        <v>60</v>
      </c>
      <c r="I169" t="s">
        <v>2283</v>
      </c>
      <c r="J169" t="s">
        <v>378</v>
      </c>
      <c r="K169" t="s">
        <v>2315</v>
      </c>
      <c r="L169" t="s">
        <v>2316</v>
      </c>
      <c r="M169" t="s">
        <v>37</v>
      </c>
      <c r="N169" t="s">
        <v>2317</v>
      </c>
      <c r="O169" t="s">
        <v>2318</v>
      </c>
      <c r="P169" t="s">
        <v>2319</v>
      </c>
      <c r="Q169" t="s">
        <v>2320</v>
      </c>
      <c r="R169" t="s">
        <v>37</v>
      </c>
      <c r="S169" t="s">
        <v>37</v>
      </c>
      <c r="T169">
        <v>62.022233</v>
      </c>
      <c r="U169" t="s">
        <v>2321</v>
      </c>
      <c r="V169" t="s">
        <v>2322</v>
      </c>
      <c r="W169">
        <v>27.213716999999999</v>
      </c>
      <c r="X169">
        <v>20000</v>
      </c>
      <c r="Y169" t="s">
        <v>2323</v>
      </c>
      <c r="AA169" t="s">
        <v>45</v>
      </c>
      <c r="AB169" t="s">
        <v>39</v>
      </c>
      <c r="AC169" t="s">
        <v>2324</v>
      </c>
      <c r="AD169" t="s">
        <v>40</v>
      </c>
      <c r="AE169" t="s">
        <v>209</v>
      </c>
      <c r="AF169" t="s">
        <v>2325</v>
      </c>
      <c r="AG169" t="s">
        <v>2326</v>
      </c>
      <c r="AH169">
        <v>60</v>
      </c>
      <c r="AI169" s="2" t="str">
        <f t="shared" si="10"/>
        <v>Independent</v>
      </c>
      <c r="AJ169" s="2" t="str">
        <f t="shared" si="11"/>
        <v>NO</v>
      </c>
      <c r="AK169" s="1" t="str">
        <f t="shared" si="12"/>
        <v>None</v>
      </c>
      <c r="AL169" s="1" t="str">
        <f t="shared" si="13"/>
        <v>1 Toilet</v>
      </c>
      <c r="AM169" s="1" t="str">
        <f t="shared" si="14"/>
        <v>NO</v>
      </c>
      <c r="AN169" s="1" t="str">
        <f>VLOOKUP(J169, 'Regions and Cities'!A:B, 2, FALSE)</f>
        <v>Etelä-Savo</v>
      </c>
    </row>
    <row r="170" spans="1:40" x14ac:dyDescent="0.3">
      <c r="A170" t="s">
        <v>6414</v>
      </c>
      <c r="B170" t="s">
        <v>6415</v>
      </c>
      <c r="C170" t="s">
        <v>146</v>
      </c>
      <c r="D170" t="s">
        <v>6416</v>
      </c>
      <c r="E170" t="s">
        <v>6417</v>
      </c>
      <c r="F170" t="s">
        <v>50</v>
      </c>
      <c r="G170" t="s">
        <v>6418</v>
      </c>
      <c r="H170">
        <v>81.5</v>
      </c>
      <c r="I170" t="s">
        <v>3652</v>
      </c>
      <c r="J170" t="s">
        <v>126</v>
      </c>
      <c r="K170" t="s">
        <v>148</v>
      </c>
      <c r="L170" t="s">
        <v>6419</v>
      </c>
      <c r="M170" t="s">
        <v>37</v>
      </c>
      <c r="N170" t="s">
        <v>6420</v>
      </c>
      <c r="O170" t="s">
        <v>6421</v>
      </c>
      <c r="P170" t="s">
        <v>6422</v>
      </c>
      <c r="R170" t="s">
        <v>37</v>
      </c>
      <c r="S170" t="s">
        <v>37</v>
      </c>
      <c r="T170">
        <v>60.228720000000003</v>
      </c>
      <c r="U170" t="s">
        <v>6423</v>
      </c>
      <c r="V170" t="s">
        <v>6424</v>
      </c>
      <c r="W170">
        <v>24.707699999999999</v>
      </c>
      <c r="X170">
        <v>349000</v>
      </c>
      <c r="Y170" t="s">
        <v>284</v>
      </c>
      <c r="AA170" t="s">
        <v>63</v>
      </c>
      <c r="AB170" t="s">
        <v>39</v>
      </c>
      <c r="AC170" t="s">
        <v>480</v>
      </c>
      <c r="AD170" t="s">
        <v>46</v>
      </c>
      <c r="AE170" t="s">
        <v>6425</v>
      </c>
      <c r="AF170" t="s">
        <v>6426</v>
      </c>
      <c r="AG170" t="s">
        <v>6427</v>
      </c>
      <c r="AH170">
        <v>81.5</v>
      </c>
      <c r="AI170" s="2" t="str">
        <f t="shared" si="10"/>
        <v>Independent</v>
      </c>
      <c r="AJ170" s="2" t="str">
        <f t="shared" si="11"/>
        <v>YES</v>
      </c>
      <c r="AK170" s="1" t="str">
        <f t="shared" si="12"/>
        <v>Terrace</v>
      </c>
      <c r="AL170" s="1" t="str">
        <f t="shared" si="13"/>
        <v>1 Toilet</v>
      </c>
      <c r="AM170" s="1" t="str">
        <f t="shared" si="14"/>
        <v>NO</v>
      </c>
      <c r="AN170" s="1" t="str">
        <f>VLOOKUP(J170, 'Regions and Cities'!A:B, 2, FALSE)</f>
        <v>Uusimaa</v>
      </c>
    </row>
    <row r="171" spans="1:40" x14ac:dyDescent="0.3">
      <c r="A171" t="s">
        <v>2437</v>
      </c>
      <c r="B171" t="s">
        <v>2438</v>
      </c>
      <c r="C171" t="s">
        <v>2439</v>
      </c>
      <c r="D171" t="s">
        <v>2440</v>
      </c>
      <c r="E171" t="s">
        <v>2441</v>
      </c>
      <c r="F171" t="s">
        <v>34</v>
      </c>
      <c r="H171">
        <v>46</v>
      </c>
      <c r="I171" t="s">
        <v>189</v>
      </c>
      <c r="J171" t="s">
        <v>367</v>
      </c>
      <c r="K171" t="s">
        <v>2442</v>
      </c>
      <c r="L171" t="s">
        <v>2443</v>
      </c>
      <c r="M171" t="s">
        <v>37</v>
      </c>
      <c r="N171" t="s">
        <v>2444</v>
      </c>
      <c r="O171" t="s">
        <v>2445</v>
      </c>
      <c r="R171" t="s">
        <v>37</v>
      </c>
      <c r="S171" t="s">
        <v>37</v>
      </c>
      <c r="T171">
        <v>60.408501000000001</v>
      </c>
      <c r="U171" t="s">
        <v>2446</v>
      </c>
      <c r="V171" t="s">
        <v>2447</v>
      </c>
      <c r="W171">
        <v>22.395382000000001</v>
      </c>
      <c r="X171">
        <v>28811.23</v>
      </c>
      <c r="Y171" t="s">
        <v>2448</v>
      </c>
      <c r="AA171" t="s">
        <v>38</v>
      </c>
      <c r="AB171" t="s">
        <v>39</v>
      </c>
      <c r="AC171" t="s">
        <v>2449</v>
      </c>
      <c r="AD171" t="s">
        <v>40</v>
      </c>
      <c r="AE171" t="s">
        <v>151</v>
      </c>
      <c r="AF171" t="s">
        <v>2450</v>
      </c>
      <c r="AG171" t="s">
        <v>2451</v>
      </c>
      <c r="AH171">
        <v>46</v>
      </c>
      <c r="AI171" s="2" t="str">
        <f t="shared" si="10"/>
        <v>Open</v>
      </c>
      <c r="AJ171" s="2" t="str">
        <f t="shared" si="11"/>
        <v>NO</v>
      </c>
      <c r="AK171" s="1" t="str">
        <f t="shared" si="12"/>
        <v>None</v>
      </c>
      <c r="AL171" s="1" t="str">
        <f t="shared" si="13"/>
        <v>1 Toilet</v>
      </c>
      <c r="AM171" s="1" t="str">
        <f t="shared" si="14"/>
        <v>NO</v>
      </c>
      <c r="AN171" s="1" t="str">
        <f>VLOOKUP(J171, 'Regions and Cities'!A:B, 2, FALSE)</f>
        <v>Varsinais-Suomi</v>
      </c>
    </row>
    <row r="172" spans="1:40" x14ac:dyDescent="0.3">
      <c r="A172" t="s">
        <v>2452</v>
      </c>
      <c r="B172" t="s">
        <v>2453</v>
      </c>
      <c r="C172" t="s">
        <v>2439</v>
      </c>
      <c r="D172" t="s">
        <v>2440</v>
      </c>
      <c r="E172" t="s">
        <v>2441</v>
      </c>
      <c r="F172" t="s">
        <v>34</v>
      </c>
      <c r="H172">
        <v>48</v>
      </c>
      <c r="I172" t="s">
        <v>189</v>
      </c>
      <c r="J172" t="s">
        <v>367</v>
      </c>
      <c r="K172" t="s">
        <v>2442</v>
      </c>
      <c r="L172" t="s">
        <v>2454</v>
      </c>
      <c r="M172" t="s">
        <v>37</v>
      </c>
      <c r="N172" t="s">
        <v>2455</v>
      </c>
      <c r="O172" t="s">
        <v>2456</v>
      </c>
      <c r="R172" t="s">
        <v>37</v>
      </c>
      <c r="S172" t="s">
        <v>37</v>
      </c>
      <c r="T172">
        <v>60.408501000000001</v>
      </c>
      <c r="U172" t="s">
        <v>2457</v>
      </c>
      <c r="V172" t="s">
        <v>2458</v>
      </c>
      <c r="W172">
        <v>22.395382000000001</v>
      </c>
      <c r="X172">
        <v>30716.59</v>
      </c>
      <c r="Y172" t="s">
        <v>2459</v>
      </c>
      <c r="AA172" t="s">
        <v>38</v>
      </c>
      <c r="AB172" t="s">
        <v>39</v>
      </c>
      <c r="AC172" t="s">
        <v>2460</v>
      </c>
      <c r="AD172" t="s">
        <v>40</v>
      </c>
      <c r="AE172" t="s">
        <v>2461</v>
      </c>
      <c r="AF172" t="s">
        <v>2462</v>
      </c>
      <c r="AG172" t="s">
        <v>2463</v>
      </c>
      <c r="AH172">
        <v>48</v>
      </c>
      <c r="AI172" s="2" t="str">
        <f t="shared" si="10"/>
        <v>Open</v>
      </c>
      <c r="AJ172" s="2" t="str">
        <f t="shared" si="11"/>
        <v>YES</v>
      </c>
      <c r="AK172" s="1" t="str">
        <f t="shared" si="12"/>
        <v>None</v>
      </c>
      <c r="AL172" s="1" t="str">
        <f t="shared" si="13"/>
        <v>1 Toilet</v>
      </c>
      <c r="AM172" s="1" t="str">
        <f t="shared" si="14"/>
        <v>NO</v>
      </c>
      <c r="AN172" s="1" t="str">
        <f>VLOOKUP(J172, 'Regions and Cities'!A:B, 2, FALSE)</f>
        <v>Varsinais-Suomi</v>
      </c>
    </row>
    <row r="173" spans="1:40" x14ac:dyDescent="0.3">
      <c r="A173" t="s">
        <v>4775</v>
      </c>
      <c r="B173" t="s">
        <v>4776</v>
      </c>
      <c r="C173" t="s">
        <v>4777</v>
      </c>
      <c r="D173" t="s">
        <v>4778</v>
      </c>
      <c r="E173" t="s">
        <v>4779</v>
      </c>
      <c r="F173" t="s">
        <v>4780</v>
      </c>
      <c r="H173">
        <v>77</v>
      </c>
      <c r="I173" t="s">
        <v>72</v>
      </c>
      <c r="J173" t="s">
        <v>354</v>
      </c>
      <c r="K173" t="s">
        <v>4781</v>
      </c>
      <c r="L173" t="s">
        <v>4782</v>
      </c>
      <c r="M173" t="s">
        <v>37</v>
      </c>
      <c r="N173" t="s">
        <v>4783</v>
      </c>
      <c r="O173" t="s">
        <v>4784</v>
      </c>
      <c r="R173" t="s">
        <v>37</v>
      </c>
      <c r="S173" t="s">
        <v>37</v>
      </c>
      <c r="T173">
        <v>60.735798000000003</v>
      </c>
      <c r="U173" t="s">
        <v>4785</v>
      </c>
      <c r="V173" t="s">
        <v>4786</v>
      </c>
      <c r="W173">
        <v>24.766099000000001</v>
      </c>
      <c r="X173">
        <v>115000</v>
      </c>
      <c r="Y173" t="s">
        <v>4787</v>
      </c>
      <c r="AA173" t="s">
        <v>38</v>
      </c>
      <c r="AB173" t="s">
        <v>39</v>
      </c>
      <c r="AC173" t="s">
        <v>480</v>
      </c>
      <c r="AD173" t="s">
        <v>46</v>
      </c>
      <c r="AE173" t="s">
        <v>4788</v>
      </c>
      <c r="AF173" t="s">
        <v>4789</v>
      </c>
      <c r="AG173" t="s">
        <v>4790</v>
      </c>
      <c r="AH173">
        <v>77</v>
      </c>
      <c r="AI173" s="2" t="str">
        <f t="shared" si="10"/>
        <v>Independent</v>
      </c>
      <c r="AJ173" s="2" t="str">
        <f t="shared" si="11"/>
        <v>NO</v>
      </c>
      <c r="AK173" s="1" t="str">
        <f t="shared" si="12"/>
        <v>Glazed Balcony</v>
      </c>
      <c r="AL173" s="1" t="str">
        <f t="shared" si="13"/>
        <v>1 Toilet</v>
      </c>
      <c r="AM173" s="1" t="str">
        <f t="shared" si="14"/>
        <v>NO</v>
      </c>
      <c r="AN173" s="1" t="str">
        <f>VLOOKUP(J173, 'Regions and Cities'!A:B, 2, FALSE)</f>
        <v>Kanta-Häme</v>
      </c>
    </row>
    <row r="174" spans="1:40" x14ac:dyDescent="0.3">
      <c r="A174" t="s">
        <v>7932</v>
      </c>
      <c r="B174" t="s">
        <v>7933</v>
      </c>
      <c r="C174" t="s">
        <v>7934</v>
      </c>
      <c r="D174" t="s">
        <v>7935</v>
      </c>
      <c r="E174" t="s">
        <v>7936</v>
      </c>
      <c r="F174" t="s">
        <v>7937</v>
      </c>
      <c r="H174">
        <v>102</v>
      </c>
      <c r="I174" t="s">
        <v>201</v>
      </c>
      <c r="J174" t="s">
        <v>429</v>
      </c>
      <c r="K174" t="s">
        <v>7938</v>
      </c>
      <c r="L174" t="s">
        <v>7939</v>
      </c>
      <c r="M174" t="s">
        <v>37</v>
      </c>
      <c r="N174" t="s">
        <v>7940</v>
      </c>
      <c r="O174" t="s">
        <v>7941</v>
      </c>
      <c r="R174" t="s">
        <v>37</v>
      </c>
      <c r="S174" t="s">
        <v>37</v>
      </c>
      <c r="T174">
        <v>65.79804</v>
      </c>
      <c r="U174" t="s">
        <v>7942</v>
      </c>
      <c r="V174" t="s">
        <v>7943</v>
      </c>
      <c r="W174">
        <v>24.536729999999999</v>
      </c>
      <c r="X174">
        <v>179000</v>
      </c>
      <c r="Y174" t="s">
        <v>117</v>
      </c>
      <c r="AA174" t="s">
        <v>63</v>
      </c>
      <c r="AB174" t="s">
        <v>39</v>
      </c>
      <c r="AC174" t="s">
        <v>6510</v>
      </c>
      <c r="AD174" t="s">
        <v>46</v>
      </c>
      <c r="AE174" t="s">
        <v>7944</v>
      </c>
      <c r="AF174" t="s">
        <v>7945</v>
      </c>
      <c r="AG174" t="s">
        <v>7946</v>
      </c>
      <c r="AH174">
        <v>102</v>
      </c>
      <c r="AI174" s="2" t="str">
        <f t="shared" si="10"/>
        <v>Independent</v>
      </c>
      <c r="AJ174" s="2" t="str">
        <f t="shared" si="11"/>
        <v>YES</v>
      </c>
      <c r="AK174" s="1" t="str">
        <f t="shared" si="12"/>
        <v>None</v>
      </c>
      <c r="AL174" s="1" t="str">
        <f t="shared" si="13"/>
        <v>1 Toilet</v>
      </c>
      <c r="AM174" s="1" t="str">
        <f t="shared" si="14"/>
        <v>YES</v>
      </c>
      <c r="AN174" s="1" t="str">
        <f>VLOOKUP(J174, 'Regions and Cities'!A:B, 2, FALSE)</f>
        <v>Lappi</v>
      </c>
    </row>
    <row r="175" spans="1:40" x14ac:dyDescent="0.3">
      <c r="A175" t="s">
        <v>3563</v>
      </c>
      <c r="B175" t="s">
        <v>3564</v>
      </c>
      <c r="C175" t="s">
        <v>3565</v>
      </c>
      <c r="D175" t="s">
        <v>3566</v>
      </c>
      <c r="E175" t="s">
        <v>3567</v>
      </c>
      <c r="F175" t="s">
        <v>79</v>
      </c>
      <c r="G175" t="s">
        <v>3568</v>
      </c>
      <c r="H175">
        <v>254</v>
      </c>
      <c r="I175" t="s">
        <v>3534</v>
      </c>
      <c r="J175" t="s">
        <v>137</v>
      </c>
      <c r="K175" t="s">
        <v>3569</v>
      </c>
      <c r="L175" t="s">
        <v>3570</v>
      </c>
      <c r="M175" t="s">
        <v>37</v>
      </c>
      <c r="N175" t="s">
        <v>3571</v>
      </c>
      <c r="O175" t="s">
        <v>3572</v>
      </c>
      <c r="P175" t="s">
        <v>3573</v>
      </c>
      <c r="R175" t="s">
        <v>37</v>
      </c>
      <c r="S175" t="s">
        <v>37</v>
      </c>
      <c r="T175">
        <v>60.190570000000001</v>
      </c>
      <c r="U175" t="s">
        <v>3574</v>
      </c>
      <c r="V175" t="s">
        <v>3575</v>
      </c>
      <c r="W175">
        <v>25.067269</v>
      </c>
      <c r="X175">
        <v>799000</v>
      </c>
      <c r="Y175" t="s">
        <v>3576</v>
      </c>
      <c r="AA175" t="s">
        <v>54</v>
      </c>
      <c r="AB175" t="s">
        <v>39</v>
      </c>
      <c r="AC175" t="s">
        <v>480</v>
      </c>
      <c r="AD175" t="s">
        <v>75</v>
      </c>
      <c r="AE175" t="s">
        <v>3577</v>
      </c>
      <c r="AF175" t="s">
        <v>3578</v>
      </c>
      <c r="AG175" t="s">
        <v>3579</v>
      </c>
      <c r="AH175">
        <v>254</v>
      </c>
      <c r="AI175" s="2" t="str">
        <f t="shared" si="10"/>
        <v>Kitchenette</v>
      </c>
      <c r="AJ175" s="2" t="str">
        <f t="shared" si="11"/>
        <v>YES</v>
      </c>
      <c r="AK175" s="1" t="str">
        <f t="shared" si="12"/>
        <v>None</v>
      </c>
      <c r="AL175" s="1" t="str">
        <f t="shared" si="13"/>
        <v>1 Toilet</v>
      </c>
      <c r="AM175" s="1" t="str">
        <f t="shared" si="14"/>
        <v>YES</v>
      </c>
      <c r="AN175" s="1" t="str">
        <f>VLOOKUP(J175, 'Regions and Cities'!A:B, 2, FALSE)</f>
        <v>Uusimaa</v>
      </c>
    </row>
    <row r="176" spans="1:40" x14ac:dyDescent="0.3">
      <c r="A176" t="s">
        <v>7802</v>
      </c>
      <c r="B176" t="s">
        <v>7803</v>
      </c>
      <c r="C176" t="s">
        <v>7804</v>
      </c>
      <c r="D176" t="s">
        <v>7791</v>
      </c>
      <c r="E176" t="s">
        <v>7792</v>
      </c>
      <c r="F176" t="s">
        <v>7793</v>
      </c>
      <c r="H176">
        <v>109.5</v>
      </c>
      <c r="I176" t="s">
        <v>848</v>
      </c>
      <c r="J176" t="s">
        <v>137</v>
      </c>
      <c r="K176" t="s">
        <v>7805</v>
      </c>
      <c r="L176" t="s">
        <v>7806</v>
      </c>
      <c r="M176" t="s">
        <v>37</v>
      </c>
      <c r="N176" t="s">
        <v>7807</v>
      </c>
      <c r="O176" t="s">
        <v>7808</v>
      </c>
      <c r="R176" t="s">
        <v>37</v>
      </c>
      <c r="S176" t="s">
        <v>37</v>
      </c>
      <c r="T176">
        <v>60.232832000000002</v>
      </c>
      <c r="U176" t="s">
        <v>7809</v>
      </c>
      <c r="V176" t="s">
        <v>7810</v>
      </c>
      <c r="W176">
        <v>25.014585</v>
      </c>
      <c r="X176">
        <v>67105.429999999993</v>
      </c>
      <c r="Y176" t="s">
        <v>7811</v>
      </c>
      <c r="AA176" t="s">
        <v>45</v>
      </c>
      <c r="AB176" t="s">
        <v>39</v>
      </c>
      <c r="AC176" t="s">
        <v>6510</v>
      </c>
      <c r="AD176" t="s">
        <v>75</v>
      </c>
      <c r="AE176" t="s">
        <v>7812</v>
      </c>
      <c r="AF176" t="s">
        <v>7813</v>
      </c>
      <c r="AG176" t="s">
        <v>7814</v>
      </c>
      <c r="AH176"/>
      <c r="AI176" s="2" t="str">
        <f t="shared" si="10"/>
        <v>Independent</v>
      </c>
      <c r="AJ176" s="2" t="str">
        <f t="shared" si="11"/>
        <v>YES</v>
      </c>
      <c r="AK176" s="1" t="str">
        <f t="shared" si="12"/>
        <v>None</v>
      </c>
      <c r="AL176" s="1" t="str">
        <f t="shared" si="13"/>
        <v>1 Toilet</v>
      </c>
      <c r="AM176" s="1" t="str">
        <f t="shared" si="14"/>
        <v>YES</v>
      </c>
      <c r="AN176" s="1" t="str">
        <f>VLOOKUP(J176, 'Regions and Cities'!A:B, 2, FALSE)</f>
        <v>Uusimaa</v>
      </c>
    </row>
    <row r="177" spans="1:40" x14ac:dyDescent="0.3">
      <c r="A177" t="s">
        <v>9596</v>
      </c>
      <c r="B177" t="s">
        <v>9597</v>
      </c>
      <c r="C177" t="s">
        <v>9598</v>
      </c>
      <c r="D177" t="s">
        <v>168</v>
      </c>
      <c r="E177" t="s">
        <v>169</v>
      </c>
      <c r="F177" t="s">
        <v>170</v>
      </c>
      <c r="H177">
        <v>54</v>
      </c>
      <c r="I177" t="s">
        <v>1310</v>
      </c>
      <c r="J177" t="s">
        <v>397</v>
      </c>
      <c r="K177" t="s">
        <v>131</v>
      </c>
      <c r="L177" t="s">
        <v>9599</v>
      </c>
      <c r="M177" t="s">
        <v>37</v>
      </c>
      <c r="N177" t="s">
        <v>9600</v>
      </c>
      <c r="O177" t="s">
        <v>9601</v>
      </c>
      <c r="R177" t="s">
        <v>111</v>
      </c>
      <c r="S177" t="s">
        <v>37</v>
      </c>
      <c r="T177">
        <v>60.127048000000002</v>
      </c>
      <c r="U177" t="s">
        <v>9602</v>
      </c>
      <c r="V177" t="s">
        <v>9603</v>
      </c>
      <c r="W177">
        <v>24.451239000000001</v>
      </c>
      <c r="X177">
        <v>239922</v>
      </c>
      <c r="Y177" t="s">
        <v>9604</v>
      </c>
      <c r="AA177" t="s">
        <v>38</v>
      </c>
      <c r="AB177" t="s">
        <v>39</v>
      </c>
      <c r="AC177" t="s">
        <v>9512</v>
      </c>
      <c r="AD177" t="s">
        <v>46</v>
      </c>
      <c r="AE177" t="s">
        <v>3213</v>
      </c>
      <c r="AF177" t="s">
        <v>9605</v>
      </c>
      <c r="AG177" t="s">
        <v>9606</v>
      </c>
      <c r="AH177">
        <v>66</v>
      </c>
      <c r="AI177" s="2" t="str">
        <f t="shared" si="10"/>
        <v>Open</v>
      </c>
      <c r="AJ177" s="2" t="str">
        <f t="shared" si="11"/>
        <v>YES</v>
      </c>
      <c r="AK177" s="1" t="str">
        <f t="shared" si="12"/>
        <v>Standard Balcony</v>
      </c>
      <c r="AL177" s="1" t="str">
        <f t="shared" si="13"/>
        <v>1 Toilet</v>
      </c>
      <c r="AM177" s="1" t="str">
        <f t="shared" si="14"/>
        <v>NO</v>
      </c>
      <c r="AN177" s="1" t="str">
        <f>VLOOKUP(J177, 'Regions and Cities'!A:B, 2, FALSE)</f>
        <v>Uusimaa</v>
      </c>
    </row>
    <row r="178" spans="1:40" x14ac:dyDescent="0.3">
      <c r="A178" t="s">
        <v>9555</v>
      </c>
      <c r="B178" t="s">
        <v>9556</v>
      </c>
      <c r="C178" t="s">
        <v>9557</v>
      </c>
      <c r="D178" t="s">
        <v>168</v>
      </c>
      <c r="E178" t="s">
        <v>169</v>
      </c>
      <c r="F178" t="s">
        <v>170</v>
      </c>
      <c r="H178">
        <v>37</v>
      </c>
      <c r="I178" t="s">
        <v>1310</v>
      </c>
      <c r="J178" t="s">
        <v>397</v>
      </c>
      <c r="K178" t="s">
        <v>1018</v>
      </c>
      <c r="L178" t="s">
        <v>9558</v>
      </c>
      <c r="M178" t="s">
        <v>37</v>
      </c>
      <c r="N178" t="s">
        <v>9559</v>
      </c>
      <c r="O178" t="s">
        <v>9560</v>
      </c>
      <c r="R178" t="s">
        <v>111</v>
      </c>
      <c r="S178" t="s">
        <v>37</v>
      </c>
      <c r="T178">
        <v>60.127048000000002</v>
      </c>
      <c r="U178" t="s">
        <v>9561</v>
      </c>
      <c r="V178" t="s">
        <v>9562</v>
      </c>
      <c r="W178">
        <v>24.451239000000001</v>
      </c>
      <c r="X178">
        <v>159900</v>
      </c>
      <c r="Y178" t="s">
        <v>6459</v>
      </c>
      <c r="AA178" t="s">
        <v>38</v>
      </c>
      <c r="AB178" t="s">
        <v>39</v>
      </c>
      <c r="AC178" t="s">
        <v>9563</v>
      </c>
      <c r="AD178" t="s">
        <v>40</v>
      </c>
      <c r="AE178" t="s">
        <v>9564</v>
      </c>
      <c r="AF178" t="s">
        <v>9565</v>
      </c>
      <c r="AG178" t="s">
        <v>9566</v>
      </c>
      <c r="AH178">
        <v>49</v>
      </c>
      <c r="AI178" s="2" t="str">
        <f t="shared" si="10"/>
        <v>Open</v>
      </c>
      <c r="AJ178" s="2" t="str">
        <f t="shared" si="11"/>
        <v>NO</v>
      </c>
      <c r="AK178" s="1" t="str">
        <f t="shared" si="12"/>
        <v>Standard Balcony</v>
      </c>
      <c r="AL178" s="1" t="str">
        <f t="shared" si="13"/>
        <v>1 Toilet</v>
      </c>
      <c r="AM178" s="1" t="str">
        <f t="shared" si="14"/>
        <v>YES</v>
      </c>
      <c r="AN178" s="1" t="str">
        <f>VLOOKUP(J178, 'Regions and Cities'!A:B, 2, FALSE)</f>
        <v>Uusimaa</v>
      </c>
    </row>
    <row r="179" spans="1:40" x14ac:dyDescent="0.3">
      <c r="A179" t="s">
        <v>9618</v>
      </c>
      <c r="B179" t="s">
        <v>9619</v>
      </c>
      <c r="C179" t="s">
        <v>9598</v>
      </c>
      <c r="D179" t="s">
        <v>168</v>
      </c>
      <c r="E179" t="s">
        <v>169</v>
      </c>
      <c r="F179" t="s">
        <v>170</v>
      </c>
      <c r="H179">
        <v>49</v>
      </c>
      <c r="I179" t="s">
        <v>1310</v>
      </c>
      <c r="J179" t="s">
        <v>397</v>
      </c>
      <c r="K179" t="s">
        <v>131</v>
      </c>
      <c r="L179" t="s">
        <v>9620</v>
      </c>
      <c r="M179" t="s">
        <v>37</v>
      </c>
      <c r="N179" t="s">
        <v>9621</v>
      </c>
      <c r="O179" t="s">
        <v>9622</v>
      </c>
      <c r="R179" t="s">
        <v>111</v>
      </c>
      <c r="S179" t="s">
        <v>37</v>
      </c>
      <c r="T179">
        <v>60.127048000000002</v>
      </c>
      <c r="U179" t="s">
        <v>9623</v>
      </c>
      <c r="V179" t="s">
        <v>9624</v>
      </c>
      <c r="W179">
        <v>24.451239000000001</v>
      </c>
      <c r="X179">
        <v>189800</v>
      </c>
      <c r="Y179" t="s">
        <v>9625</v>
      </c>
      <c r="AA179" t="s">
        <v>38</v>
      </c>
      <c r="AB179" t="s">
        <v>39</v>
      </c>
      <c r="AC179" t="s">
        <v>9512</v>
      </c>
      <c r="AD179" t="s">
        <v>40</v>
      </c>
      <c r="AE179" t="s">
        <v>9626</v>
      </c>
      <c r="AF179" t="s">
        <v>9627</v>
      </c>
      <c r="AG179" t="s">
        <v>9628</v>
      </c>
      <c r="AH179"/>
      <c r="AI179" s="2" t="str">
        <f t="shared" si="10"/>
        <v>Open</v>
      </c>
      <c r="AJ179" s="2" t="str">
        <f t="shared" si="11"/>
        <v>NO</v>
      </c>
      <c r="AK179" s="1" t="str">
        <f t="shared" si="12"/>
        <v>Standard Balcony</v>
      </c>
      <c r="AL179" s="1" t="str">
        <f t="shared" si="13"/>
        <v>1 Toilet</v>
      </c>
      <c r="AM179" s="1" t="str">
        <f t="shared" si="14"/>
        <v>NO</v>
      </c>
      <c r="AN179" s="1" t="str">
        <f>VLOOKUP(J179, 'Regions and Cities'!A:B, 2, FALSE)</f>
        <v>Uusimaa</v>
      </c>
    </row>
    <row r="180" spans="1:40" x14ac:dyDescent="0.3">
      <c r="A180" t="s">
        <v>9643</v>
      </c>
      <c r="B180" t="s">
        <v>9644</v>
      </c>
      <c r="C180" t="s">
        <v>9598</v>
      </c>
      <c r="D180" t="s">
        <v>168</v>
      </c>
      <c r="E180" t="s">
        <v>169</v>
      </c>
      <c r="F180" t="s">
        <v>170</v>
      </c>
      <c r="H180">
        <v>99</v>
      </c>
      <c r="I180" t="s">
        <v>1310</v>
      </c>
      <c r="J180" t="s">
        <v>397</v>
      </c>
      <c r="K180" t="s">
        <v>131</v>
      </c>
      <c r="L180" t="s">
        <v>9645</v>
      </c>
      <c r="M180" t="s">
        <v>37</v>
      </c>
      <c r="N180" t="s">
        <v>9646</v>
      </c>
      <c r="O180" t="s">
        <v>9647</v>
      </c>
      <c r="R180" t="s">
        <v>111</v>
      </c>
      <c r="S180" t="s">
        <v>37</v>
      </c>
      <c r="T180">
        <v>60.127048000000002</v>
      </c>
      <c r="U180" t="s">
        <v>9648</v>
      </c>
      <c r="V180" t="s">
        <v>9649</v>
      </c>
      <c r="W180">
        <v>24.451239000000001</v>
      </c>
      <c r="X180">
        <v>384911.9</v>
      </c>
      <c r="Y180" t="s">
        <v>9650</v>
      </c>
      <c r="AA180" t="s">
        <v>38</v>
      </c>
      <c r="AB180" t="s">
        <v>39</v>
      </c>
      <c r="AC180" t="s">
        <v>683</v>
      </c>
      <c r="AD180" t="s">
        <v>46</v>
      </c>
      <c r="AE180" t="s">
        <v>9651</v>
      </c>
      <c r="AF180" t="s">
        <v>9652</v>
      </c>
      <c r="AG180" t="s">
        <v>9653</v>
      </c>
      <c r="AH180">
        <v>99</v>
      </c>
      <c r="AI180" s="2" t="str">
        <f t="shared" si="10"/>
        <v>Open</v>
      </c>
      <c r="AJ180" s="2" t="str">
        <f t="shared" si="11"/>
        <v>YES</v>
      </c>
      <c r="AK180" s="1" t="str">
        <f t="shared" si="12"/>
        <v>Standard Balcony</v>
      </c>
      <c r="AL180" s="1" t="str">
        <f t="shared" si="13"/>
        <v>1 Toilet</v>
      </c>
      <c r="AM180" s="1" t="str">
        <f t="shared" si="14"/>
        <v>NO</v>
      </c>
      <c r="AN180" s="1" t="str">
        <f>VLOOKUP(J180, 'Regions and Cities'!A:B, 2, FALSE)</f>
        <v>Uusimaa</v>
      </c>
    </row>
    <row r="181" spans="1:40" x14ac:dyDescent="0.3">
      <c r="A181" t="s">
        <v>9654</v>
      </c>
      <c r="B181" t="s">
        <v>9655</v>
      </c>
      <c r="C181" t="s">
        <v>9598</v>
      </c>
      <c r="D181" t="s">
        <v>168</v>
      </c>
      <c r="E181" t="s">
        <v>169</v>
      </c>
      <c r="F181" t="s">
        <v>170</v>
      </c>
      <c r="H181">
        <v>83</v>
      </c>
      <c r="I181" t="s">
        <v>1310</v>
      </c>
      <c r="J181" t="s">
        <v>397</v>
      </c>
      <c r="K181" t="s">
        <v>131</v>
      </c>
      <c r="L181" t="s">
        <v>9656</v>
      </c>
      <c r="M181" t="s">
        <v>37</v>
      </c>
      <c r="N181" t="s">
        <v>9657</v>
      </c>
      <c r="O181" t="s">
        <v>9658</v>
      </c>
      <c r="R181" t="s">
        <v>111</v>
      </c>
      <c r="S181" t="s">
        <v>37</v>
      </c>
      <c r="T181">
        <v>60.127048000000002</v>
      </c>
      <c r="U181" t="s">
        <v>9659</v>
      </c>
      <c r="V181" t="s">
        <v>9660</v>
      </c>
      <c r="W181">
        <v>24.451239000000001</v>
      </c>
      <c r="X181">
        <v>344924</v>
      </c>
      <c r="Y181" t="s">
        <v>9661</v>
      </c>
      <c r="AA181" t="s">
        <v>38</v>
      </c>
      <c r="AB181" t="s">
        <v>39</v>
      </c>
      <c r="AC181" t="s">
        <v>9662</v>
      </c>
      <c r="AD181" t="s">
        <v>75</v>
      </c>
      <c r="AE181" t="s">
        <v>9663</v>
      </c>
      <c r="AF181" t="s">
        <v>9664</v>
      </c>
      <c r="AG181" t="s">
        <v>9665</v>
      </c>
      <c r="AH181"/>
      <c r="AI181" s="2" t="str">
        <f t="shared" si="10"/>
        <v>Open</v>
      </c>
      <c r="AJ181" s="2" t="str">
        <f t="shared" si="11"/>
        <v>YES</v>
      </c>
      <c r="AK181" s="1" t="str">
        <f t="shared" si="12"/>
        <v>Terrace</v>
      </c>
      <c r="AL181" s="1" t="str">
        <f t="shared" si="13"/>
        <v>1 Toilet</v>
      </c>
      <c r="AM181" s="1" t="str">
        <f t="shared" si="14"/>
        <v>NO</v>
      </c>
      <c r="AN181" s="1" t="str">
        <f>VLOOKUP(J181, 'Regions and Cities'!A:B, 2, FALSE)</f>
        <v>Uusimaa</v>
      </c>
    </row>
    <row r="182" spans="1:40" x14ac:dyDescent="0.3">
      <c r="A182" t="s">
        <v>9197</v>
      </c>
      <c r="B182" t="s">
        <v>9198</v>
      </c>
      <c r="C182" t="s">
        <v>9199</v>
      </c>
      <c r="D182" t="s">
        <v>8222</v>
      </c>
      <c r="E182" t="s">
        <v>8223</v>
      </c>
      <c r="F182" t="s">
        <v>105</v>
      </c>
      <c r="H182">
        <v>100</v>
      </c>
      <c r="I182" t="s">
        <v>3652</v>
      </c>
      <c r="J182" t="s">
        <v>137</v>
      </c>
      <c r="K182" t="s">
        <v>9200</v>
      </c>
      <c r="L182" t="s">
        <v>9201</v>
      </c>
      <c r="M182" t="s">
        <v>37</v>
      </c>
      <c r="N182" t="s">
        <v>9202</v>
      </c>
      <c r="O182" t="s">
        <v>9203</v>
      </c>
      <c r="R182" t="s">
        <v>37</v>
      </c>
      <c r="S182" t="s">
        <v>37</v>
      </c>
      <c r="T182">
        <v>60.164296</v>
      </c>
      <c r="U182" t="s">
        <v>9204</v>
      </c>
      <c r="V182" t="s">
        <v>9205</v>
      </c>
      <c r="W182">
        <v>25.072676999999999</v>
      </c>
      <c r="X182">
        <v>385000</v>
      </c>
      <c r="Y182" t="s">
        <v>9206</v>
      </c>
      <c r="AA182" t="s">
        <v>54</v>
      </c>
      <c r="AB182" t="s">
        <v>39</v>
      </c>
      <c r="AC182" t="s">
        <v>6510</v>
      </c>
      <c r="AD182" t="s">
        <v>46</v>
      </c>
      <c r="AE182" t="s">
        <v>9207</v>
      </c>
      <c r="AF182" t="s">
        <v>9208</v>
      </c>
      <c r="AG182" t="s">
        <v>9209</v>
      </c>
      <c r="AH182">
        <v>100</v>
      </c>
      <c r="AI182" s="2" t="str">
        <f t="shared" si="10"/>
        <v>Independent</v>
      </c>
      <c r="AJ182" s="2" t="str">
        <f t="shared" si="11"/>
        <v>YES</v>
      </c>
      <c r="AK182" s="1" t="str">
        <f t="shared" si="12"/>
        <v>None</v>
      </c>
      <c r="AL182" s="1" t="str">
        <f t="shared" si="13"/>
        <v>1 Toilet</v>
      </c>
      <c r="AM182" s="1" t="str">
        <f t="shared" si="14"/>
        <v>YES</v>
      </c>
      <c r="AN182" s="1" t="str">
        <f>VLOOKUP(J182, 'Regions and Cities'!A:B, 2, FALSE)</f>
        <v>Uusimaa</v>
      </c>
    </row>
    <row r="183" spans="1:40" x14ac:dyDescent="0.3">
      <c r="A183" t="s">
        <v>7599</v>
      </c>
      <c r="B183" t="s">
        <v>7600</v>
      </c>
      <c r="C183" t="s">
        <v>7601</v>
      </c>
      <c r="D183" t="s">
        <v>77</v>
      </c>
      <c r="E183" t="s">
        <v>78</v>
      </c>
      <c r="F183" t="s">
        <v>79</v>
      </c>
      <c r="G183" t="s">
        <v>7602</v>
      </c>
      <c r="H183">
        <v>44.5</v>
      </c>
      <c r="I183" t="s">
        <v>454</v>
      </c>
      <c r="J183" t="s">
        <v>73</v>
      </c>
      <c r="K183" t="s">
        <v>7603</v>
      </c>
      <c r="L183" t="s">
        <v>7604</v>
      </c>
      <c r="M183" t="s">
        <v>37</v>
      </c>
      <c r="N183" t="s">
        <v>7605</v>
      </c>
      <c r="O183" t="s">
        <v>7606</v>
      </c>
      <c r="P183" t="s">
        <v>7607</v>
      </c>
      <c r="Q183" t="s">
        <v>7608</v>
      </c>
      <c r="R183" t="s">
        <v>37</v>
      </c>
      <c r="S183" t="s">
        <v>37</v>
      </c>
      <c r="T183">
        <v>62.236776999999996</v>
      </c>
      <c r="U183" t="s">
        <v>7609</v>
      </c>
      <c r="V183" t="s">
        <v>7610</v>
      </c>
      <c r="W183">
        <v>25.761645999999999</v>
      </c>
      <c r="X183">
        <v>173000</v>
      </c>
      <c r="Y183" t="s">
        <v>7223</v>
      </c>
      <c r="AA183" t="s">
        <v>38</v>
      </c>
      <c r="AB183" t="s">
        <v>39</v>
      </c>
      <c r="AC183" t="s">
        <v>6510</v>
      </c>
      <c r="AD183" t="s">
        <v>40</v>
      </c>
      <c r="AE183" t="s">
        <v>684</v>
      </c>
      <c r="AF183" t="s">
        <v>7611</v>
      </c>
      <c r="AG183" t="s">
        <v>7612</v>
      </c>
      <c r="AH183">
        <v>44.5</v>
      </c>
      <c r="AI183" s="2" t="str">
        <f t="shared" si="10"/>
        <v>Kitchenette</v>
      </c>
      <c r="AJ183" s="2" t="str">
        <f t="shared" si="11"/>
        <v>YES</v>
      </c>
      <c r="AK183" s="1" t="str">
        <f t="shared" si="12"/>
        <v>None</v>
      </c>
      <c r="AL183" s="1" t="str">
        <f t="shared" si="13"/>
        <v>1 Toilet</v>
      </c>
      <c r="AM183" s="1" t="str">
        <f t="shared" si="14"/>
        <v>NO</v>
      </c>
      <c r="AN183" s="1" t="str">
        <f>VLOOKUP(J183, 'Regions and Cities'!A:B, 2, FALSE)</f>
        <v>Keski-Suomi</v>
      </c>
    </row>
    <row r="184" spans="1:40" x14ac:dyDescent="0.3">
      <c r="A184" t="s">
        <v>1903</v>
      </c>
      <c r="B184" t="s">
        <v>1904</v>
      </c>
      <c r="C184" t="s">
        <v>1905</v>
      </c>
      <c r="D184" t="s">
        <v>1889</v>
      </c>
      <c r="E184" t="s">
        <v>1890</v>
      </c>
      <c r="F184" t="s">
        <v>1032</v>
      </c>
      <c r="G184" t="s">
        <v>1891</v>
      </c>
      <c r="H184">
        <v>45</v>
      </c>
      <c r="I184" t="s">
        <v>66</v>
      </c>
      <c r="J184" t="s">
        <v>372</v>
      </c>
      <c r="K184" t="s">
        <v>131</v>
      </c>
      <c r="L184" t="s">
        <v>1906</v>
      </c>
      <c r="M184" t="s">
        <v>37</v>
      </c>
      <c r="N184" t="s">
        <v>1907</v>
      </c>
      <c r="O184" t="s">
        <v>1908</v>
      </c>
      <c r="P184" t="s">
        <v>1909</v>
      </c>
      <c r="R184" t="s">
        <v>37</v>
      </c>
      <c r="S184" t="s">
        <v>37</v>
      </c>
      <c r="T184">
        <v>61.739387999999998</v>
      </c>
      <c r="U184" t="s">
        <v>1910</v>
      </c>
      <c r="V184" t="s">
        <v>1911</v>
      </c>
      <c r="W184">
        <v>26.112738</v>
      </c>
      <c r="X184">
        <v>54000</v>
      </c>
      <c r="Y184" t="s">
        <v>1912</v>
      </c>
      <c r="AA184" t="s">
        <v>38</v>
      </c>
      <c r="AB184" t="s">
        <v>39</v>
      </c>
      <c r="AC184" t="s">
        <v>480</v>
      </c>
      <c r="AD184" t="s">
        <v>40</v>
      </c>
      <c r="AE184" t="s">
        <v>209</v>
      </c>
      <c r="AF184" t="s">
        <v>1913</v>
      </c>
      <c r="AG184" t="s">
        <v>1914</v>
      </c>
      <c r="AH184">
        <v>45</v>
      </c>
      <c r="AI184" s="2" t="str">
        <f t="shared" si="10"/>
        <v>Independent</v>
      </c>
      <c r="AJ184" s="2" t="str">
        <f t="shared" si="11"/>
        <v>NO</v>
      </c>
      <c r="AK184" s="1" t="str">
        <f t="shared" si="12"/>
        <v>None</v>
      </c>
      <c r="AL184" s="1" t="str">
        <f t="shared" si="13"/>
        <v>1 Toilet</v>
      </c>
      <c r="AM184" s="1" t="str">
        <f t="shared" si="14"/>
        <v>NO</v>
      </c>
      <c r="AN184" s="1" t="str">
        <f>VLOOKUP(J184, 'Regions and Cities'!A:B, 2, FALSE)</f>
        <v>Keski-Suomi</v>
      </c>
    </row>
    <row r="185" spans="1:40" x14ac:dyDescent="0.3">
      <c r="A185" t="s">
        <v>2919</v>
      </c>
      <c r="B185" t="s">
        <v>2920</v>
      </c>
      <c r="C185" t="s">
        <v>2921</v>
      </c>
      <c r="D185" t="s">
        <v>1795</v>
      </c>
      <c r="E185" t="s">
        <v>1796</v>
      </c>
      <c r="F185" t="s">
        <v>1797</v>
      </c>
      <c r="G185" t="s">
        <v>1798</v>
      </c>
      <c r="H185">
        <v>105</v>
      </c>
      <c r="I185" t="s">
        <v>2922</v>
      </c>
      <c r="J185" t="s">
        <v>139</v>
      </c>
      <c r="K185" t="s">
        <v>2923</v>
      </c>
      <c r="L185" t="s">
        <v>2924</v>
      </c>
      <c r="M185" t="s">
        <v>37</v>
      </c>
      <c r="N185" t="s">
        <v>2925</v>
      </c>
      <c r="O185" t="s">
        <v>2926</v>
      </c>
      <c r="P185" t="s">
        <v>2927</v>
      </c>
      <c r="Q185" t="s">
        <v>2928</v>
      </c>
      <c r="R185" t="s">
        <v>37</v>
      </c>
      <c r="S185" t="s">
        <v>37</v>
      </c>
      <c r="T185">
        <v>61.502394000000002</v>
      </c>
      <c r="U185" t="s">
        <v>2929</v>
      </c>
      <c r="V185" t="s">
        <v>2930</v>
      </c>
      <c r="W185">
        <v>23.767268999999999</v>
      </c>
      <c r="X185">
        <v>298000</v>
      </c>
      <c r="Y185" t="s">
        <v>743</v>
      </c>
      <c r="AA185" t="s">
        <v>38</v>
      </c>
      <c r="AB185" t="s">
        <v>39</v>
      </c>
      <c r="AC185" t="s">
        <v>2931</v>
      </c>
      <c r="AD185" t="s">
        <v>46</v>
      </c>
      <c r="AE185" t="s">
        <v>2932</v>
      </c>
      <c r="AF185" t="s">
        <v>2933</v>
      </c>
      <c r="AG185" t="s">
        <v>2934</v>
      </c>
      <c r="AH185">
        <v>105</v>
      </c>
      <c r="AI185" s="2" t="str">
        <f t="shared" si="10"/>
        <v>Independent</v>
      </c>
      <c r="AJ185" s="2" t="str">
        <f t="shared" si="11"/>
        <v>NO</v>
      </c>
      <c r="AK185" s="1" t="str">
        <f t="shared" si="12"/>
        <v>None</v>
      </c>
      <c r="AL185" s="1" t="str">
        <f t="shared" si="13"/>
        <v>1 Toilet</v>
      </c>
      <c r="AM185" s="1" t="str">
        <f t="shared" si="14"/>
        <v>NO</v>
      </c>
      <c r="AN185" s="1" t="str">
        <f>VLOOKUP(J185, 'Regions and Cities'!A:B, 2, FALSE)</f>
        <v>Pirkanmaa</v>
      </c>
    </row>
    <row r="186" spans="1:40" x14ac:dyDescent="0.3">
      <c r="A186" t="s">
        <v>5458</v>
      </c>
      <c r="B186" t="s">
        <v>5459</v>
      </c>
      <c r="C186" t="s">
        <v>5460</v>
      </c>
      <c r="D186" t="s">
        <v>5461</v>
      </c>
      <c r="E186" t="s">
        <v>5462</v>
      </c>
      <c r="F186" t="s">
        <v>105</v>
      </c>
      <c r="G186" t="s">
        <v>5463</v>
      </c>
      <c r="H186">
        <v>73.5</v>
      </c>
      <c r="I186" t="s">
        <v>237</v>
      </c>
      <c r="J186" t="s">
        <v>101</v>
      </c>
      <c r="K186" t="s">
        <v>5464</v>
      </c>
      <c r="L186" t="s">
        <v>5465</v>
      </c>
      <c r="M186" t="s">
        <v>37</v>
      </c>
      <c r="N186" t="s">
        <v>5466</v>
      </c>
      <c r="O186" t="s">
        <v>5467</v>
      </c>
      <c r="P186" t="s">
        <v>5468</v>
      </c>
      <c r="R186" t="s">
        <v>37</v>
      </c>
      <c r="S186" t="s">
        <v>37</v>
      </c>
      <c r="T186">
        <v>60.951912</v>
      </c>
      <c r="U186" t="s">
        <v>5469</v>
      </c>
      <c r="V186" t="s">
        <v>5470</v>
      </c>
      <c r="W186">
        <v>25.822610000000001</v>
      </c>
      <c r="X186">
        <v>129000</v>
      </c>
      <c r="Y186" t="s">
        <v>177</v>
      </c>
      <c r="AA186" t="s">
        <v>45</v>
      </c>
      <c r="AB186" t="s">
        <v>39</v>
      </c>
      <c r="AC186" t="s">
        <v>480</v>
      </c>
      <c r="AD186" t="s">
        <v>46</v>
      </c>
      <c r="AE186" t="s">
        <v>5471</v>
      </c>
      <c r="AF186" t="s">
        <v>5472</v>
      </c>
      <c r="AG186" t="s">
        <v>5473</v>
      </c>
      <c r="AH186">
        <v>84.5</v>
      </c>
      <c r="AI186" s="2" t="str">
        <f t="shared" si="10"/>
        <v>Kitchenette</v>
      </c>
      <c r="AJ186" s="2" t="str">
        <f t="shared" si="11"/>
        <v>NO</v>
      </c>
      <c r="AK186" s="1" t="str">
        <f t="shared" si="12"/>
        <v>Terrace</v>
      </c>
      <c r="AL186" s="1" t="str">
        <f t="shared" si="13"/>
        <v>1 Toilet</v>
      </c>
      <c r="AM186" s="1" t="str">
        <f t="shared" si="14"/>
        <v>YES</v>
      </c>
      <c r="AN186" s="1" t="str">
        <f>VLOOKUP(J186, 'Regions and Cities'!A:B, 2, FALSE)</f>
        <v>Päijät-Häme</v>
      </c>
    </row>
    <row r="187" spans="1:40" x14ac:dyDescent="0.3">
      <c r="A187" t="s">
        <v>7408</v>
      </c>
      <c r="B187" t="s">
        <v>7409</v>
      </c>
      <c r="C187" t="s">
        <v>7410</v>
      </c>
      <c r="D187" t="s">
        <v>5278</v>
      </c>
      <c r="E187" t="s">
        <v>5279</v>
      </c>
      <c r="F187" t="s">
        <v>5280</v>
      </c>
      <c r="H187">
        <v>165</v>
      </c>
      <c r="I187" t="s">
        <v>573</v>
      </c>
      <c r="J187" t="s">
        <v>412</v>
      </c>
      <c r="K187" t="s">
        <v>7411</v>
      </c>
      <c r="L187" t="s">
        <v>7412</v>
      </c>
      <c r="M187" t="s">
        <v>37</v>
      </c>
      <c r="N187" t="s">
        <v>7413</v>
      </c>
      <c r="O187" t="s">
        <v>7414</v>
      </c>
      <c r="R187" t="s">
        <v>37</v>
      </c>
      <c r="S187" t="s">
        <v>37</v>
      </c>
      <c r="T187">
        <v>63.956440999999998</v>
      </c>
      <c r="U187" t="s">
        <v>7415</v>
      </c>
      <c r="V187" t="s">
        <v>7416</v>
      </c>
      <c r="W187">
        <v>23.805769999999999</v>
      </c>
      <c r="X187">
        <v>180000</v>
      </c>
      <c r="Y187" t="s">
        <v>2728</v>
      </c>
      <c r="AA187" t="s">
        <v>63</v>
      </c>
      <c r="AB187" t="s">
        <v>39</v>
      </c>
      <c r="AC187" t="s">
        <v>6510</v>
      </c>
      <c r="AD187" t="s">
        <v>55</v>
      </c>
      <c r="AE187" t="s">
        <v>7417</v>
      </c>
      <c r="AF187" t="s">
        <v>7418</v>
      </c>
      <c r="AG187" t="s">
        <v>7419</v>
      </c>
      <c r="AH187">
        <v>265</v>
      </c>
      <c r="AI187" s="2" t="str">
        <f t="shared" si="10"/>
        <v>Kitchenette</v>
      </c>
      <c r="AJ187" s="2" t="str">
        <f t="shared" si="11"/>
        <v>YES</v>
      </c>
      <c r="AK187" s="1" t="str">
        <f t="shared" si="12"/>
        <v>None</v>
      </c>
      <c r="AL187" s="1" t="str">
        <f t="shared" si="13"/>
        <v>1 Toilet</v>
      </c>
      <c r="AM187" s="1" t="str">
        <f t="shared" si="14"/>
        <v>NO</v>
      </c>
      <c r="AN187" s="1" t="str">
        <f>VLOOKUP(J187, 'Regions and Cities'!A:B, 2, FALSE)</f>
        <v>Keski-Pohjanmaa</v>
      </c>
    </row>
    <row r="188" spans="1:40" x14ac:dyDescent="0.3">
      <c r="A188" t="s">
        <v>2977</v>
      </c>
      <c r="B188" t="s">
        <v>2978</v>
      </c>
      <c r="C188" t="s">
        <v>2241</v>
      </c>
      <c r="D188" t="s">
        <v>2979</v>
      </c>
      <c r="E188" t="s">
        <v>2980</v>
      </c>
      <c r="F188" t="s">
        <v>2981</v>
      </c>
      <c r="H188">
        <v>28</v>
      </c>
      <c r="I188" t="s">
        <v>181</v>
      </c>
      <c r="J188" t="s">
        <v>192</v>
      </c>
      <c r="K188" t="s">
        <v>2245</v>
      </c>
      <c r="L188" t="s">
        <v>2982</v>
      </c>
      <c r="M188" t="s">
        <v>37</v>
      </c>
      <c r="N188" t="s">
        <v>2983</v>
      </c>
      <c r="O188" t="s">
        <v>2984</v>
      </c>
      <c r="R188" t="s">
        <v>37</v>
      </c>
      <c r="S188" t="s">
        <v>37</v>
      </c>
      <c r="T188">
        <v>60.384230000000002</v>
      </c>
      <c r="U188" t="s">
        <v>2985</v>
      </c>
      <c r="V188" t="s">
        <v>2986</v>
      </c>
      <c r="W188">
        <v>25.095120000000001</v>
      </c>
      <c r="X188">
        <v>99000</v>
      </c>
      <c r="Y188" t="s">
        <v>2130</v>
      </c>
      <c r="AA188" t="s">
        <v>808</v>
      </c>
      <c r="AB188" t="s">
        <v>39</v>
      </c>
      <c r="AC188" t="s">
        <v>480</v>
      </c>
      <c r="AD188" t="s">
        <v>202</v>
      </c>
      <c r="AE188" t="s">
        <v>2987</v>
      </c>
      <c r="AF188" t="s">
        <v>2988</v>
      </c>
      <c r="AG188" t="s">
        <v>2989</v>
      </c>
      <c r="AH188">
        <v>28</v>
      </c>
      <c r="AI188" s="2" t="str">
        <f t="shared" si="10"/>
        <v>Open</v>
      </c>
      <c r="AJ188" s="2" t="str">
        <f t="shared" si="11"/>
        <v>NO</v>
      </c>
      <c r="AK188" s="1" t="str">
        <f t="shared" si="12"/>
        <v>Standard Balcony</v>
      </c>
      <c r="AL188" s="1" t="str">
        <f t="shared" si="13"/>
        <v>1 Toilet</v>
      </c>
      <c r="AM188" s="1" t="str">
        <f t="shared" si="14"/>
        <v>NO</v>
      </c>
      <c r="AN188" s="1" t="str">
        <f>VLOOKUP(J188, 'Regions and Cities'!A:B, 2, FALSE)</f>
        <v>Uusimaa</v>
      </c>
    </row>
    <row r="189" spans="1:40" x14ac:dyDescent="0.3">
      <c r="A189" t="s">
        <v>7635</v>
      </c>
      <c r="B189" t="s">
        <v>7636</v>
      </c>
      <c r="C189" t="s">
        <v>6293</v>
      </c>
      <c r="D189" t="s">
        <v>1840</v>
      </c>
      <c r="E189" t="s">
        <v>1841</v>
      </c>
      <c r="F189" t="s">
        <v>70</v>
      </c>
      <c r="G189" t="s">
        <v>7637</v>
      </c>
      <c r="H189">
        <v>60.5</v>
      </c>
      <c r="I189" t="s">
        <v>848</v>
      </c>
      <c r="J189" t="s">
        <v>137</v>
      </c>
      <c r="K189" t="s">
        <v>6294</v>
      </c>
      <c r="L189" t="s">
        <v>7638</v>
      </c>
      <c r="M189" t="s">
        <v>37</v>
      </c>
      <c r="N189" t="s">
        <v>7639</v>
      </c>
      <c r="O189" t="s">
        <v>7640</v>
      </c>
      <c r="P189" t="s">
        <v>7641</v>
      </c>
      <c r="R189" t="s">
        <v>37</v>
      </c>
      <c r="S189" t="s">
        <v>37</v>
      </c>
      <c r="T189">
        <v>60.244033999999999</v>
      </c>
      <c r="U189" t="s">
        <v>7642</v>
      </c>
      <c r="V189" t="s">
        <v>7643</v>
      </c>
      <c r="W189">
        <v>24.867875999999999</v>
      </c>
      <c r="X189">
        <v>265000</v>
      </c>
      <c r="Y189" t="s">
        <v>3720</v>
      </c>
      <c r="AA189" t="s">
        <v>38</v>
      </c>
      <c r="AB189" t="s">
        <v>39</v>
      </c>
      <c r="AC189" t="s">
        <v>6510</v>
      </c>
      <c r="AD189" t="s">
        <v>46</v>
      </c>
      <c r="AE189" t="s">
        <v>7644</v>
      </c>
      <c r="AF189" t="s">
        <v>7645</v>
      </c>
      <c r="AG189" t="s">
        <v>7646</v>
      </c>
      <c r="AH189">
        <v>60.5</v>
      </c>
      <c r="AI189" s="2" t="str">
        <f t="shared" si="10"/>
        <v>Open</v>
      </c>
      <c r="AJ189" s="2" t="str">
        <f t="shared" si="11"/>
        <v>YES</v>
      </c>
      <c r="AK189" s="1" t="str">
        <f t="shared" si="12"/>
        <v>Glazed Balcony</v>
      </c>
      <c r="AL189" s="1" t="str">
        <f t="shared" si="13"/>
        <v>1 Toilet</v>
      </c>
      <c r="AM189" s="1" t="str">
        <f t="shared" si="14"/>
        <v>NO</v>
      </c>
      <c r="AN189" s="1" t="str">
        <f>VLOOKUP(J189, 'Regions and Cities'!A:B, 2, FALSE)</f>
        <v>Uusimaa</v>
      </c>
    </row>
    <row r="190" spans="1:40" x14ac:dyDescent="0.3">
      <c r="A190" t="s">
        <v>6355</v>
      </c>
      <c r="B190" t="s">
        <v>6356</v>
      </c>
      <c r="C190" t="s">
        <v>6357</v>
      </c>
      <c r="D190" t="s">
        <v>142</v>
      </c>
      <c r="E190" t="s">
        <v>143</v>
      </c>
      <c r="F190" t="s">
        <v>144</v>
      </c>
      <c r="G190" t="s">
        <v>223</v>
      </c>
      <c r="H190">
        <v>115</v>
      </c>
      <c r="I190" t="s">
        <v>174</v>
      </c>
      <c r="J190" t="s">
        <v>228</v>
      </c>
      <c r="K190" t="s">
        <v>6358</v>
      </c>
      <c r="L190" t="s">
        <v>6359</v>
      </c>
      <c r="M190" t="s">
        <v>37</v>
      </c>
      <c r="N190" t="s">
        <v>6360</v>
      </c>
      <c r="O190" t="s">
        <v>6361</v>
      </c>
      <c r="P190" t="s">
        <v>6362</v>
      </c>
      <c r="Q190" t="s">
        <v>6363</v>
      </c>
      <c r="R190" t="s">
        <v>37</v>
      </c>
      <c r="S190" t="s">
        <v>37</v>
      </c>
      <c r="T190">
        <v>61.47522</v>
      </c>
      <c r="U190" t="s">
        <v>6364</v>
      </c>
      <c r="V190" t="s">
        <v>6365</v>
      </c>
      <c r="W190">
        <v>23.472439999999999</v>
      </c>
      <c r="X190">
        <v>210000</v>
      </c>
      <c r="Y190" t="s">
        <v>1821</v>
      </c>
      <c r="AA190" t="s">
        <v>63</v>
      </c>
      <c r="AB190" t="s">
        <v>39</v>
      </c>
      <c r="AC190" t="s">
        <v>5152</v>
      </c>
      <c r="AD190" t="s">
        <v>75</v>
      </c>
      <c r="AE190" t="s">
        <v>6366</v>
      </c>
      <c r="AF190" t="s">
        <v>6367</v>
      </c>
      <c r="AG190" t="s">
        <v>6368</v>
      </c>
      <c r="AH190">
        <v>155</v>
      </c>
      <c r="AI190" s="2" t="str">
        <f t="shared" si="10"/>
        <v>Independent</v>
      </c>
      <c r="AJ190" s="2" t="str">
        <f t="shared" si="11"/>
        <v>NO</v>
      </c>
      <c r="AK190" s="1" t="str">
        <f t="shared" si="12"/>
        <v>None</v>
      </c>
      <c r="AL190" s="1" t="str">
        <f t="shared" si="13"/>
        <v>1 Toilet</v>
      </c>
      <c r="AM190" s="1" t="str">
        <f t="shared" si="14"/>
        <v>NO</v>
      </c>
      <c r="AN190" s="1" t="str">
        <f>VLOOKUP(J190, 'Regions and Cities'!A:B, 2, FALSE)</f>
        <v>Pirkanmaa</v>
      </c>
    </row>
    <row r="191" spans="1:40" x14ac:dyDescent="0.3">
      <c r="A191" t="s">
        <v>7244</v>
      </c>
      <c r="B191" t="s">
        <v>7245</v>
      </c>
      <c r="C191" t="s">
        <v>7246</v>
      </c>
      <c r="D191" t="s">
        <v>7247</v>
      </c>
      <c r="E191" t="s">
        <v>7248</v>
      </c>
      <c r="F191" t="s">
        <v>50</v>
      </c>
      <c r="G191" t="s">
        <v>7249</v>
      </c>
      <c r="H191">
        <v>73</v>
      </c>
      <c r="I191" t="s">
        <v>909</v>
      </c>
      <c r="J191" t="s">
        <v>137</v>
      </c>
      <c r="K191" t="s">
        <v>7250</v>
      </c>
      <c r="L191" t="s">
        <v>7251</v>
      </c>
      <c r="M191" t="s">
        <v>37</v>
      </c>
      <c r="N191" t="s">
        <v>7252</v>
      </c>
      <c r="O191" t="s">
        <v>7253</v>
      </c>
      <c r="P191" t="s">
        <v>7254</v>
      </c>
      <c r="Q191" t="s">
        <v>7255</v>
      </c>
      <c r="R191" t="s">
        <v>37</v>
      </c>
      <c r="S191" t="s">
        <v>37</v>
      </c>
      <c r="T191">
        <v>60.240197000000002</v>
      </c>
      <c r="U191" t="s">
        <v>7256</v>
      </c>
      <c r="V191" t="s">
        <v>7257</v>
      </c>
      <c r="W191">
        <v>25.075246</v>
      </c>
      <c r="X191">
        <v>128500</v>
      </c>
      <c r="Y191" t="s">
        <v>7258</v>
      </c>
      <c r="AA191" t="s">
        <v>38</v>
      </c>
      <c r="AB191" t="s">
        <v>39</v>
      </c>
      <c r="AC191" t="s">
        <v>6510</v>
      </c>
      <c r="AD191" t="s">
        <v>46</v>
      </c>
      <c r="AE191" t="s">
        <v>7259</v>
      </c>
      <c r="AF191" t="s">
        <v>7260</v>
      </c>
      <c r="AG191" t="s">
        <v>7261</v>
      </c>
      <c r="AH191">
        <v>73</v>
      </c>
      <c r="AI191" s="2" t="str">
        <f t="shared" si="10"/>
        <v>Independent</v>
      </c>
      <c r="AJ191" s="2" t="str">
        <f t="shared" si="11"/>
        <v>NO</v>
      </c>
      <c r="AK191" s="1" t="str">
        <f t="shared" si="12"/>
        <v>Glazed Balcony</v>
      </c>
      <c r="AL191" s="1" t="str">
        <f t="shared" si="13"/>
        <v>1 Toilet</v>
      </c>
      <c r="AM191" s="1" t="str">
        <f t="shared" si="14"/>
        <v>NO</v>
      </c>
      <c r="AN191" s="1" t="str">
        <f>VLOOKUP(J191, 'Regions and Cities'!A:B, 2, FALSE)</f>
        <v>Uusimaa</v>
      </c>
    </row>
    <row r="192" spans="1:40" x14ac:dyDescent="0.3">
      <c r="A192" t="s">
        <v>2268</v>
      </c>
      <c r="B192" t="s">
        <v>2269</v>
      </c>
      <c r="C192" t="s">
        <v>2270</v>
      </c>
      <c r="D192" t="s">
        <v>77</v>
      </c>
      <c r="E192" t="s">
        <v>78</v>
      </c>
      <c r="F192" t="s">
        <v>79</v>
      </c>
      <c r="G192" t="s">
        <v>2271</v>
      </c>
      <c r="H192">
        <v>109</v>
      </c>
      <c r="I192" t="s">
        <v>1180</v>
      </c>
      <c r="J192" t="s">
        <v>73</v>
      </c>
      <c r="K192" t="s">
        <v>2138</v>
      </c>
      <c r="L192" t="s">
        <v>2272</v>
      </c>
      <c r="M192" t="s">
        <v>37</v>
      </c>
      <c r="N192" t="s">
        <v>2273</v>
      </c>
      <c r="O192" t="s">
        <v>2274</v>
      </c>
      <c r="P192" t="s">
        <v>2275</v>
      </c>
      <c r="R192" t="s">
        <v>37</v>
      </c>
      <c r="S192" t="s">
        <v>37</v>
      </c>
      <c r="T192">
        <v>62.223962999999998</v>
      </c>
      <c r="U192" t="s">
        <v>2276</v>
      </c>
      <c r="V192" t="s">
        <v>2277</v>
      </c>
      <c r="W192">
        <v>25.859186999999999</v>
      </c>
      <c r="X192">
        <v>295000</v>
      </c>
      <c r="Y192" t="s">
        <v>1696</v>
      </c>
      <c r="AA192" t="s">
        <v>63</v>
      </c>
      <c r="AB192" t="s">
        <v>39</v>
      </c>
      <c r="AC192" t="s">
        <v>480</v>
      </c>
      <c r="AD192" t="s">
        <v>75</v>
      </c>
      <c r="AE192" t="s">
        <v>217</v>
      </c>
      <c r="AF192" t="s">
        <v>2278</v>
      </c>
      <c r="AG192" t="s">
        <v>2279</v>
      </c>
      <c r="AH192">
        <v>121.5</v>
      </c>
      <c r="AI192" s="2" t="str">
        <f t="shared" si="10"/>
        <v>Independent</v>
      </c>
      <c r="AJ192" s="2" t="str">
        <f t="shared" si="11"/>
        <v>NO</v>
      </c>
      <c r="AK192" s="1" t="str">
        <f t="shared" si="12"/>
        <v>None</v>
      </c>
      <c r="AL192" s="1" t="str">
        <f t="shared" si="13"/>
        <v>1 Toilet</v>
      </c>
      <c r="AM192" s="1" t="str">
        <f t="shared" si="14"/>
        <v>NO</v>
      </c>
      <c r="AN192" s="1" t="str">
        <f>VLOOKUP(J192, 'Regions and Cities'!A:B, 2, FALSE)</f>
        <v>Keski-Suomi</v>
      </c>
    </row>
    <row r="193" spans="1:40" x14ac:dyDescent="0.3">
      <c r="A193" t="s">
        <v>1986</v>
      </c>
      <c r="B193" t="s">
        <v>1987</v>
      </c>
      <c r="C193" t="s">
        <v>373</v>
      </c>
      <c r="D193" t="s">
        <v>1988</v>
      </c>
      <c r="E193" t="s">
        <v>1989</v>
      </c>
      <c r="H193">
        <v>65</v>
      </c>
      <c r="I193" t="s">
        <v>201</v>
      </c>
      <c r="J193" t="s">
        <v>373</v>
      </c>
      <c r="L193" t="s">
        <v>1990</v>
      </c>
      <c r="M193" t="s">
        <v>37</v>
      </c>
      <c r="N193" t="s">
        <v>1991</v>
      </c>
      <c r="O193" t="s">
        <v>1992</v>
      </c>
      <c r="R193" t="s">
        <v>37</v>
      </c>
      <c r="S193" t="s">
        <v>37</v>
      </c>
      <c r="T193">
        <v>60.874639999999999</v>
      </c>
      <c r="U193" t="s">
        <v>1993</v>
      </c>
      <c r="V193" t="s">
        <v>1994</v>
      </c>
      <c r="W193">
        <v>21.713529999999999</v>
      </c>
      <c r="X193">
        <v>119000</v>
      </c>
      <c r="Y193" t="s">
        <v>297</v>
      </c>
      <c r="AA193" t="s">
        <v>45</v>
      </c>
      <c r="AB193" t="s">
        <v>39</v>
      </c>
      <c r="AC193" t="s">
        <v>480</v>
      </c>
      <c r="AD193" t="s">
        <v>40</v>
      </c>
      <c r="AE193" t="s">
        <v>1995</v>
      </c>
      <c r="AF193" t="s">
        <v>1996</v>
      </c>
      <c r="AG193" t="s">
        <v>1997</v>
      </c>
      <c r="AH193">
        <v>65</v>
      </c>
      <c r="AI193" s="2" t="str">
        <f t="shared" si="10"/>
        <v>Independent</v>
      </c>
      <c r="AJ193" s="2" t="str">
        <f t="shared" si="11"/>
        <v>YES</v>
      </c>
      <c r="AK193" s="1" t="str">
        <f t="shared" si="12"/>
        <v>None</v>
      </c>
      <c r="AL193" s="1" t="str">
        <f t="shared" si="13"/>
        <v>1 Toilet</v>
      </c>
      <c r="AM193" s="1" t="str">
        <f t="shared" si="14"/>
        <v>NO</v>
      </c>
      <c r="AN193" s="1" t="str">
        <f>VLOOKUP(J193, 'Regions and Cities'!A:B, 2, FALSE)</f>
        <v>Varsinais-Suomi</v>
      </c>
    </row>
    <row r="194" spans="1:40" x14ac:dyDescent="0.3">
      <c r="A194" t="s">
        <v>8388</v>
      </c>
      <c r="B194" t="s">
        <v>8389</v>
      </c>
      <c r="C194" t="s">
        <v>8390</v>
      </c>
      <c r="D194" t="s">
        <v>8391</v>
      </c>
      <c r="E194" t="s">
        <v>8392</v>
      </c>
      <c r="F194" t="s">
        <v>79</v>
      </c>
      <c r="G194" t="s">
        <v>8393</v>
      </c>
      <c r="H194">
        <v>35</v>
      </c>
      <c r="I194" t="s">
        <v>573</v>
      </c>
      <c r="J194" t="s">
        <v>418</v>
      </c>
      <c r="K194" t="s">
        <v>8394</v>
      </c>
      <c r="L194" t="s">
        <v>8395</v>
      </c>
      <c r="M194" t="s">
        <v>37</v>
      </c>
      <c r="N194" t="s">
        <v>8396</v>
      </c>
      <c r="O194" t="s">
        <v>8397</v>
      </c>
      <c r="P194" t="s">
        <v>8398</v>
      </c>
      <c r="R194" t="s">
        <v>37</v>
      </c>
      <c r="S194" t="s">
        <v>37</v>
      </c>
      <c r="T194">
        <v>61.056159999999998</v>
      </c>
      <c r="U194" t="s">
        <v>8399</v>
      </c>
      <c r="V194" t="s">
        <v>8400</v>
      </c>
      <c r="W194">
        <v>28.104582000000001</v>
      </c>
      <c r="X194">
        <v>47000</v>
      </c>
      <c r="Y194" t="s">
        <v>8401</v>
      </c>
      <c r="AA194" t="s">
        <v>38</v>
      </c>
      <c r="AB194" t="s">
        <v>39</v>
      </c>
      <c r="AC194" t="s">
        <v>6510</v>
      </c>
      <c r="AD194" t="s">
        <v>202</v>
      </c>
      <c r="AE194" t="s">
        <v>641</v>
      </c>
      <c r="AF194" t="s">
        <v>8402</v>
      </c>
      <c r="AG194" t="s">
        <v>8403</v>
      </c>
      <c r="AH194">
        <v>35</v>
      </c>
      <c r="AI194" s="2" t="str">
        <f t="shared" ref="AI194:AI257" si="15">IF(AE194="", "no info", IF(OR(ISNUMBER(SEARCH("kt", AE194)), ISNUMBER(SEARCH("avokeittiö", AE194))), "Open", IF(ISNUMBER(SEARCH("kk", AE194)), "Kitchenette", "Independent")))</f>
        <v>Kitchenette</v>
      </c>
      <c r="AJ194" s="2" t="str">
        <f t="shared" ref="AJ194:AJ257" si="16">IF(AE194="", "no info", IF(OR(ISNUMBER(SEARCH(" s ", AE194)), ISNUMBER(SEARCH("sauna", AE194)), ISNUMBER(SEARCH("+ s", AE194))), "YES", "NO"))</f>
        <v>NO</v>
      </c>
      <c r="AK194" s="1" t="str">
        <f t="shared" ref="AK194:AK257" si="17">IF(AE194="", "no info", IF(OR(ISNUMBER(SEARCH("las.p", AE194)), ISNUMBER(SEARCH("lasitettu", AE194))), "Glazed Balcony", IF(OR(ISNUMBER(SEARCH(" p ", AE194)), ISNUMBER(SEARCH("parveke", AE194))), "Standard Balcony", IF(OR(ISNUMBER(SEARCH("terassi", AE194)), ISNUMBER(SEARCH("kuisti", AE194))), "Terrace", "None"))))</f>
        <v>None</v>
      </c>
      <c r="AL194" s="1" t="str">
        <f t="shared" ref="AL194:AL257" si="18">IF(AE194="", "no info", IF(OR(ISNUMBER(SEARCH("2wc", AE194)), ISNUMBER(SEARCH("2xwc", AE194))), "2 Toilets", "1 Toilet"))</f>
        <v>1 Toilet</v>
      </c>
      <c r="AM194" s="1" t="str">
        <f t="shared" ref="AM194:AM257" si="19">IF(AE194="", "no info", IF(OR(ISNUMBER(SEARCH("vh", AE194)), ISNUMBER(SEARCH("var", AE194))), "YES", "NO"))</f>
        <v>NO</v>
      </c>
      <c r="AN194" s="1" t="str">
        <f>VLOOKUP(J194, 'Regions and Cities'!A:B, 2, FALSE)</f>
        <v>Etelä-Karjala</v>
      </c>
    </row>
    <row r="195" spans="1:40" x14ac:dyDescent="0.3">
      <c r="A195" t="s">
        <v>8348</v>
      </c>
      <c r="B195" t="s">
        <v>8349</v>
      </c>
      <c r="C195" t="s">
        <v>7696</v>
      </c>
      <c r="D195" t="s">
        <v>571</v>
      </c>
      <c r="E195" t="s">
        <v>572</v>
      </c>
      <c r="H195">
        <v>43</v>
      </c>
      <c r="I195" t="s">
        <v>59</v>
      </c>
      <c r="J195" t="s">
        <v>137</v>
      </c>
      <c r="K195" t="s">
        <v>7697</v>
      </c>
      <c r="L195" t="s">
        <v>8350</v>
      </c>
      <c r="M195" t="s">
        <v>37</v>
      </c>
      <c r="N195" t="s">
        <v>8351</v>
      </c>
      <c r="O195" t="s">
        <v>8352</v>
      </c>
      <c r="R195" t="s">
        <v>37</v>
      </c>
      <c r="S195" t="s">
        <v>37</v>
      </c>
      <c r="T195">
        <v>60.23639</v>
      </c>
      <c r="U195" t="s">
        <v>8353</v>
      </c>
      <c r="V195" t="s">
        <v>8354</v>
      </c>
      <c r="W195">
        <v>24.841840000000001</v>
      </c>
      <c r="X195">
        <v>159000</v>
      </c>
      <c r="Y195" t="s">
        <v>83</v>
      </c>
      <c r="AA195" t="s">
        <v>38</v>
      </c>
      <c r="AB195" t="s">
        <v>39</v>
      </c>
      <c r="AC195" t="s">
        <v>6510</v>
      </c>
      <c r="AD195" t="s">
        <v>40</v>
      </c>
      <c r="AE195" t="s">
        <v>8355</v>
      </c>
      <c r="AF195" t="s">
        <v>8356</v>
      </c>
      <c r="AG195" t="s">
        <v>8357</v>
      </c>
      <c r="AH195">
        <v>43</v>
      </c>
      <c r="AI195" s="2" t="str">
        <f t="shared" si="15"/>
        <v>Independent</v>
      </c>
      <c r="AJ195" s="2" t="str">
        <f t="shared" si="16"/>
        <v>NO</v>
      </c>
      <c r="AK195" s="1" t="str">
        <f t="shared" si="17"/>
        <v>Glazed Balcony</v>
      </c>
      <c r="AL195" s="1" t="str">
        <f t="shared" si="18"/>
        <v>1 Toilet</v>
      </c>
      <c r="AM195" s="1" t="str">
        <f t="shared" si="19"/>
        <v>YES</v>
      </c>
      <c r="AN195" s="1" t="str">
        <f>VLOOKUP(J195, 'Regions and Cities'!A:B, 2, FALSE)</f>
        <v>Uusimaa</v>
      </c>
    </row>
    <row r="196" spans="1:40" x14ac:dyDescent="0.3">
      <c r="A196" t="s">
        <v>1503</v>
      </c>
      <c r="B196" t="s">
        <v>1504</v>
      </c>
      <c r="C196" t="s">
        <v>1505</v>
      </c>
      <c r="D196" t="s">
        <v>1506</v>
      </c>
      <c r="E196" t="s">
        <v>1507</v>
      </c>
      <c r="F196" t="s">
        <v>1493</v>
      </c>
      <c r="H196">
        <v>47.5</v>
      </c>
      <c r="I196" t="s">
        <v>848</v>
      </c>
      <c r="J196" t="s">
        <v>137</v>
      </c>
      <c r="K196" t="s">
        <v>1508</v>
      </c>
      <c r="L196" t="s">
        <v>1509</v>
      </c>
      <c r="M196" t="s">
        <v>37</v>
      </c>
      <c r="N196" t="s">
        <v>1510</v>
      </c>
      <c r="O196" t="s">
        <v>1511</v>
      </c>
      <c r="R196" t="s">
        <v>37</v>
      </c>
      <c r="S196" t="s">
        <v>37</v>
      </c>
      <c r="T196">
        <v>60.204872999999999</v>
      </c>
      <c r="U196" t="s">
        <v>1512</v>
      </c>
      <c r="V196" t="s">
        <v>1513</v>
      </c>
      <c r="W196">
        <v>25.148122999999998</v>
      </c>
      <c r="X196">
        <v>239000</v>
      </c>
      <c r="Y196" t="s">
        <v>290</v>
      </c>
      <c r="AA196" t="s">
        <v>38</v>
      </c>
      <c r="AB196" t="s">
        <v>39</v>
      </c>
      <c r="AC196" t="s">
        <v>480</v>
      </c>
      <c r="AD196" t="s">
        <v>40</v>
      </c>
      <c r="AE196" t="s">
        <v>1514</v>
      </c>
      <c r="AF196" t="s">
        <v>1515</v>
      </c>
      <c r="AG196" t="s">
        <v>1516</v>
      </c>
      <c r="AH196">
        <v>47.5</v>
      </c>
      <c r="AI196" s="2" t="str">
        <f t="shared" si="15"/>
        <v>Independent</v>
      </c>
      <c r="AJ196" s="2" t="str">
        <f t="shared" si="16"/>
        <v>NO</v>
      </c>
      <c r="AK196" s="1" t="str">
        <f t="shared" si="17"/>
        <v>None</v>
      </c>
      <c r="AL196" s="1" t="str">
        <f t="shared" si="18"/>
        <v>1 Toilet</v>
      </c>
      <c r="AM196" s="1" t="str">
        <f t="shared" si="19"/>
        <v>NO</v>
      </c>
      <c r="AN196" s="1" t="str">
        <f>VLOOKUP(J196, 'Regions and Cities'!A:B, 2, FALSE)</f>
        <v>Uusimaa</v>
      </c>
    </row>
    <row r="197" spans="1:40" x14ac:dyDescent="0.3">
      <c r="A197" t="s">
        <v>7959</v>
      </c>
      <c r="B197" t="s">
        <v>7960</v>
      </c>
      <c r="C197" t="s">
        <v>3847</v>
      </c>
      <c r="D197" t="s">
        <v>7961</v>
      </c>
      <c r="E197" t="s">
        <v>7962</v>
      </c>
      <c r="F197" t="s">
        <v>7963</v>
      </c>
      <c r="G197" t="s">
        <v>7964</v>
      </c>
      <c r="H197">
        <v>22</v>
      </c>
      <c r="I197" t="s">
        <v>125</v>
      </c>
      <c r="J197" t="s">
        <v>208</v>
      </c>
      <c r="K197" t="s">
        <v>3851</v>
      </c>
      <c r="L197" t="s">
        <v>7965</v>
      </c>
      <c r="M197" t="s">
        <v>37</v>
      </c>
      <c r="N197" t="s">
        <v>7966</v>
      </c>
      <c r="O197" t="s">
        <v>7967</v>
      </c>
      <c r="P197" t="s">
        <v>7968</v>
      </c>
      <c r="R197" t="s">
        <v>37</v>
      </c>
      <c r="S197" t="s">
        <v>37</v>
      </c>
      <c r="T197">
        <v>66.486440000000002</v>
      </c>
      <c r="U197" t="s">
        <v>7969</v>
      </c>
      <c r="V197" t="s">
        <v>7970</v>
      </c>
      <c r="W197">
        <v>25.699778999999999</v>
      </c>
      <c r="X197">
        <v>105000</v>
      </c>
      <c r="Y197" t="s">
        <v>1678</v>
      </c>
      <c r="AA197" t="s">
        <v>38</v>
      </c>
      <c r="AB197" t="s">
        <v>39</v>
      </c>
      <c r="AC197" t="s">
        <v>6510</v>
      </c>
      <c r="AD197" t="s">
        <v>202</v>
      </c>
      <c r="AE197" t="s">
        <v>7971</v>
      </c>
      <c r="AF197" t="s">
        <v>7972</v>
      </c>
      <c r="AG197" t="s">
        <v>7973</v>
      </c>
      <c r="AH197"/>
      <c r="AI197" s="2" t="str">
        <f t="shared" si="15"/>
        <v>Kitchenette</v>
      </c>
      <c r="AJ197" s="2" t="str">
        <f t="shared" si="16"/>
        <v>NO</v>
      </c>
      <c r="AK197" s="1" t="str">
        <f t="shared" si="17"/>
        <v>None</v>
      </c>
      <c r="AL197" s="1" t="str">
        <f t="shared" si="18"/>
        <v>1 Toilet</v>
      </c>
      <c r="AM197" s="1" t="str">
        <f t="shared" si="19"/>
        <v>NO</v>
      </c>
      <c r="AN197" s="1" t="str">
        <f>VLOOKUP(J197, 'Regions and Cities'!A:B, 2, FALSE)</f>
        <v>Lappi</v>
      </c>
    </row>
    <row r="198" spans="1:40" x14ac:dyDescent="0.3">
      <c r="A198" t="s">
        <v>1059</v>
      </c>
      <c r="B198" t="s">
        <v>1060</v>
      </c>
      <c r="C198" t="s">
        <v>1061</v>
      </c>
      <c r="D198" t="s">
        <v>1062</v>
      </c>
      <c r="E198" t="s">
        <v>1063</v>
      </c>
      <c r="F198" t="s">
        <v>817</v>
      </c>
      <c r="H198">
        <v>50</v>
      </c>
      <c r="I198" t="s">
        <v>109</v>
      </c>
      <c r="J198" t="s">
        <v>130</v>
      </c>
      <c r="K198" t="s">
        <v>1064</v>
      </c>
      <c r="L198" t="s">
        <v>1065</v>
      </c>
      <c r="M198" t="s">
        <v>37</v>
      </c>
      <c r="N198" t="s">
        <v>1066</v>
      </c>
      <c r="O198" t="s">
        <v>1067</v>
      </c>
      <c r="R198" t="s">
        <v>37</v>
      </c>
      <c r="S198" t="s">
        <v>37</v>
      </c>
      <c r="T198">
        <v>62.858735000000003</v>
      </c>
      <c r="U198" t="s">
        <v>1068</v>
      </c>
      <c r="V198" t="s">
        <v>1069</v>
      </c>
      <c r="W198">
        <v>27.695205999999999</v>
      </c>
      <c r="X198">
        <v>162000</v>
      </c>
      <c r="Y198" t="s">
        <v>1070</v>
      </c>
      <c r="AA198" t="s">
        <v>38</v>
      </c>
      <c r="AB198" t="s">
        <v>39</v>
      </c>
      <c r="AC198" t="s">
        <v>480</v>
      </c>
      <c r="AD198" t="s">
        <v>40</v>
      </c>
      <c r="AE198" t="s">
        <v>1071</v>
      </c>
      <c r="AF198" t="s">
        <v>1072</v>
      </c>
      <c r="AG198" t="s">
        <v>1073</v>
      </c>
      <c r="AH198">
        <v>50</v>
      </c>
      <c r="AI198" s="2" t="str">
        <f t="shared" si="15"/>
        <v>Open</v>
      </c>
      <c r="AJ198" s="2" t="str">
        <f t="shared" si="16"/>
        <v>NO</v>
      </c>
      <c r="AK198" s="1" t="str">
        <f t="shared" si="17"/>
        <v>Glazed Balcony</v>
      </c>
      <c r="AL198" s="1" t="str">
        <f t="shared" si="18"/>
        <v>1 Toilet</v>
      </c>
      <c r="AM198" s="1" t="str">
        <f t="shared" si="19"/>
        <v>YES</v>
      </c>
      <c r="AN198" s="1" t="str">
        <f>VLOOKUP(J198, 'Regions and Cities'!A:B, 2, FALSE)</f>
        <v>Pohjois-Savo</v>
      </c>
    </row>
    <row r="199" spans="1:40" x14ac:dyDescent="0.3">
      <c r="A199" t="s">
        <v>2424</v>
      </c>
      <c r="B199" t="s">
        <v>2425</v>
      </c>
      <c r="C199" t="s">
        <v>2426</v>
      </c>
      <c r="D199" t="s">
        <v>2427</v>
      </c>
      <c r="E199" t="s">
        <v>2428</v>
      </c>
      <c r="H199">
        <v>55</v>
      </c>
      <c r="I199" t="s">
        <v>96</v>
      </c>
      <c r="J199" t="s">
        <v>116</v>
      </c>
      <c r="K199" t="s">
        <v>2429</v>
      </c>
      <c r="L199" t="s">
        <v>2430</v>
      </c>
      <c r="M199" t="s">
        <v>37</v>
      </c>
      <c r="N199" t="s">
        <v>2431</v>
      </c>
      <c r="O199" t="s">
        <v>2432</v>
      </c>
      <c r="R199" t="s">
        <v>37</v>
      </c>
      <c r="S199" t="s">
        <v>37</v>
      </c>
      <c r="T199">
        <v>60.269880000000001</v>
      </c>
      <c r="U199" t="s">
        <v>2433</v>
      </c>
      <c r="V199" t="s">
        <v>2434</v>
      </c>
      <c r="W199">
        <v>24.871449999999999</v>
      </c>
      <c r="X199">
        <v>98000</v>
      </c>
      <c r="Y199" t="s">
        <v>1559</v>
      </c>
      <c r="AA199" t="s">
        <v>38</v>
      </c>
      <c r="AB199" t="s">
        <v>39</v>
      </c>
      <c r="AC199" t="s">
        <v>480</v>
      </c>
      <c r="AD199">
        <v>2</v>
      </c>
      <c r="AE199" t="s">
        <v>790</v>
      </c>
      <c r="AF199" t="s">
        <v>2435</v>
      </c>
      <c r="AG199" t="s">
        <v>2436</v>
      </c>
      <c r="AH199">
        <v>55</v>
      </c>
      <c r="AI199" s="2" t="str">
        <f t="shared" si="15"/>
        <v>Independent</v>
      </c>
      <c r="AJ199" s="2" t="str">
        <f t="shared" si="16"/>
        <v>NO</v>
      </c>
      <c r="AK199" s="1" t="str">
        <f t="shared" si="17"/>
        <v>None</v>
      </c>
      <c r="AL199" s="1" t="str">
        <f t="shared" si="18"/>
        <v>1 Toilet</v>
      </c>
      <c r="AM199" s="1" t="str">
        <f t="shared" si="19"/>
        <v>NO</v>
      </c>
      <c r="AN199" s="1" t="str">
        <f>VLOOKUP(J199, 'Regions and Cities'!A:B, 2, FALSE)</f>
        <v>Uusimaa</v>
      </c>
    </row>
    <row r="200" spans="1:40" x14ac:dyDescent="0.3">
      <c r="A200" t="s">
        <v>4732</v>
      </c>
      <c r="B200" t="s">
        <v>4733</v>
      </c>
      <c r="C200" t="s">
        <v>2225</v>
      </c>
      <c r="D200" t="s">
        <v>2226</v>
      </c>
      <c r="E200" t="s">
        <v>2227</v>
      </c>
      <c r="F200" t="s">
        <v>79</v>
      </c>
      <c r="G200" t="s">
        <v>2228</v>
      </c>
      <c r="H200">
        <v>73</v>
      </c>
      <c r="I200" t="s">
        <v>213</v>
      </c>
      <c r="J200" t="s">
        <v>265</v>
      </c>
      <c r="K200" t="s">
        <v>131</v>
      </c>
      <c r="L200" t="s">
        <v>4734</v>
      </c>
      <c r="M200" t="s">
        <v>37</v>
      </c>
      <c r="N200" t="s">
        <v>4735</v>
      </c>
      <c r="O200" t="s">
        <v>4736</v>
      </c>
      <c r="P200" t="s">
        <v>4737</v>
      </c>
      <c r="Q200" t="s">
        <v>4738</v>
      </c>
      <c r="R200" t="s">
        <v>37</v>
      </c>
      <c r="S200" t="s">
        <v>37</v>
      </c>
      <c r="T200">
        <v>65.014032999999998</v>
      </c>
      <c r="U200" t="s">
        <v>4739</v>
      </c>
      <c r="V200" t="s">
        <v>4740</v>
      </c>
      <c r="W200">
        <v>25.47824</v>
      </c>
      <c r="X200">
        <v>179000</v>
      </c>
      <c r="Y200" t="s">
        <v>117</v>
      </c>
      <c r="AA200" t="s">
        <v>38</v>
      </c>
      <c r="AB200" t="s">
        <v>39</v>
      </c>
      <c r="AC200" t="s">
        <v>480</v>
      </c>
      <c r="AD200" t="s">
        <v>46</v>
      </c>
      <c r="AE200" t="s">
        <v>215</v>
      </c>
      <c r="AF200" t="s">
        <v>4741</v>
      </c>
      <c r="AG200" t="s">
        <v>4742</v>
      </c>
      <c r="AH200">
        <v>73</v>
      </c>
      <c r="AI200" s="2" t="str">
        <f t="shared" si="15"/>
        <v>Independent</v>
      </c>
      <c r="AJ200" s="2" t="str">
        <f t="shared" si="16"/>
        <v>NO</v>
      </c>
      <c r="AK200" s="1" t="str">
        <f t="shared" si="17"/>
        <v>None</v>
      </c>
      <c r="AL200" s="1" t="str">
        <f t="shared" si="18"/>
        <v>1 Toilet</v>
      </c>
      <c r="AM200" s="1" t="str">
        <f t="shared" si="19"/>
        <v>NO</v>
      </c>
      <c r="AN200" s="1" t="str">
        <f>VLOOKUP(J200, 'Regions and Cities'!A:B, 2, FALSE)</f>
        <v>Pohjois-Pohjanmaa</v>
      </c>
    </row>
    <row r="201" spans="1:40" x14ac:dyDescent="0.3">
      <c r="A201" t="s">
        <v>2835</v>
      </c>
      <c r="B201" t="s">
        <v>2836</v>
      </c>
      <c r="C201" t="s">
        <v>2837</v>
      </c>
      <c r="D201" t="s">
        <v>1717</v>
      </c>
      <c r="E201" t="s">
        <v>1718</v>
      </c>
      <c r="F201" t="s">
        <v>1719</v>
      </c>
      <c r="H201">
        <v>59</v>
      </c>
      <c r="I201" t="s">
        <v>1310</v>
      </c>
      <c r="J201" t="s">
        <v>126</v>
      </c>
      <c r="K201" t="s">
        <v>2838</v>
      </c>
      <c r="L201" t="s">
        <v>2865</v>
      </c>
      <c r="M201" t="s">
        <v>37</v>
      </c>
      <c r="N201" t="s">
        <v>2866</v>
      </c>
      <c r="O201" t="s">
        <v>2867</v>
      </c>
      <c r="R201" t="s">
        <v>111</v>
      </c>
      <c r="S201" t="s">
        <v>37</v>
      </c>
      <c r="T201">
        <v>60.151674999999997</v>
      </c>
      <c r="U201" t="s">
        <v>2868</v>
      </c>
      <c r="V201" t="s">
        <v>2869</v>
      </c>
      <c r="W201">
        <v>24.653241999999999</v>
      </c>
      <c r="X201">
        <v>35239.11</v>
      </c>
      <c r="Y201" t="s">
        <v>2870</v>
      </c>
      <c r="AA201" t="s">
        <v>38</v>
      </c>
      <c r="AB201" t="s">
        <v>39</v>
      </c>
      <c r="AC201" t="s">
        <v>2845</v>
      </c>
      <c r="AD201" t="s">
        <v>46</v>
      </c>
      <c r="AE201" t="s">
        <v>2773</v>
      </c>
      <c r="AF201" t="s">
        <v>2871</v>
      </c>
      <c r="AG201" t="s">
        <v>2872</v>
      </c>
      <c r="AH201"/>
      <c r="AI201" s="2" t="str">
        <f t="shared" si="15"/>
        <v>Open</v>
      </c>
      <c r="AJ201" s="2" t="str">
        <f t="shared" si="16"/>
        <v>NO</v>
      </c>
      <c r="AK201" s="1" t="str">
        <f t="shared" si="17"/>
        <v>None</v>
      </c>
      <c r="AL201" s="1" t="str">
        <f t="shared" si="18"/>
        <v>1 Toilet</v>
      </c>
      <c r="AM201" s="1" t="str">
        <f t="shared" si="19"/>
        <v>NO</v>
      </c>
      <c r="AN201" s="1" t="str">
        <f>VLOOKUP(J201, 'Regions and Cities'!A:B, 2, FALSE)</f>
        <v>Uusimaa</v>
      </c>
    </row>
    <row r="202" spans="1:40" x14ac:dyDescent="0.3">
      <c r="A202" t="s">
        <v>2835</v>
      </c>
      <c r="B202" t="s">
        <v>2836</v>
      </c>
      <c r="C202" t="s">
        <v>2837</v>
      </c>
      <c r="D202" t="s">
        <v>1717</v>
      </c>
      <c r="E202" t="s">
        <v>1718</v>
      </c>
      <c r="F202" t="s">
        <v>1719</v>
      </c>
      <c r="H202">
        <v>79</v>
      </c>
      <c r="I202" t="s">
        <v>1310</v>
      </c>
      <c r="J202" t="s">
        <v>126</v>
      </c>
      <c r="K202" t="s">
        <v>2838</v>
      </c>
      <c r="L202" t="s">
        <v>2839</v>
      </c>
      <c r="M202" t="s">
        <v>37</v>
      </c>
      <c r="N202" t="s">
        <v>2840</v>
      </c>
      <c r="O202" t="s">
        <v>2841</v>
      </c>
      <c r="R202" t="s">
        <v>111</v>
      </c>
      <c r="S202" t="s">
        <v>37</v>
      </c>
      <c r="T202">
        <v>60.151674999999997</v>
      </c>
      <c r="U202" t="s">
        <v>2842</v>
      </c>
      <c r="V202" t="s">
        <v>2843</v>
      </c>
      <c r="W202">
        <v>24.653241999999999</v>
      </c>
      <c r="X202">
        <v>44816.3</v>
      </c>
      <c r="Y202" t="s">
        <v>2844</v>
      </c>
      <c r="AA202" t="s">
        <v>38</v>
      </c>
      <c r="AB202" t="s">
        <v>39</v>
      </c>
      <c r="AC202" t="s">
        <v>2845</v>
      </c>
      <c r="AD202" t="s">
        <v>75</v>
      </c>
      <c r="AE202" t="s">
        <v>2846</v>
      </c>
      <c r="AF202" t="s">
        <v>2847</v>
      </c>
      <c r="AG202" t="s">
        <v>2848</v>
      </c>
      <c r="AH202"/>
      <c r="AI202" s="2" t="str">
        <f t="shared" si="15"/>
        <v>Open</v>
      </c>
      <c r="AJ202" s="2" t="str">
        <f t="shared" si="16"/>
        <v>YES</v>
      </c>
      <c r="AK202" s="1" t="str">
        <f t="shared" si="17"/>
        <v>None</v>
      </c>
      <c r="AL202" s="1" t="str">
        <f t="shared" si="18"/>
        <v>1 Toilet</v>
      </c>
      <c r="AM202" s="1" t="str">
        <f t="shared" si="19"/>
        <v>NO</v>
      </c>
      <c r="AN202" s="1" t="str">
        <f>VLOOKUP(J202, 'Regions and Cities'!A:B, 2, FALSE)</f>
        <v>Uusimaa</v>
      </c>
    </row>
    <row r="203" spans="1:40" x14ac:dyDescent="0.3">
      <c r="A203" t="s">
        <v>6760</v>
      </c>
      <c r="B203" t="s">
        <v>6761</v>
      </c>
      <c r="C203" t="s">
        <v>6762</v>
      </c>
      <c r="D203" t="s">
        <v>185</v>
      </c>
      <c r="E203" t="s">
        <v>186</v>
      </c>
      <c r="F203" t="s">
        <v>187</v>
      </c>
      <c r="H203">
        <v>50</v>
      </c>
      <c r="I203" t="s">
        <v>296</v>
      </c>
      <c r="J203" t="s">
        <v>137</v>
      </c>
      <c r="K203" t="s">
        <v>6763</v>
      </c>
      <c r="L203" t="s">
        <v>6764</v>
      </c>
      <c r="M203" t="s">
        <v>37</v>
      </c>
      <c r="N203" t="s">
        <v>6765</v>
      </c>
      <c r="O203" t="s">
        <v>6766</v>
      </c>
      <c r="R203" t="s">
        <v>37</v>
      </c>
      <c r="S203" t="s">
        <v>37</v>
      </c>
      <c r="T203">
        <v>60.276130000000002</v>
      </c>
      <c r="U203" t="s">
        <v>6767</v>
      </c>
      <c r="V203" t="s">
        <v>6768</v>
      </c>
      <c r="W203">
        <v>24.986280000000001</v>
      </c>
      <c r="X203">
        <v>109000</v>
      </c>
      <c r="Y203" t="s">
        <v>976</v>
      </c>
      <c r="AA203" t="s">
        <v>38</v>
      </c>
      <c r="AB203" t="s">
        <v>39</v>
      </c>
      <c r="AC203" t="s">
        <v>6510</v>
      </c>
      <c r="AD203" t="s">
        <v>40</v>
      </c>
      <c r="AE203" t="s">
        <v>6769</v>
      </c>
      <c r="AF203" t="s">
        <v>6770</v>
      </c>
      <c r="AG203" t="s">
        <v>6771</v>
      </c>
      <c r="AH203">
        <v>50</v>
      </c>
      <c r="AI203" s="2" t="str">
        <f t="shared" si="15"/>
        <v>Kitchenette</v>
      </c>
      <c r="AJ203" s="2" t="str">
        <f t="shared" si="16"/>
        <v>NO</v>
      </c>
      <c r="AK203" s="1" t="str">
        <f t="shared" si="17"/>
        <v>Standard Balcony</v>
      </c>
      <c r="AL203" s="1" t="str">
        <f t="shared" si="18"/>
        <v>1 Toilet</v>
      </c>
      <c r="AM203" s="1" t="str">
        <f t="shared" si="19"/>
        <v>YES</v>
      </c>
      <c r="AN203" s="1" t="str">
        <f>VLOOKUP(J203, 'Regions and Cities'!A:B, 2, FALSE)</f>
        <v>Uusimaa</v>
      </c>
    </row>
    <row r="204" spans="1:40" x14ac:dyDescent="0.3">
      <c r="A204" t="s">
        <v>7647</v>
      </c>
      <c r="B204" t="s">
        <v>7648</v>
      </c>
      <c r="C204" t="s">
        <v>7649</v>
      </c>
      <c r="D204" t="s">
        <v>3300</v>
      </c>
      <c r="E204" t="s">
        <v>3301</v>
      </c>
      <c r="F204" t="s">
        <v>721</v>
      </c>
      <c r="H204">
        <v>85</v>
      </c>
      <c r="I204" t="s">
        <v>188</v>
      </c>
      <c r="J204" t="s">
        <v>366</v>
      </c>
      <c r="K204" t="s">
        <v>7650</v>
      </c>
      <c r="L204" t="s">
        <v>7651</v>
      </c>
      <c r="M204" t="s">
        <v>37</v>
      </c>
      <c r="N204" t="s">
        <v>7652</v>
      </c>
      <c r="O204" t="s">
        <v>7653</v>
      </c>
      <c r="R204" t="s">
        <v>37</v>
      </c>
      <c r="S204" t="s">
        <v>37</v>
      </c>
      <c r="T204">
        <v>63.830689999999997</v>
      </c>
      <c r="U204" t="s">
        <v>7654</v>
      </c>
      <c r="V204" t="s">
        <v>7655</v>
      </c>
      <c r="W204">
        <v>23.214433</v>
      </c>
      <c r="X204">
        <v>129000</v>
      </c>
      <c r="Y204" t="s">
        <v>177</v>
      </c>
      <c r="AA204" t="s">
        <v>63</v>
      </c>
      <c r="AB204" t="s">
        <v>39</v>
      </c>
      <c r="AC204" t="s">
        <v>6510</v>
      </c>
      <c r="AD204" t="s">
        <v>75</v>
      </c>
      <c r="AE204" t="s">
        <v>7656</v>
      </c>
      <c r="AF204" t="s">
        <v>7657</v>
      </c>
      <c r="AG204" t="s">
        <v>7658</v>
      </c>
      <c r="AH204">
        <v>148</v>
      </c>
      <c r="AI204" s="2" t="str">
        <f t="shared" si="15"/>
        <v>Independent</v>
      </c>
      <c r="AJ204" s="2" t="str">
        <f t="shared" si="16"/>
        <v>YES</v>
      </c>
      <c r="AK204" s="1" t="str">
        <f t="shared" si="17"/>
        <v>Terrace</v>
      </c>
      <c r="AL204" s="1" t="str">
        <f t="shared" si="18"/>
        <v>1 Toilet</v>
      </c>
      <c r="AM204" s="1" t="str">
        <f t="shared" si="19"/>
        <v>NO</v>
      </c>
      <c r="AN204" s="1" t="str">
        <f>VLOOKUP(J204, 'Regions and Cities'!A:B, 2, FALSE)</f>
        <v>Keski-Pohjanmaa</v>
      </c>
    </row>
    <row r="205" spans="1:40" x14ac:dyDescent="0.3">
      <c r="A205" t="s">
        <v>4622</v>
      </c>
      <c r="B205" t="s">
        <v>4623</v>
      </c>
      <c r="C205" t="s">
        <v>4624</v>
      </c>
      <c r="D205" t="s">
        <v>3321</v>
      </c>
      <c r="E205" t="s">
        <v>3322</v>
      </c>
      <c r="H205">
        <v>195</v>
      </c>
      <c r="I205" t="s">
        <v>113</v>
      </c>
      <c r="J205" t="s">
        <v>366</v>
      </c>
      <c r="K205" t="s">
        <v>4625</v>
      </c>
      <c r="L205" t="s">
        <v>4626</v>
      </c>
      <c r="M205" t="s">
        <v>37</v>
      </c>
      <c r="N205" t="s">
        <v>4627</v>
      </c>
      <c r="O205" t="s">
        <v>4628</v>
      </c>
      <c r="R205" t="s">
        <v>37</v>
      </c>
      <c r="S205" t="s">
        <v>37</v>
      </c>
      <c r="T205">
        <v>63.859738999999998</v>
      </c>
      <c r="U205" t="s">
        <v>4629</v>
      </c>
      <c r="V205" t="s">
        <v>4630</v>
      </c>
      <c r="W205">
        <v>23.134233999999999</v>
      </c>
      <c r="X205">
        <v>285000</v>
      </c>
      <c r="Y205" t="s">
        <v>4631</v>
      </c>
      <c r="AA205" t="s">
        <v>63</v>
      </c>
      <c r="AB205" t="s">
        <v>39</v>
      </c>
      <c r="AC205" t="s">
        <v>480</v>
      </c>
      <c r="AD205" t="s">
        <v>64</v>
      </c>
      <c r="AE205" t="s">
        <v>4632</v>
      </c>
      <c r="AF205" t="s">
        <v>4633</v>
      </c>
      <c r="AG205" t="s">
        <v>4634</v>
      </c>
      <c r="AH205">
        <v>290</v>
      </c>
      <c r="AI205" s="2" t="str">
        <f t="shared" si="15"/>
        <v>Independent</v>
      </c>
      <c r="AJ205" s="2" t="str">
        <f t="shared" si="16"/>
        <v>YES</v>
      </c>
      <c r="AK205" s="1" t="str">
        <f t="shared" si="17"/>
        <v>None</v>
      </c>
      <c r="AL205" s="1" t="str">
        <f t="shared" si="18"/>
        <v>1 Toilet</v>
      </c>
      <c r="AM205" s="1" t="str">
        <f t="shared" si="19"/>
        <v>NO</v>
      </c>
      <c r="AN205" s="1" t="str">
        <f>VLOOKUP(J205, 'Regions and Cities'!A:B, 2, FALSE)</f>
        <v>Keski-Pohjanmaa</v>
      </c>
    </row>
    <row r="206" spans="1:40" x14ac:dyDescent="0.3">
      <c r="A206" t="s">
        <v>7178</v>
      </c>
      <c r="B206" t="s">
        <v>7179</v>
      </c>
      <c r="C206" t="s">
        <v>905</v>
      </c>
      <c r="D206" t="s">
        <v>7095</v>
      </c>
      <c r="E206" t="s">
        <v>7096</v>
      </c>
      <c r="F206" t="s">
        <v>58</v>
      </c>
      <c r="G206" t="s">
        <v>7180</v>
      </c>
      <c r="H206">
        <v>32</v>
      </c>
      <c r="I206" t="s">
        <v>72</v>
      </c>
      <c r="J206" t="s">
        <v>350</v>
      </c>
      <c r="K206" t="s">
        <v>131</v>
      </c>
      <c r="L206" t="s">
        <v>7181</v>
      </c>
      <c r="M206" t="s">
        <v>37</v>
      </c>
      <c r="N206" t="s">
        <v>7182</v>
      </c>
      <c r="O206" t="s">
        <v>7183</v>
      </c>
      <c r="P206" t="s">
        <v>7184</v>
      </c>
      <c r="Q206" t="s">
        <v>7185</v>
      </c>
      <c r="R206" t="s">
        <v>37</v>
      </c>
      <c r="S206" t="s">
        <v>37</v>
      </c>
      <c r="T206">
        <v>62.606110000000001</v>
      </c>
      <c r="U206" t="s">
        <v>7186</v>
      </c>
      <c r="V206" t="s">
        <v>7187</v>
      </c>
      <c r="W206">
        <v>29.758469999999999</v>
      </c>
      <c r="X206">
        <v>85000</v>
      </c>
      <c r="Y206" t="s">
        <v>3060</v>
      </c>
      <c r="AA206" t="s">
        <v>38</v>
      </c>
      <c r="AB206" t="s">
        <v>39</v>
      </c>
      <c r="AC206" t="s">
        <v>6510</v>
      </c>
      <c r="AD206" t="s">
        <v>202</v>
      </c>
      <c r="AE206" t="s">
        <v>7188</v>
      </c>
      <c r="AF206" t="s">
        <v>7189</v>
      </c>
      <c r="AG206" t="s">
        <v>7190</v>
      </c>
      <c r="AH206">
        <v>32</v>
      </c>
      <c r="AI206" s="2" t="str">
        <f t="shared" si="15"/>
        <v>Kitchenette</v>
      </c>
      <c r="AJ206" s="2" t="str">
        <f t="shared" si="16"/>
        <v>NO</v>
      </c>
      <c r="AK206" s="1" t="str">
        <f t="shared" si="17"/>
        <v>None</v>
      </c>
      <c r="AL206" s="1" t="str">
        <f t="shared" si="18"/>
        <v>1 Toilet</v>
      </c>
      <c r="AM206" s="1" t="str">
        <f t="shared" si="19"/>
        <v>NO</v>
      </c>
      <c r="AN206" s="1" t="str">
        <f>VLOOKUP(J206, 'Regions and Cities'!A:B, 2, FALSE)</f>
        <v>Pohjois-Karjala</v>
      </c>
    </row>
    <row r="207" spans="1:40" x14ac:dyDescent="0.3">
      <c r="A207" t="s">
        <v>903</v>
      </c>
      <c r="B207" t="s">
        <v>904</v>
      </c>
      <c r="C207" t="s">
        <v>905</v>
      </c>
      <c r="D207" t="s">
        <v>906</v>
      </c>
      <c r="E207" t="s">
        <v>907</v>
      </c>
      <c r="F207" t="s">
        <v>105</v>
      </c>
      <c r="G207" t="s">
        <v>908</v>
      </c>
      <c r="H207">
        <v>50.5</v>
      </c>
      <c r="I207" t="s">
        <v>909</v>
      </c>
      <c r="J207" t="s">
        <v>350</v>
      </c>
      <c r="K207" t="s">
        <v>131</v>
      </c>
      <c r="L207" t="s">
        <v>910</v>
      </c>
      <c r="M207" t="s">
        <v>37</v>
      </c>
      <c r="N207" t="s">
        <v>911</v>
      </c>
      <c r="O207" t="s">
        <v>912</v>
      </c>
      <c r="P207" t="s">
        <v>913</v>
      </c>
      <c r="Q207" t="s">
        <v>914</v>
      </c>
      <c r="R207" t="s">
        <v>37</v>
      </c>
      <c r="S207" t="s">
        <v>37</v>
      </c>
      <c r="T207">
        <v>62.594223999999997</v>
      </c>
      <c r="U207" t="s">
        <v>915</v>
      </c>
      <c r="V207" t="s">
        <v>916</v>
      </c>
      <c r="W207">
        <v>29.748387999999998</v>
      </c>
      <c r="X207">
        <v>132000</v>
      </c>
      <c r="Y207" t="s">
        <v>242</v>
      </c>
      <c r="AA207" t="s">
        <v>38</v>
      </c>
      <c r="AB207" t="s">
        <v>39</v>
      </c>
      <c r="AC207" t="s">
        <v>480</v>
      </c>
      <c r="AD207" t="s">
        <v>40</v>
      </c>
      <c r="AE207" t="s">
        <v>917</v>
      </c>
      <c r="AF207" t="s">
        <v>918</v>
      </c>
      <c r="AG207" t="s">
        <v>919</v>
      </c>
      <c r="AH207">
        <v>50.5</v>
      </c>
      <c r="AI207" s="2" t="str">
        <f t="shared" si="15"/>
        <v>Independent</v>
      </c>
      <c r="AJ207" s="2" t="str">
        <f t="shared" si="16"/>
        <v>NO</v>
      </c>
      <c r="AK207" s="1" t="str">
        <f t="shared" si="17"/>
        <v>None</v>
      </c>
      <c r="AL207" s="1" t="str">
        <f t="shared" si="18"/>
        <v>1 Toilet</v>
      </c>
      <c r="AM207" s="1" t="str">
        <f t="shared" si="19"/>
        <v>NO</v>
      </c>
      <c r="AN207" s="1" t="str">
        <f>VLOOKUP(J207, 'Regions and Cities'!A:B, 2, FALSE)</f>
        <v>Pohjois-Karjala</v>
      </c>
    </row>
    <row r="208" spans="1:40" x14ac:dyDescent="0.3">
      <c r="A208" t="s">
        <v>1744</v>
      </c>
      <c r="B208" t="s">
        <v>1745</v>
      </c>
      <c r="C208" t="s">
        <v>1746</v>
      </c>
      <c r="D208" t="s">
        <v>1747</v>
      </c>
      <c r="E208" t="s">
        <v>1748</v>
      </c>
      <c r="F208" t="s">
        <v>1749</v>
      </c>
      <c r="G208" t="s">
        <v>1750</v>
      </c>
      <c r="H208">
        <v>132</v>
      </c>
      <c r="I208" t="s">
        <v>81</v>
      </c>
      <c r="J208" t="s">
        <v>371</v>
      </c>
      <c r="K208" t="s">
        <v>1751</v>
      </c>
      <c r="L208" t="s">
        <v>1752</v>
      </c>
      <c r="M208" t="s">
        <v>37</v>
      </c>
      <c r="N208" t="s">
        <v>1753</v>
      </c>
      <c r="O208" t="s">
        <v>1754</v>
      </c>
      <c r="P208" t="s">
        <v>1755</v>
      </c>
      <c r="R208" t="s">
        <v>37</v>
      </c>
      <c r="S208" t="s">
        <v>37</v>
      </c>
      <c r="T208">
        <v>60.995019999999997</v>
      </c>
      <c r="U208" t="s">
        <v>1756</v>
      </c>
      <c r="V208" t="s">
        <v>1757</v>
      </c>
      <c r="W208">
        <v>25.50806</v>
      </c>
      <c r="X208">
        <v>269000</v>
      </c>
      <c r="Y208" t="s">
        <v>1145</v>
      </c>
      <c r="AA208" t="s">
        <v>63</v>
      </c>
      <c r="AB208" t="s">
        <v>39</v>
      </c>
      <c r="AC208" t="s">
        <v>1758</v>
      </c>
      <c r="AD208" t="s">
        <v>55</v>
      </c>
      <c r="AE208" t="s">
        <v>1759</v>
      </c>
      <c r="AF208" t="s">
        <v>1760</v>
      </c>
      <c r="AG208" t="s">
        <v>1761</v>
      </c>
      <c r="AH208">
        <v>132</v>
      </c>
      <c r="AI208" s="2" t="str">
        <f t="shared" si="15"/>
        <v>Independent</v>
      </c>
      <c r="AJ208" s="2" t="str">
        <f t="shared" si="16"/>
        <v>NO</v>
      </c>
      <c r="AK208" s="1" t="str">
        <f t="shared" si="17"/>
        <v>Terrace</v>
      </c>
      <c r="AL208" s="1" t="str">
        <f t="shared" si="18"/>
        <v>2 Toilets</v>
      </c>
      <c r="AM208" s="1" t="str">
        <f t="shared" si="19"/>
        <v>YES</v>
      </c>
      <c r="AN208" s="1" t="str">
        <f>VLOOKUP(J208, 'Regions and Cities'!A:B, 2, FALSE)</f>
        <v>Päijät-Häme</v>
      </c>
    </row>
    <row r="209" spans="1:40" x14ac:dyDescent="0.3">
      <c r="A209" t="s">
        <v>9304</v>
      </c>
      <c r="B209" t="s">
        <v>9305</v>
      </c>
      <c r="C209" t="s">
        <v>9306</v>
      </c>
      <c r="D209" t="s">
        <v>9307</v>
      </c>
      <c r="E209" t="s">
        <v>9308</v>
      </c>
      <c r="F209" t="s">
        <v>144</v>
      </c>
      <c r="G209" t="s">
        <v>9309</v>
      </c>
      <c r="H209">
        <v>93</v>
      </c>
      <c r="I209" t="s">
        <v>2387</v>
      </c>
      <c r="J209" t="s">
        <v>139</v>
      </c>
      <c r="K209" t="s">
        <v>9310</v>
      </c>
      <c r="L209" t="s">
        <v>9311</v>
      </c>
      <c r="M209" t="s">
        <v>37</v>
      </c>
      <c r="N209" t="s">
        <v>9312</v>
      </c>
      <c r="O209" t="s">
        <v>9313</v>
      </c>
      <c r="P209" t="s">
        <v>9314</v>
      </c>
      <c r="Q209" t="s">
        <v>9315</v>
      </c>
      <c r="R209" t="s">
        <v>37</v>
      </c>
      <c r="S209" t="s">
        <v>37</v>
      </c>
      <c r="T209">
        <v>61.509920000000001</v>
      </c>
      <c r="U209" t="s">
        <v>9316</v>
      </c>
      <c r="V209" t="s">
        <v>9317</v>
      </c>
      <c r="W209">
        <v>23.664349999999999</v>
      </c>
      <c r="X209">
        <v>299000</v>
      </c>
      <c r="Y209" t="s">
        <v>2849</v>
      </c>
      <c r="AA209" t="s">
        <v>54</v>
      </c>
      <c r="AB209" t="s">
        <v>39</v>
      </c>
      <c r="AC209" t="s">
        <v>6510</v>
      </c>
      <c r="AD209" t="s">
        <v>75</v>
      </c>
      <c r="AE209" t="s">
        <v>9318</v>
      </c>
      <c r="AF209" t="s">
        <v>9319</v>
      </c>
      <c r="AG209" t="s">
        <v>9320</v>
      </c>
      <c r="AH209">
        <v>138.5</v>
      </c>
      <c r="AI209" s="2" t="str">
        <f t="shared" si="15"/>
        <v>Independent</v>
      </c>
      <c r="AJ209" s="2" t="str">
        <f t="shared" si="16"/>
        <v>NO</v>
      </c>
      <c r="AK209" s="1" t="str">
        <f t="shared" si="17"/>
        <v>None</v>
      </c>
      <c r="AL209" s="1" t="str">
        <f t="shared" si="18"/>
        <v>1 Toilet</v>
      </c>
      <c r="AM209" s="1" t="str">
        <f t="shared" si="19"/>
        <v>YES</v>
      </c>
      <c r="AN209" s="1" t="str">
        <f>VLOOKUP(J209, 'Regions and Cities'!A:B, 2, FALSE)</f>
        <v>Pirkanmaa</v>
      </c>
    </row>
    <row r="210" spans="1:40" x14ac:dyDescent="0.3">
      <c r="A210" t="s">
        <v>6737</v>
      </c>
      <c r="B210" t="s">
        <v>6738</v>
      </c>
      <c r="C210" t="s">
        <v>2618</v>
      </c>
      <c r="D210" t="s">
        <v>1667</v>
      </c>
      <c r="E210" t="s">
        <v>1668</v>
      </c>
      <c r="F210" t="s">
        <v>105</v>
      </c>
      <c r="G210" t="s">
        <v>1669</v>
      </c>
      <c r="H210">
        <v>139</v>
      </c>
      <c r="I210" t="s">
        <v>3771</v>
      </c>
      <c r="J210" t="s">
        <v>378</v>
      </c>
      <c r="K210" t="s">
        <v>2623</v>
      </c>
      <c r="L210" t="s">
        <v>6739</v>
      </c>
      <c r="M210" t="s">
        <v>37</v>
      </c>
      <c r="N210" t="s">
        <v>6740</v>
      </c>
      <c r="O210" t="s">
        <v>6741</v>
      </c>
      <c r="P210" t="s">
        <v>6742</v>
      </c>
      <c r="Q210" t="s">
        <v>6743</v>
      </c>
      <c r="R210" t="s">
        <v>37</v>
      </c>
      <c r="S210" t="s">
        <v>37</v>
      </c>
      <c r="T210">
        <v>61.674861999999997</v>
      </c>
      <c r="U210" t="s">
        <v>6744</v>
      </c>
      <c r="V210" t="s">
        <v>6745</v>
      </c>
      <c r="W210">
        <v>27.246172000000001</v>
      </c>
      <c r="X210">
        <v>399000</v>
      </c>
      <c r="Y210" t="s">
        <v>5120</v>
      </c>
      <c r="AA210" t="s">
        <v>63</v>
      </c>
      <c r="AB210" t="s">
        <v>39</v>
      </c>
      <c r="AC210" t="s">
        <v>6510</v>
      </c>
      <c r="AD210" t="s">
        <v>75</v>
      </c>
      <c r="AE210" t="s">
        <v>6746</v>
      </c>
      <c r="AF210" t="s">
        <v>6747</v>
      </c>
      <c r="AG210" t="s">
        <v>6748</v>
      </c>
      <c r="AH210">
        <v>160</v>
      </c>
      <c r="AI210" s="2" t="str">
        <f t="shared" si="15"/>
        <v>Independent</v>
      </c>
      <c r="AJ210" s="2" t="str">
        <f t="shared" si="16"/>
        <v>YES</v>
      </c>
      <c r="AK210" s="1" t="str">
        <f t="shared" si="17"/>
        <v>None</v>
      </c>
      <c r="AL210" s="1" t="str">
        <f t="shared" si="18"/>
        <v>1 Toilet</v>
      </c>
      <c r="AM210" s="1" t="str">
        <f t="shared" si="19"/>
        <v>NO</v>
      </c>
      <c r="AN210" s="1" t="str">
        <f>VLOOKUP(J210, 'Regions and Cities'!A:B, 2, FALSE)</f>
        <v>Etelä-Savo</v>
      </c>
    </row>
    <row r="211" spans="1:40" x14ac:dyDescent="0.3">
      <c r="A211" t="s">
        <v>4393</v>
      </c>
      <c r="B211" t="s">
        <v>4394</v>
      </c>
      <c r="C211" t="s">
        <v>269</v>
      </c>
      <c r="D211" t="s">
        <v>1535</v>
      </c>
      <c r="E211" t="s">
        <v>1536</v>
      </c>
      <c r="F211" t="s">
        <v>1493</v>
      </c>
      <c r="H211">
        <v>45</v>
      </c>
      <c r="I211" t="s">
        <v>191</v>
      </c>
      <c r="J211" t="s">
        <v>265</v>
      </c>
      <c r="K211" t="s">
        <v>270</v>
      </c>
      <c r="L211" t="s">
        <v>4395</v>
      </c>
      <c r="M211" t="s">
        <v>37</v>
      </c>
      <c r="N211" t="s">
        <v>4396</v>
      </c>
      <c r="O211" t="s">
        <v>4397</v>
      </c>
      <c r="R211" t="s">
        <v>37</v>
      </c>
      <c r="S211" t="s">
        <v>37</v>
      </c>
      <c r="T211">
        <v>65.026678000000004</v>
      </c>
      <c r="U211" t="s">
        <v>4398</v>
      </c>
      <c r="V211" t="s">
        <v>4399</v>
      </c>
      <c r="W211">
        <v>25.458884999999999</v>
      </c>
      <c r="X211">
        <v>169000</v>
      </c>
      <c r="Y211" t="s">
        <v>1088</v>
      </c>
      <c r="AA211" t="s">
        <v>38</v>
      </c>
      <c r="AB211" t="s">
        <v>39</v>
      </c>
      <c r="AC211" t="s">
        <v>480</v>
      </c>
      <c r="AD211" t="s">
        <v>40</v>
      </c>
      <c r="AE211" t="s">
        <v>4400</v>
      </c>
      <c r="AF211" t="s">
        <v>4401</v>
      </c>
      <c r="AG211" t="s">
        <v>4402</v>
      </c>
      <c r="AH211">
        <v>45</v>
      </c>
      <c r="AI211" s="2" t="str">
        <f t="shared" si="15"/>
        <v>Kitchenette</v>
      </c>
      <c r="AJ211" s="2" t="str">
        <f t="shared" si="16"/>
        <v>YES</v>
      </c>
      <c r="AK211" s="1" t="str">
        <f t="shared" si="17"/>
        <v>None</v>
      </c>
      <c r="AL211" s="1" t="str">
        <f t="shared" si="18"/>
        <v>1 Toilet</v>
      </c>
      <c r="AM211" s="1" t="str">
        <f t="shared" si="19"/>
        <v>NO</v>
      </c>
      <c r="AN211" s="1" t="str">
        <f>VLOOKUP(J211, 'Regions and Cities'!A:B, 2, FALSE)</f>
        <v>Pohjois-Pohjanmaa</v>
      </c>
    </row>
    <row r="212" spans="1:40" x14ac:dyDescent="0.3">
      <c r="A212" t="s">
        <v>8358</v>
      </c>
      <c r="B212" t="s">
        <v>8359</v>
      </c>
      <c r="C212" t="s">
        <v>8360</v>
      </c>
      <c r="D212" t="s">
        <v>77</v>
      </c>
      <c r="E212" t="s">
        <v>78</v>
      </c>
      <c r="F212" t="s">
        <v>79</v>
      </c>
      <c r="G212" t="s">
        <v>8361</v>
      </c>
      <c r="H212">
        <v>207</v>
      </c>
      <c r="J212" t="s">
        <v>73</v>
      </c>
      <c r="K212" t="s">
        <v>8362</v>
      </c>
      <c r="L212" t="s">
        <v>8363</v>
      </c>
      <c r="M212" t="s">
        <v>37</v>
      </c>
      <c r="N212" t="s">
        <v>8364</v>
      </c>
      <c r="O212" t="s">
        <v>8365</v>
      </c>
      <c r="P212" t="s">
        <v>8366</v>
      </c>
      <c r="Q212" t="s">
        <v>8367</v>
      </c>
      <c r="R212" t="s">
        <v>37</v>
      </c>
      <c r="S212" t="s">
        <v>37</v>
      </c>
      <c r="T212">
        <v>62.234400000000001</v>
      </c>
      <c r="U212" t="s">
        <v>8368</v>
      </c>
      <c r="V212" t="s">
        <v>8369</v>
      </c>
      <c r="W212">
        <v>25.839306000000001</v>
      </c>
      <c r="X212">
        <v>595000</v>
      </c>
      <c r="Y212" t="s">
        <v>8370</v>
      </c>
      <c r="AA212" t="s">
        <v>63</v>
      </c>
      <c r="AB212" t="s">
        <v>39</v>
      </c>
      <c r="AC212" t="s">
        <v>6510</v>
      </c>
      <c r="AD212" t="s">
        <v>55</v>
      </c>
      <c r="AE212" t="s">
        <v>8371</v>
      </c>
      <c r="AF212" t="s">
        <v>8372</v>
      </c>
      <c r="AG212" t="s">
        <v>8373</v>
      </c>
      <c r="AH212">
        <v>225</v>
      </c>
      <c r="AI212" s="2" t="str">
        <f t="shared" si="15"/>
        <v>Independent</v>
      </c>
      <c r="AJ212" s="2" t="str">
        <f t="shared" si="16"/>
        <v>NO</v>
      </c>
      <c r="AK212" s="1" t="str">
        <f t="shared" si="17"/>
        <v>Glazed Balcony</v>
      </c>
      <c r="AL212" s="1" t="str">
        <f t="shared" si="18"/>
        <v>1 Toilet</v>
      </c>
      <c r="AM212" s="1" t="str">
        <f t="shared" si="19"/>
        <v>NO</v>
      </c>
      <c r="AN212" s="1" t="str">
        <f>VLOOKUP(J212, 'Regions and Cities'!A:B, 2, FALSE)</f>
        <v>Keski-Suomi</v>
      </c>
    </row>
    <row r="213" spans="1:40" x14ac:dyDescent="0.3">
      <c r="A213" t="s">
        <v>549</v>
      </c>
      <c r="B213" t="s">
        <v>550</v>
      </c>
      <c r="C213" t="s">
        <v>551</v>
      </c>
      <c r="D213" t="s">
        <v>552</v>
      </c>
      <c r="E213" t="s">
        <v>553</v>
      </c>
      <c r="F213" t="s">
        <v>554</v>
      </c>
      <c r="G213" t="s">
        <v>555</v>
      </c>
      <c r="H213">
        <v>100</v>
      </c>
      <c r="I213" t="s">
        <v>556</v>
      </c>
      <c r="J213" t="s">
        <v>208</v>
      </c>
      <c r="K213" t="s">
        <v>557</v>
      </c>
      <c r="L213" t="s">
        <v>558</v>
      </c>
      <c r="M213" t="s">
        <v>111</v>
      </c>
      <c r="N213" t="s">
        <v>559</v>
      </c>
      <c r="O213" t="s">
        <v>560</v>
      </c>
      <c r="P213" t="s">
        <v>561</v>
      </c>
      <c r="R213" t="s">
        <v>37</v>
      </c>
      <c r="S213" t="s">
        <v>37</v>
      </c>
      <c r="T213">
        <v>66.519660000000002</v>
      </c>
      <c r="U213" t="s">
        <v>562</v>
      </c>
      <c r="V213" t="s">
        <v>563</v>
      </c>
      <c r="W213">
        <v>25.835740000000001</v>
      </c>
      <c r="X213">
        <v>195000</v>
      </c>
      <c r="Y213" t="s">
        <v>564</v>
      </c>
      <c r="AA213" t="s">
        <v>63</v>
      </c>
      <c r="AB213" t="s">
        <v>39</v>
      </c>
      <c r="AC213" t="s">
        <v>480</v>
      </c>
      <c r="AD213" t="s">
        <v>75</v>
      </c>
      <c r="AE213" t="s">
        <v>565</v>
      </c>
      <c r="AF213" t="s">
        <v>566</v>
      </c>
      <c r="AG213" t="s">
        <v>567</v>
      </c>
      <c r="AH213">
        <v>103</v>
      </c>
      <c r="AI213" s="2" t="str">
        <f t="shared" si="15"/>
        <v>Independent</v>
      </c>
      <c r="AJ213" s="2" t="str">
        <f t="shared" si="16"/>
        <v>NO</v>
      </c>
      <c r="AK213" s="1" t="str">
        <f t="shared" si="17"/>
        <v>None</v>
      </c>
      <c r="AL213" s="1" t="str">
        <f t="shared" si="18"/>
        <v>1 Toilet</v>
      </c>
      <c r="AM213" s="1" t="str">
        <f t="shared" si="19"/>
        <v>YES</v>
      </c>
      <c r="AN213" s="1" t="str">
        <f>VLOOKUP(J213, 'Regions and Cities'!A:B, 2, FALSE)</f>
        <v>Lappi</v>
      </c>
    </row>
    <row r="214" spans="1:40" x14ac:dyDescent="0.3">
      <c r="A214" t="s">
        <v>7669</v>
      </c>
      <c r="B214" t="s">
        <v>7670</v>
      </c>
      <c r="C214" t="s">
        <v>3299</v>
      </c>
      <c r="D214" t="s">
        <v>6788</v>
      </c>
      <c r="E214" t="s">
        <v>6789</v>
      </c>
      <c r="F214" t="s">
        <v>6790</v>
      </c>
      <c r="H214">
        <v>24</v>
      </c>
      <c r="I214" t="s">
        <v>7671</v>
      </c>
      <c r="J214" t="s">
        <v>392</v>
      </c>
      <c r="K214" t="s">
        <v>3302</v>
      </c>
      <c r="L214" t="s">
        <v>7672</v>
      </c>
      <c r="M214" t="s">
        <v>37</v>
      </c>
      <c r="N214" t="s">
        <v>7673</v>
      </c>
      <c r="O214" t="s">
        <v>7674</v>
      </c>
      <c r="R214" t="s">
        <v>37</v>
      </c>
      <c r="S214" t="s">
        <v>37</v>
      </c>
      <c r="T214">
        <v>63.109755999999997</v>
      </c>
      <c r="U214" t="s">
        <v>7675</v>
      </c>
      <c r="V214" t="s">
        <v>7676</v>
      </c>
      <c r="W214">
        <v>21.589435000000002</v>
      </c>
      <c r="X214">
        <v>43000</v>
      </c>
      <c r="Y214" t="s">
        <v>4771</v>
      </c>
      <c r="AA214" t="s">
        <v>38</v>
      </c>
      <c r="AB214" t="s">
        <v>39</v>
      </c>
      <c r="AC214" t="s">
        <v>6510</v>
      </c>
      <c r="AD214" t="s">
        <v>202</v>
      </c>
      <c r="AE214" t="s">
        <v>7677</v>
      </c>
      <c r="AF214" t="s">
        <v>7678</v>
      </c>
      <c r="AG214" t="s">
        <v>7679</v>
      </c>
      <c r="AH214">
        <v>24</v>
      </c>
      <c r="AI214" s="2" t="str">
        <f t="shared" si="15"/>
        <v>Kitchenette</v>
      </c>
      <c r="AJ214" s="2" t="str">
        <f t="shared" si="16"/>
        <v>NO</v>
      </c>
      <c r="AK214" s="1" t="str">
        <f t="shared" si="17"/>
        <v>None</v>
      </c>
      <c r="AL214" s="1" t="str">
        <f t="shared" si="18"/>
        <v>1 Toilet</v>
      </c>
      <c r="AM214" s="1" t="str">
        <f t="shared" si="19"/>
        <v>NO</v>
      </c>
      <c r="AN214" s="1" t="str">
        <f>VLOOKUP(J214, 'Regions and Cities'!A:B, 2, FALSE)</f>
        <v>Pohjanmaa</v>
      </c>
    </row>
    <row r="215" spans="1:40" x14ac:dyDescent="0.3">
      <c r="A215" t="s">
        <v>4083</v>
      </c>
      <c r="B215" t="s">
        <v>4084</v>
      </c>
      <c r="C215" t="s">
        <v>4085</v>
      </c>
      <c r="D215" t="s">
        <v>142</v>
      </c>
      <c r="E215" t="s">
        <v>143</v>
      </c>
      <c r="F215" t="s">
        <v>144</v>
      </c>
      <c r="G215" t="s">
        <v>4086</v>
      </c>
      <c r="H215">
        <v>91</v>
      </c>
      <c r="I215" t="s">
        <v>4087</v>
      </c>
      <c r="J215" t="s">
        <v>139</v>
      </c>
      <c r="K215" t="s">
        <v>4088</v>
      </c>
      <c r="L215" t="s">
        <v>4089</v>
      </c>
      <c r="M215" t="s">
        <v>37</v>
      </c>
      <c r="N215" t="s">
        <v>4090</v>
      </c>
      <c r="O215" t="s">
        <v>4091</v>
      </c>
      <c r="P215" t="s">
        <v>4092</v>
      </c>
      <c r="R215" t="s">
        <v>37</v>
      </c>
      <c r="S215" t="s">
        <v>37</v>
      </c>
      <c r="T215">
        <v>61.508929999999999</v>
      </c>
      <c r="U215" t="s">
        <v>4093</v>
      </c>
      <c r="V215" t="s">
        <v>4094</v>
      </c>
      <c r="W215">
        <v>23.778210000000001</v>
      </c>
      <c r="X215">
        <v>286000</v>
      </c>
      <c r="Y215" t="s">
        <v>4095</v>
      </c>
      <c r="AA215" t="s">
        <v>38</v>
      </c>
      <c r="AB215" t="s">
        <v>39</v>
      </c>
      <c r="AC215" t="s">
        <v>4096</v>
      </c>
      <c r="AD215" t="s">
        <v>46</v>
      </c>
      <c r="AE215" t="s">
        <v>775</v>
      </c>
      <c r="AF215" t="s">
        <v>4097</v>
      </c>
      <c r="AG215" t="s">
        <v>4098</v>
      </c>
      <c r="AH215">
        <v>91</v>
      </c>
      <c r="AI215" s="2" t="str">
        <f t="shared" si="15"/>
        <v>Independent</v>
      </c>
      <c r="AJ215" s="2" t="str">
        <f t="shared" si="16"/>
        <v>NO</v>
      </c>
      <c r="AK215" s="1" t="str">
        <f t="shared" si="17"/>
        <v>None</v>
      </c>
      <c r="AL215" s="1" t="str">
        <f t="shared" si="18"/>
        <v>1 Toilet</v>
      </c>
      <c r="AM215" s="1" t="str">
        <f t="shared" si="19"/>
        <v>NO</v>
      </c>
      <c r="AN215" s="1" t="str">
        <f>VLOOKUP(J215, 'Regions and Cities'!A:B, 2, FALSE)</f>
        <v>Pirkanmaa</v>
      </c>
    </row>
    <row r="216" spans="1:40" x14ac:dyDescent="0.3">
      <c r="A216" t="s">
        <v>8042</v>
      </c>
      <c r="B216" t="s">
        <v>8043</v>
      </c>
      <c r="C216" t="s">
        <v>8044</v>
      </c>
      <c r="D216" t="s">
        <v>8045</v>
      </c>
      <c r="E216" t="s">
        <v>8046</v>
      </c>
      <c r="H216">
        <v>172</v>
      </c>
      <c r="J216" t="s">
        <v>137</v>
      </c>
      <c r="K216" t="s">
        <v>8047</v>
      </c>
      <c r="L216" t="s">
        <v>8048</v>
      </c>
      <c r="M216" t="s">
        <v>37</v>
      </c>
      <c r="N216" t="s">
        <v>8049</v>
      </c>
      <c r="O216" t="s">
        <v>8050</v>
      </c>
      <c r="R216" t="s">
        <v>37</v>
      </c>
      <c r="S216" t="s">
        <v>37</v>
      </c>
      <c r="T216">
        <v>60.257919000000001</v>
      </c>
      <c r="U216" t="s">
        <v>8051</v>
      </c>
      <c r="V216" t="s">
        <v>8052</v>
      </c>
      <c r="W216">
        <v>24.950782</v>
      </c>
      <c r="X216">
        <v>850000</v>
      </c>
      <c r="Y216" t="s">
        <v>8053</v>
      </c>
      <c r="AA216" t="s">
        <v>63</v>
      </c>
      <c r="AB216" t="s">
        <v>39</v>
      </c>
      <c r="AC216" t="s">
        <v>6510</v>
      </c>
      <c r="AD216" t="s">
        <v>55</v>
      </c>
      <c r="AE216" t="s">
        <v>8054</v>
      </c>
      <c r="AF216" t="s">
        <v>8055</v>
      </c>
      <c r="AG216" t="s">
        <v>8056</v>
      </c>
      <c r="AH216">
        <v>207</v>
      </c>
      <c r="AI216" s="2" t="str">
        <f t="shared" si="15"/>
        <v>Independent</v>
      </c>
      <c r="AJ216" s="2" t="str">
        <f t="shared" si="16"/>
        <v>NO</v>
      </c>
      <c r="AK216" s="1" t="str">
        <f t="shared" si="17"/>
        <v>None</v>
      </c>
      <c r="AL216" s="1" t="str">
        <f t="shared" si="18"/>
        <v>1 Toilet</v>
      </c>
      <c r="AM216" s="1" t="str">
        <f t="shared" si="19"/>
        <v>NO</v>
      </c>
      <c r="AN216" s="1" t="str">
        <f>VLOOKUP(J216, 'Regions and Cities'!A:B, 2, FALSE)</f>
        <v>Uusimaa</v>
      </c>
    </row>
    <row r="217" spans="1:40" x14ac:dyDescent="0.3">
      <c r="A217" t="s">
        <v>5207</v>
      </c>
      <c r="B217" t="s">
        <v>5208</v>
      </c>
      <c r="C217" t="s">
        <v>5209</v>
      </c>
      <c r="D217" t="s">
        <v>3300</v>
      </c>
      <c r="E217" t="s">
        <v>3301</v>
      </c>
      <c r="F217" t="s">
        <v>721</v>
      </c>
      <c r="H217">
        <v>73</v>
      </c>
      <c r="I217" t="s">
        <v>1221</v>
      </c>
      <c r="J217" t="s">
        <v>366</v>
      </c>
      <c r="K217" t="s">
        <v>5210</v>
      </c>
      <c r="L217" t="s">
        <v>5211</v>
      </c>
      <c r="M217" t="s">
        <v>37</v>
      </c>
      <c r="N217" t="s">
        <v>5212</v>
      </c>
      <c r="O217" t="s">
        <v>5213</v>
      </c>
      <c r="R217" t="s">
        <v>37</v>
      </c>
      <c r="S217" t="s">
        <v>37</v>
      </c>
      <c r="T217">
        <v>63.841391999999999</v>
      </c>
      <c r="U217" t="s">
        <v>5214</v>
      </c>
      <c r="V217" t="s">
        <v>5215</v>
      </c>
      <c r="W217">
        <v>23.181989999999999</v>
      </c>
      <c r="X217">
        <v>149000</v>
      </c>
      <c r="Y217" t="s">
        <v>261</v>
      </c>
      <c r="AA217" t="s">
        <v>54</v>
      </c>
      <c r="AB217" t="s">
        <v>39</v>
      </c>
      <c r="AC217" t="s">
        <v>480</v>
      </c>
      <c r="AD217" t="s">
        <v>46</v>
      </c>
      <c r="AE217" t="s">
        <v>5216</v>
      </c>
      <c r="AF217" t="s">
        <v>5217</v>
      </c>
      <c r="AG217" t="s">
        <v>5218</v>
      </c>
      <c r="AH217">
        <v>73</v>
      </c>
      <c r="AI217" s="2" t="str">
        <f t="shared" si="15"/>
        <v>Independent</v>
      </c>
      <c r="AJ217" s="2" t="str">
        <f t="shared" si="16"/>
        <v>NO</v>
      </c>
      <c r="AK217" s="1" t="str">
        <f t="shared" si="17"/>
        <v>Terrace</v>
      </c>
      <c r="AL217" s="1" t="str">
        <f t="shared" si="18"/>
        <v>1 Toilet</v>
      </c>
      <c r="AM217" s="1" t="str">
        <f t="shared" si="19"/>
        <v>NO</v>
      </c>
      <c r="AN217" s="1" t="str">
        <f>VLOOKUP(J217, 'Regions and Cities'!A:B, 2, FALSE)</f>
        <v>Keski-Pohjanmaa</v>
      </c>
    </row>
    <row r="218" spans="1:40" x14ac:dyDescent="0.3">
      <c r="A218" t="s">
        <v>644</v>
      </c>
      <c r="B218" t="s">
        <v>645</v>
      </c>
      <c r="C218" t="s">
        <v>646</v>
      </c>
      <c r="D218" t="s">
        <v>647</v>
      </c>
      <c r="E218" t="s">
        <v>648</v>
      </c>
      <c r="F218" t="s">
        <v>649</v>
      </c>
      <c r="H218">
        <v>73</v>
      </c>
      <c r="I218" t="s">
        <v>298</v>
      </c>
      <c r="J218" t="s">
        <v>73</v>
      </c>
      <c r="K218" t="s">
        <v>650</v>
      </c>
      <c r="L218" t="s">
        <v>651</v>
      </c>
      <c r="M218" t="s">
        <v>37</v>
      </c>
      <c r="N218" t="s">
        <v>652</v>
      </c>
      <c r="O218" t="s">
        <v>653</v>
      </c>
      <c r="R218" t="s">
        <v>37</v>
      </c>
      <c r="S218" t="s">
        <v>37</v>
      </c>
      <c r="T218">
        <v>62.204600999999997</v>
      </c>
      <c r="U218" t="s">
        <v>654</v>
      </c>
      <c r="V218" t="s">
        <v>655</v>
      </c>
      <c r="W218">
        <v>25.779458000000002</v>
      </c>
      <c r="X218">
        <v>179000</v>
      </c>
      <c r="Y218" t="s">
        <v>117</v>
      </c>
      <c r="AA218" t="s">
        <v>45</v>
      </c>
      <c r="AB218" t="s">
        <v>39</v>
      </c>
      <c r="AC218" t="s">
        <v>480</v>
      </c>
      <c r="AD218" t="s">
        <v>46</v>
      </c>
      <c r="AE218" t="s">
        <v>656</v>
      </c>
      <c r="AF218" t="s">
        <v>657</v>
      </c>
      <c r="AG218" t="s">
        <v>658</v>
      </c>
      <c r="AH218">
        <v>73</v>
      </c>
      <c r="AI218" s="2" t="str">
        <f t="shared" si="15"/>
        <v>Independent</v>
      </c>
      <c r="AJ218" s="2" t="str">
        <f t="shared" si="16"/>
        <v>YES</v>
      </c>
      <c r="AK218" s="1" t="str">
        <f t="shared" si="17"/>
        <v>None</v>
      </c>
      <c r="AL218" s="1" t="str">
        <f t="shared" si="18"/>
        <v>2 Toilets</v>
      </c>
      <c r="AM218" s="1" t="str">
        <f t="shared" si="19"/>
        <v>NO</v>
      </c>
      <c r="AN218" s="1" t="str">
        <f>VLOOKUP(J218, 'Regions and Cities'!A:B, 2, FALSE)</f>
        <v>Keski-Suomi</v>
      </c>
    </row>
    <row r="219" spans="1:40" x14ac:dyDescent="0.3">
      <c r="A219" t="s">
        <v>2477</v>
      </c>
      <c r="B219" t="s">
        <v>2478</v>
      </c>
      <c r="C219" t="s">
        <v>2044</v>
      </c>
      <c r="D219" t="s">
        <v>1596</v>
      </c>
      <c r="E219" t="s">
        <v>1597</v>
      </c>
      <c r="F219" t="s">
        <v>1598</v>
      </c>
      <c r="H219">
        <v>89</v>
      </c>
      <c r="I219" t="s">
        <v>147</v>
      </c>
      <c r="J219" t="s">
        <v>265</v>
      </c>
      <c r="K219" t="s">
        <v>2045</v>
      </c>
      <c r="L219" t="s">
        <v>2479</v>
      </c>
      <c r="M219" t="s">
        <v>37</v>
      </c>
      <c r="N219" t="s">
        <v>2480</v>
      </c>
      <c r="O219" t="s">
        <v>2481</v>
      </c>
      <c r="R219" t="s">
        <v>111</v>
      </c>
      <c r="S219" t="s">
        <v>37</v>
      </c>
      <c r="T219">
        <v>65.169905999999997</v>
      </c>
      <c r="U219" t="s">
        <v>2482</v>
      </c>
      <c r="V219" t="s">
        <v>2483</v>
      </c>
      <c r="W219">
        <v>25.359722000000001</v>
      </c>
      <c r="X219">
        <v>259000</v>
      </c>
      <c r="Y219" t="s">
        <v>67</v>
      </c>
      <c r="AA219" t="s">
        <v>63</v>
      </c>
      <c r="AB219" t="s">
        <v>39</v>
      </c>
      <c r="AC219" t="s">
        <v>480</v>
      </c>
      <c r="AD219" t="s">
        <v>75</v>
      </c>
      <c r="AE219" t="s">
        <v>2484</v>
      </c>
      <c r="AF219" t="s">
        <v>2485</v>
      </c>
      <c r="AG219" t="s">
        <v>2486</v>
      </c>
      <c r="AH219">
        <v>98</v>
      </c>
      <c r="AI219" s="2" t="str">
        <f t="shared" si="15"/>
        <v>Independent</v>
      </c>
      <c r="AJ219" s="2" t="str">
        <f t="shared" si="16"/>
        <v>NO</v>
      </c>
      <c r="AK219" s="1" t="str">
        <f t="shared" si="17"/>
        <v>Terrace</v>
      </c>
      <c r="AL219" s="1" t="str">
        <f t="shared" si="18"/>
        <v>1 Toilet</v>
      </c>
      <c r="AM219" s="1" t="str">
        <f t="shared" si="19"/>
        <v>YES</v>
      </c>
      <c r="AN219" s="1" t="str">
        <f>VLOOKUP(J219, 'Regions and Cities'!A:B, 2, FALSE)</f>
        <v>Pohjois-Pohjanmaa</v>
      </c>
    </row>
    <row r="220" spans="1:40" x14ac:dyDescent="0.3">
      <c r="A220" t="s">
        <v>2342</v>
      </c>
      <c r="B220" t="s">
        <v>2343</v>
      </c>
      <c r="C220" t="s">
        <v>2044</v>
      </c>
      <c r="D220" t="s">
        <v>1596</v>
      </c>
      <c r="E220" t="s">
        <v>1597</v>
      </c>
      <c r="F220" t="s">
        <v>1598</v>
      </c>
      <c r="H220">
        <v>73</v>
      </c>
      <c r="I220" t="s">
        <v>147</v>
      </c>
      <c r="J220" t="s">
        <v>265</v>
      </c>
      <c r="K220" t="s">
        <v>2045</v>
      </c>
      <c r="L220" t="s">
        <v>2344</v>
      </c>
      <c r="M220" t="s">
        <v>37</v>
      </c>
      <c r="N220" t="s">
        <v>2345</v>
      </c>
      <c r="O220" t="s">
        <v>2346</v>
      </c>
      <c r="R220" t="s">
        <v>111</v>
      </c>
      <c r="S220" t="s">
        <v>37</v>
      </c>
      <c r="T220">
        <v>65.169905999999997</v>
      </c>
      <c r="U220" t="s">
        <v>2347</v>
      </c>
      <c r="V220" t="s">
        <v>2348</v>
      </c>
      <c r="W220">
        <v>25.359722000000001</v>
      </c>
      <c r="X220">
        <v>219000</v>
      </c>
      <c r="Y220" t="s">
        <v>115</v>
      </c>
      <c r="AA220" t="s">
        <v>63</v>
      </c>
      <c r="AB220" t="s">
        <v>39</v>
      </c>
      <c r="AC220" t="s">
        <v>480</v>
      </c>
      <c r="AD220" t="s">
        <v>46</v>
      </c>
      <c r="AE220" t="s">
        <v>2052</v>
      </c>
      <c r="AF220" t="s">
        <v>2349</v>
      </c>
      <c r="AG220" t="s">
        <v>2054</v>
      </c>
      <c r="AH220">
        <v>82</v>
      </c>
      <c r="AI220" s="2" t="str">
        <f t="shared" si="15"/>
        <v>Independent</v>
      </c>
      <c r="AJ220" s="2" t="str">
        <f t="shared" si="16"/>
        <v>NO</v>
      </c>
      <c r="AK220" s="1" t="str">
        <f t="shared" si="17"/>
        <v>Terrace</v>
      </c>
      <c r="AL220" s="1" t="str">
        <f t="shared" si="18"/>
        <v>1 Toilet</v>
      </c>
      <c r="AM220" s="1" t="str">
        <f t="shared" si="19"/>
        <v>YES</v>
      </c>
      <c r="AN220" s="1" t="str">
        <f>VLOOKUP(J220, 'Regions and Cities'!A:B, 2, FALSE)</f>
        <v>Pohjois-Pohjanmaa</v>
      </c>
    </row>
    <row r="221" spans="1:40" x14ac:dyDescent="0.3">
      <c r="A221" t="s">
        <v>2042</v>
      </c>
      <c r="B221" t="s">
        <v>2043</v>
      </c>
      <c r="C221" t="s">
        <v>2044</v>
      </c>
      <c r="D221" t="s">
        <v>1596</v>
      </c>
      <c r="E221" t="s">
        <v>1597</v>
      </c>
      <c r="F221" t="s">
        <v>1598</v>
      </c>
      <c r="H221">
        <v>73</v>
      </c>
      <c r="I221" t="s">
        <v>147</v>
      </c>
      <c r="J221" t="s">
        <v>265</v>
      </c>
      <c r="K221" t="s">
        <v>2045</v>
      </c>
      <c r="L221" t="s">
        <v>2046</v>
      </c>
      <c r="M221" t="s">
        <v>37</v>
      </c>
      <c r="N221" t="s">
        <v>2047</v>
      </c>
      <c r="O221" t="s">
        <v>2048</v>
      </c>
      <c r="R221" t="s">
        <v>111</v>
      </c>
      <c r="S221" t="s">
        <v>37</v>
      </c>
      <c r="T221">
        <v>65.169905999999997</v>
      </c>
      <c r="U221" t="s">
        <v>2049</v>
      </c>
      <c r="V221" t="s">
        <v>2050</v>
      </c>
      <c r="W221">
        <v>25.359722000000001</v>
      </c>
      <c r="X221">
        <v>224000</v>
      </c>
      <c r="Y221" t="s">
        <v>2051</v>
      </c>
      <c r="AA221" t="s">
        <v>63</v>
      </c>
      <c r="AB221" t="s">
        <v>39</v>
      </c>
      <c r="AC221" t="s">
        <v>480</v>
      </c>
      <c r="AD221" t="s">
        <v>46</v>
      </c>
      <c r="AE221" t="s">
        <v>2052</v>
      </c>
      <c r="AF221" t="s">
        <v>2053</v>
      </c>
      <c r="AG221" t="s">
        <v>2054</v>
      </c>
      <c r="AH221">
        <v>82</v>
      </c>
      <c r="AI221" s="2" t="str">
        <f t="shared" si="15"/>
        <v>Independent</v>
      </c>
      <c r="AJ221" s="2" t="str">
        <f t="shared" si="16"/>
        <v>NO</v>
      </c>
      <c r="AK221" s="1" t="str">
        <f t="shared" si="17"/>
        <v>Terrace</v>
      </c>
      <c r="AL221" s="1" t="str">
        <f t="shared" si="18"/>
        <v>1 Toilet</v>
      </c>
      <c r="AM221" s="1" t="str">
        <f t="shared" si="19"/>
        <v>YES</v>
      </c>
      <c r="AN221" s="1" t="str">
        <f>VLOOKUP(J221, 'Regions and Cities'!A:B, 2, FALSE)</f>
        <v>Pohjois-Pohjanmaa</v>
      </c>
    </row>
    <row r="222" spans="1:40" x14ac:dyDescent="0.3">
      <c r="A222" t="s">
        <v>3623</v>
      </c>
      <c r="B222" t="s">
        <v>3624</v>
      </c>
      <c r="C222" t="s">
        <v>3625</v>
      </c>
      <c r="D222" t="s">
        <v>1747</v>
      </c>
      <c r="E222" t="s">
        <v>1748</v>
      </c>
      <c r="F222" t="s">
        <v>1749</v>
      </c>
      <c r="G222" t="s">
        <v>3626</v>
      </c>
      <c r="H222">
        <v>79</v>
      </c>
      <c r="I222" t="s">
        <v>3627</v>
      </c>
      <c r="J222" t="s">
        <v>101</v>
      </c>
      <c r="K222" t="s">
        <v>3628</v>
      </c>
      <c r="L222" t="s">
        <v>3629</v>
      </c>
      <c r="M222" t="s">
        <v>37</v>
      </c>
      <c r="N222" t="s">
        <v>3630</v>
      </c>
      <c r="O222" t="s">
        <v>3631</v>
      </c>
      <c r="P222" t="s">
        <v>3632</v>
      </c>
      <c r="R222" t="s">
        <v>37</v>
      </c>
      <c r="S222" t="s">
        <v>37</v>
      </c>
      <c r="T222">
        <v>60.980620000000002</v>
      </c>
      <c r="U222" t="s">
        <v>3633</v>
      </c>
      <c r="V222" t="s">
        <v>3634</v>
      </c>
      <c r="W222">
        <v>25.670390000000001</v>
      </c>
      <c r="X222">
        <v>169000</v>
      </c>
      <c r="Y222" t="s">
        <v>1088</v>
      </c>
      <c r="AA222" t="s">
        <v>38</v>
      </c>
      <c r="AB222" t="s">
        <v>39</v>
      </c>
      <c r="AC222" t="s">
        <v>480</v>
      </c>
      <c r="AD222" t="s">
        <v>46</v>
      </c>
      <c r="AE222" t="s">
        <v>2131</v>
      </c>
      <c r="AF222" t="s">
        <v>3635</v>
      </c>
      <c r="AG222" t="s">
        <v>3636</v>
      </c>
      <c r="AH222">
        <v>79</v>
      </c>
      <c r="AI222" s="2" t="str">
        <f t="shared" si="15"/>
        <v>Independent</v>
      </c>
      <c r="AJ222" s="2" t="str">
        <f t="shared" si="16"/>
        <v>NO</v>
      </c>
      <c r="AK222" s="1" t="str">
        <f t="shared" si="17"/>
        <v>None</v>
      </c>
      <c r="AL222" s="1" t="str">
        <f t="shared" si="18"/>
        <v>1 Toilet</v>
      </c>
      <c r="AM222" s="1" t="str">
        <f t="shared" si="19"/>
        <v>NO</v>
      </c>
      <c r="AN222" s="1" t="str">
        <f>VLOOKUP(J222, 'Regions and Cities'!A:B, 2, FALSE)</f>
        <v>Päijät-Häme</v>
      </c>
    </row>
    <row r="223" spans="1:40" x14ac:dyDescent="0.3">
      <c r="A223" t="s">
        <v>2180</v>
      </c>
      <c r="B223" t="s">
        <v>2181</v>
      </c>
      <c r="C223" t="s">
        <v>2182</v>
      </c>
      <c r="D223" t="s">
        <v>161</v>
      </c>
      <c r="E223" t="s">
        <v>162</v>
      </c>
      <c r="F223" t="s">
        <v>79</v>
      </c>
      <c r="G223" t="s">
        <v>2183</v>
      </c>
      <c r="H223">
        <v>88.5</v>
      </c>
      <c r="I223" t="s">
        <v>2001</v>
      </c>
      <c r="J223" t="s">
        <v>137</v>
      </c>
      <c r="K223" t="s">
        <v>2184</v>
      </c>
      <c r="L223" t="s">
        <v>2185</v>
      </c>
      <c r="M223" t="s">
        <v>37</v>
      </c>
      <c r="N223" t="s">
        <v>2186</v>
      </c>
      <c r="O223" t="s">
        <v>2187</v>
      </c>
      <c r="P223" t="s">
        <v>2188</v>
      </c>
      <c r="R223" t="s">
        <v>37</v>
      </c>
      <c r="S223" t="s">
        <v>37</v>
      </c>
      <c r="T223">
        <v>60.193471000000002</v>
      </c>
      <c r="U223" t="s">
        <v>2189</v>
      </c>
      <c r="V223" t="s">
        <v>2190</v>
      </c>
      <c r="W223">
        <v>24.940588999999999</v>
      </c>
      <c r="X223">
        <v>420000</v>
      </c>
      <c r="Y223" t="s">
        <v>2191</v>
      </c>
      <c r="AA223" t="s">
        <v>38</v>
      </c>
      <c r="AB223" t="s">
        <v>39</v>
      </c>
      <c r="AC223" t="s">
        <v>480</v>
      </c>
      <c r="AD223" t="s">
        <v>46</v>
      </c>
      <c r="AE223" t="s">
        <v>2192</v>
      </c>
      <c r="AF223" t="s">
        <v>2193</v>
      </c>
      <c r="AG223" t="s">
        <v>2194</v>
      </c>
      <c r="AH223">
        <v>88.5</v>
      </c>
      <c r="AI223" s="2" t="str">
        <f t="shared" si="15"/>
        <v>Independent</v>
      </c>
      <c r="AJ223" s="2" t="str">
        <f t="shared" si="16"/>
        <v>NO</v>
      </c>
      <c r="AK223" s="1" t="str">
        <f t="shared" si="17"/>
        <v>Standard Balcony</v>
      </c>
      <c r="AL223" s="1" t="str">
        <f t="shared" si="18"/>
        <v>1 Toilet</v>
      </c>
      <c r="AM223" s="1" t="str">
        <f t="shared" si="19"/>
        <v>NO</v>
      </c>
      <c r="AN223" s="1" t="str">
        <f>VLOOKUP(J223, 'Regions and Cities'!A:B, 2, FALSE)</f>
        <v>Uusimaa</v>
      </c>
    </row>
    <row r="224" spans="1:40" x14ac:dyDescent="0.3">
      <c r="A224" t="s">
        <v>1248</v>
      </c>
      <c r="B224" t="s">
        <v>1249</v>
      </c>
      <c r="C224" t="s">
        <v>1250</v>
      </c>
      <c r="D224" t="s">
        <v>1251</v>
      </c>
      <c r="E224" t="s">
        <v>1252</v>
      </c>
      <c r="H224">
        <v>58.5</v>
      </c>
      <c r="I224" t="s">
        <v>272</v>
      </c>
      <c r="J224" t="s">
        <v>359</v>
      </c>
      <c r="K224" t="s">
        <v>1253</v>
      </c>
      <c r="L224" t="s">
        <v>1254</v>
      </c>
      <c r="M224" t="s">
        <v>37</v>
      </c>
      <c r="N224" t="s">
        <v>1255</v>
      </c>
      <c r="O224" t="s">
        <v>1256</v>
      </c>
      <c r="R224" t="s">
        <v>37</v>
      </c>
      <c r="S224" t="s">
        <v>37</v>
      </c>
      <c r="T224">
        <v>61.111814000000003</v>
      </c>
      <c r="U224" t="s">
        <v>1257</v>
      </c>
      <c r="V224" t="s">
        <v>1258</v>
      </c>
      <c r="W224">
        <v>21.530470000000001</v>
      </c>
      <c r="X224">
        <v>35000</v>
      </c>
      <c r="Y224" t="s">
        <v>1259</v>
      </c>
      <c r="AA224" t="s">
        <v>38</v>
      </c>
      <c r="AB224" t="s">
        <v>39</v>
      </c>
      <c r="AC224" t="s">
        <v>480</v>
      </c>
      <c r="AD224" t="s">
        <v>40</v>
      </c>
      <c r="AE224" t="s">
        <v>1260</v>
      </c>
      <c r="AF224" t="s">
        <v>1261</v>
      </c>
      <c r="AG224" t="s">
        <v>1262</v>
      </c>
      <c r="AH224"/>
      <c r="AI224" s="2" t="str">
        <f t="shared" si="15"/>
        <v>Independent</v>
      </c>
      <c r="AJ224" s="2" t="str">
        <f t="shared" si="16"/>
        <v>NO</v>
      </c>
      <c r="AK224" s="1" t="str">
        <f t="shared" si="17"/>
        <v>None</v>
      </c>
      <c r="AL224" s="1" t="str">
        <f t="shared" si="18"/>
        <v>1 Toilet</v>
      </c>
      <c r="AM224" s="1" t="str">
        <f t="shared" si="19"/>
        <v>NO</v>
      </c>
      <c r="AN224" s="1" t="str">
        <f>VLOOKUP(J224, 'Regions and Cities'!A:B, 2, FALSE)</f>
        <v>Satakunta</v>
      </c>
    </row>
    <row r="225" spans="1:40" x14ac:dyDescent="0.3">
      <c r="A225" t="s">
        <v>2369</v>
      </c>
      <c r="B225" t="s">
        <v>2370</v>
      </c>
      <c r="C225" t="s">
        <v>2371</v>
      </c>
      <c r="D225" t="s">
        <v>2353</v>
      </c>
      <c r="E225" t="s">
        <v>2354</v>
      </c>
      <c r="F225" t="s">
        <v>2355</v>
      </c>
      <c r="G225" t="s">
        <v>2356</v>
      </c>
      <c r="H225">
        <v>115.5</v>
      </c>
      <c r="I225" t="s">
        <v>174</v>
      </c>
      <c r="J225" t="s">
        <v>73</v>
      </c>
      <c r="K225" t="s">
        <v>2372</v>
      </c>
      <c r="L225" t="s">
        <v>2373</v>
      </c>
      <c r="M225" t="s">
        <v>37</v>
      </c>
      <c r="N225" t="s">
        <v>2374</v>
      </c>
      <c r="O225" t="s">
        <v>2375</v>
      </c>
      <c r="P225" t="s">
        <v>2376</v>
      </c>
      <c r="R225" t="s">
        <v>37</v>
      </c>
      <c r="S225" t="s">
        <v>37</v>
      </c>
      <c r="T225">
        <v>62.270220000000002</v>
      </c>
      <c r="U225" t="s">
        <v>2377</v>
      </c>
      <c r="V225" t="s">
        <v>2378</v>
      </c>
      <c r="W225">
        <v>25.75685</v>
      </c>
      <c r="X225">
        <v>157000</v>
      </c>
      <c r="Y225" t="s">
        <v>2379</v>
      </c>
      <c r="AA225" t="s">
        <v>45</v>
      </c>
      <c r="AB225" t="s">
        <v>39</v>
      </c>
      <c r="AC225" t="s">
        <v>2380</v>
      </c>
      <c r="AD225" t="s">
        <v>46</v>
      </c>
      <c r="AE225" t="s">
        <v>2381</v>
      </c>
      <c r="AF225" t="s">
        <v>2382</v>
      </c>
      <c r="AG225" t="s">
        <v>2383</v>
      </c>
      <c r="AH225">
        <v>115.5</v>
      </c>
      <c r="AI225" s="2" t="str">
        <f t="shared" si="15"/>
        <v>Independent</v>
      </c>
      <c r="AJ225" s="2" t="str">
        <f t="shared" si="16"/>
        <v>NO</v>
      </c>
      <c r="AK225" s="1" t="str">
        <f t="shared" si="17"/>
        <v>Standard Balcony</v>
      </c>
      <c r="AL225" s="1" t="str">
        <f t="shared" si="18"/>
        <v>1 Toilet</v>
      </c>
      <c r="AM225" s="1" t="str">
        <f t="shared" si="19"/>
        <v>YES</v>
      </c>
      <c r="AN225" s="1" t="str">
        <f>VLOOKUP(J225, 'Regions and Cities'!A:B, 2, FALSE)</f>
        <v>Keski-Suomi</v>
      </c>
    </row>
    <row r="226" spans="1:40" x14ac:dyDescent="0.3">
      <c r="A226" t="s">
        <v>4044</v>
      </c>
      <c r="B226" t="s">
        <v>4045</v>
      </c>
      <c r="C226" t="s">
        <v>4046</v>
      </c>
      <c r="D226" t="s">
        <v>263</v>
      </c>
      <c r="E226" t="s">
        <v>264</v>
      </c>
      <c r="F226" t="s">
        <v>70</v>
      </c>
      <c r="G226" t="s">
        <v>4047</v>
      </c>
      <c r="H226">
        <v>40.5</v>
      </c>
      <c r="I226" t="s">
        <v>43</v>
      </c>
      <c r="J226" t="s">
        <v>265</v>
      </c>
      <c r="K226" t="s">
        <v>4048</v>
      </c>
      <c r="L226" t="s">
        <v>4049</v>
      </c>
      <c r="M226" t="s">
        <v>37</v>
      </c>
      <c r="N226" t="s">
        <v>4050</v>
      </c>
      <c r="O226" t="s">
        <v>4051</v>
      </c>
      <c r="P226" t="s">
        <v>4052</v>
      </c>
      <c r="R226" t="s">
        <v>37</v>
      </c>
      <c r="S226" t="s">
        <v>37</v>
      </c>
      <c r="T226">
        <v>65.020003000000003</v>
      </c>
      <c r="U226" t="s">
        <v>4053</v>
      </c>
      <c r="V226" t="s">
        <v>4054</v>
      </c>
      <c r="W226">
        <v>25.494329</v>
      </c>
      <c r="X226">
        <v>119000</v>
      </c>
      <c r="Y226" t="s">
        <v>297</v>
      </c>
      <c r="AA226" t="s">
        <v>38</v>
      </c>
      <c r="AB226" t="s">
        <v>39</v>
      </c>
      <c r="AC226" t="s">
        <v>480</v>
      </c>
      <c r="AD226" t="s">
        <v>202</v>
      </c>
      <c r="AE226" t="s">
        <v>4055</v>
      </c>
      <c r="AF226" t="s">
        <v>4056</v>
      </c>
      <c r="AG226" t="s">
        <v>4057</v>
      </c>
      <c r="AH226">
        <v>40.5</v>
      </c>
      <c r="AI226" s="2" t="str">
        <f t="shared" si="15"/>
        <v>Independent</v>
      </c>
      <c r="AJ226" s="2" t="str">
        <f t="shared" si="16"/>
        <v>NO</v>
      </c>
      <c r="AK226" s="1" t="str">
        <f t="shared" si="17"/>
        <v>Standard Balcony</v>
      </c>
      <c r="AL226" s="1" t="str">
        <f t="shared" si="18"/>
        <v>1 Toilet</v>
      </c>
      <c r="AM226" s="1" t="str">
        <f t="shared" si="19"/>
        <v>NO</v>
      </c>
      <c r="AN226" s="1" t="str">
        <f>VLOOKUP(J226, 'Regions and Cities'!A:B, 2, FALSE)</f>
        <v>Pohjois-Pohjanmaa</v>
      </c>
    </row>
    <row r="227" spans="1:40" x14ac:dyDescent="0.3">
      <c r="A227" t="s">
        <v>4927</v>
      </c>
      <c r="B227" t="s">
        <v>4928</v>
      </c>
      <c r="C227" t="s">
        <v>4929</v>
      </c>
      <c r="D227" t="s">
        <v>4914</v>
      </c>
      <c r="E227" t="s">
        <v>4915</v>
      </c>
      <c r="F227" t="s">
        <v>4916</v>
      </c>
      <c r="H227">
        <v>49.5</v>
      </c>
      <c r="I227" t="s">
        <v>66</v>
      </c>
      <c r="J227" t="s">
        <v>137</v>
      </c>
      <c r="K227" t="s">
        <v>4930</v>
      </c>
      <c r="L227" t="s">
        <v>4931</v>
      </c>
      <c r="M227" t="s">
        <v>37</v>
      </c>
      <c r="N227" t="s">
        <v>4932</v>
      </c>
      <c r="O227" t="s">
        <v>4933</v>
      </c>
      <c r="R227" t="s">
        <v>37</v>
      </c>
      <c r="S227" t="s">
        <v>37</v>
      </c>
      <c r="T227">
        <v>60.216425000000001</v>
      </c>
      <c r="U227" t="s">
        <v>4934</v>
      </c>
      <c r="V227" t="s">
        <v>4935</v>
      </c>
      <c r="W227">
        <v>24.986802000000001</v>
      </c>
      <c r="X227">
        <v>270000</v>
      </c>
      <c r="Y227" t="s">
        <v>4936</v>
      </c>
      <c r="AA227" t="s">
        <v>38</v>
      </c>
      <c r="AB227" t="s">
        <v>39</v>
      </c>
      <c r="AC227" t="s">
        <v>480</v>
      </c>
      <c r="AD227" t="s">
        <v>40</v>
      </c>
      <c r="AE227" t="s">
        <v>4937</v>
      </c>
      <c r="AF227" t="s">
        <v>4938</v>
      </c>
      <c r="AG227" t="s">
        <v>4939</v>
      </c>
      <c r="AH227">
        <v>49.5</v>
      </c>
      <c r="AI227" s="2" t="str">
        <f t="shared" si="15"/>
        <v>Kitchenette</v>
      </c>
      <c r="AJ227" s="2" t="str">
        <f t="shared" si="16"/>
        <v>YES</v>
      </c>
      <c r="AK227" s="1" t="str">
        <f t="shared" si="17"/>
        <v>Glazed Balcony</v>
      </c>
      <c r="AL227" s="1" t="str">
        <f t="shared" si="18"/>
        <v>1 Toilet</v>
      </c>
      <c r="AM227" s="1" t="str">
        <f t="shared" si="19"/>
        <v>YES</v>
      </c>
      <c r="AN227" s="1" t="str">
        <f>VLOOKUP(J227, 'Regions and Cities'!A:B, 2, FALSE)</f>
        <v>Uusimaa</v>
      </c>
    </row>
    <row r="228" spans="1:40" x14ac:dyDescent="0.3">
      <c r="A228" t="s">
        <v>9708</v>
      </c>
      <c r="B228" t="s">
        <v>9709</v>
      </c>
      <c r="C228" t="s">
        <v>443</v>
      </c>
      <c r="D228" t="s">
        <v>9710</v>
      </c>
      <c r="E228" t="s">
        <v>9711</v>
      </c>
      <c r="H228">
        <v>47</v>
      </c>
      <c r="I228" t="s">
        <v>2622</v>
      </c>
      <c r="J228" t="s">
        <v>443</v>
      </c>
      <c r="L228" t="s">
        <v>9712</v>
      </c>
      <c r="M228" t="s">
        <v>37</v>
      </c>
      <c r="N228" t="s">
        <v>9713</v>
      </c>
      <c r="O228" t="s">
        <v>9714</v>
      </c>
      <c r="R228" t="s">
        <v>37</v>
      </c>
      <c r="S228" t="s">
        <v>37</v>
      </c>
      <c r="T228">
        <v>62.432080999999997</v>
      </c>
      <c r="U228" t="s">
        <v>9715</v>
      </c>
      <c r="V228" t="s">
        <v>9716</v>
      </c>
      <c r="W228">
        <v>22.185786</v>
      </c>
      <c r="X228">
        <v>78000</v>
      </c>
      <c r="Y228" t="s">
        <v>807</v>
      </c>
      <c r="AA228" t="s">
        <v>45</v>
      </c>
      <c r="AB228" t="s">
        <v>39</v>
      </c>
      <c r="AC228" t="s">
        <v>9717</v>
      </c>
      <c r="AD228" t="s">
        <v>40</v>
      </c>
      <c r="AE228" t="s">
        <v>9718</v>
      </c>
      <c r="AF228" t="s">
        <v>9719</v>
      </c>
      <c r="AG228" t="s">
        <v>9720</v>
      </c>
      <c r="AH228">
        <v>47</v>
      </c>
      <c r="AI228" s="2" t="str">
        <f t="shared" si="15"/>
        <v>Independent</v>
      </c>
      <c r="AJ228" s="2" t="str">
        <f t="shared" si="16"/>
        <v>NO</v>
      </c>
      <c r="AK228" s="1" t="str">
        <f t="shared" si="17"/>
        <v>None</v>
      </c>
      <c r="AL228" s="1" t="str">
        <f t="shared" si="18"/>
        <v>1 Toilet</v>
      </c>
      <c r="AM228" s="1" t="str">
        <f t="shared" si="19"/>
        <v>NO</v>
      </c>
      <c r="AN228" s="1" t="str">
        <f>VLOOKUP(J228, 'Regions and Cities'!A:B, 2, FALSE)</f>
        <v>Etelä-Pohjanmaa</v>
      </c>
    </row>
    <row r="229" spans="1:40" x14ac:dyDescent="0.3">
      <c r="A229" t="s">
        <v>629</v>
      </c>
      <c r="B229" t="s">
        <v>630</v>
      </c>
      <c r="C229" t="s">
        <v>631</v>
      </c>
      <c r="D229" t="s">
        <v>632</v>
      </c>
      <c r="E229" t="s">
        <v>633</v>
      </c>
      <c r="H229">
        <v>31</v>
      </c>
      <c r="I229" t="s">
        <v>573</v>
      </c>
      <c r="J229" t="s">
        <v>344</v>
      </c>
      <c r="K229" t="s">
        <v>634</v>
      </c>
      <c r="L229" t="s">
        <v>635</v>
      </c>
      <c r="M229" t="s">
        <v>37</v>
      </c>
      <c r="N229" t="s">
        <v>636</v>
      </c>
      <c r="O229" t="s">
        <v>637</v>
      </c>
      <c r="R229" t="s">
        <v>37</v>
      </c>
      <c r="S229" t="s">
        <v>37</v>
      </c>
      <c r="T229">
        <v>62.297383000000004</v>
      </c>
      <c r="U229" t="s">
        <v>638</v>
      </c>
      <c r="V229" t="s">
        <v>639</v>
      </c>
      <c r="W229">
        <v>27.126269000000001</v>
      </c>
      <c r="X229">
        <v>16700</v>
      </c>
      <c r="Y229" t="s">
        <v>640</v>
      </c>
      <c r="AA229" t="s">
        <v>38</v>
      </c>
      <c r="AB229" t="s">
        <v>39</v>
      </c>
      <c r="AC229" t="s">
        <v>480</v>
      </c>
      <c r="AD229" t="s">
        <v>202</v>
      </c>
      <c r="AE229" t="s">
        <v>641</v>
      </c>
      <c r="AF229" t="s">
        <v>642</v>
      </c>
      <c r="AG229" t="s">
        <v>643</v>
      </c>
      <c r="AH229">
        <v>31</v>
      </c>
      <c r="AI229" s="2" t="str">
        <f t="shared" si="15"/>
        <v>Kitchenette</v>
      </c>
      <c r="AJ229" s="2" t="str">
        <f t="shared" si="16"/>
        <v>NO</v>
      </c>
      <c r="AK229" s="1" t="str">
        <f t="shared" si="17"/>
        <v>None</v>
      </c>
      <c r="AL229" s="1" t="str">
        <f t="shared" si="18"/>
        <v>1 Toilet</v>
      </c>
      <c r="AM229" s="1" t="str">
        <f t="shared" si="19"/>
        <v>NO</v>
      </c>
      <c r="AN229" s="1" t="str">
        <f>VLOOKUP(J229, 'Regions and Cities'!A:B, 2, FALSE)</f>
        <v>Etelä-Savo</v>
      </c>
    </row>
    <row r="230" spans="1:40" x14ac:dyDescent="0.3">
      <c r="A230" t="s">
        <v>3193</v>
      </c>
      <c r="B230" t="s">
        <v>3194</v>
      </c>
      <c r="C230" t="s">
        <v>3195</v>
      </c>
      <c r="D230" t="s">
        <v>470</v>
      </c>
      <c r="E230" t="s">
        <v>471</v>
      </c>
      <c r="F230" t="s">
        <v>58</v>
      </c>
      <c r="H230">
        <v>71</v>
      </c>
      <c r="I230" t="s">
        <v>72</v>
      </c>
      <c r="J230" t="s">
        <v>137</v>
      </c>
      <c r="K230" t="s">
        <v>3196</v>
      </c>
      <c r="L230" t="s">
        <v>3197</v>
      </c>
      <c r="M230" t="s">
        <v>37</v>
      </c>
      <c r="N230" t="s">
        <v>3198</v>
      </c>
      <c r="O230" t="s">
        <v>3199</v>
      </c>
      <c r="R230" t="s">
        <v>37</v>
      </c>
      <c r="S230" t="s">
        <v>37</v>
      </c>
      <c r="T230">
        <v>60.229869999999998</v>
      </c>
      <c r="U230" t="s">
        <v>3200</v>
      </c>
      <c r="V230" t="s">
        <v>3201</v>
      </c>
      <c r="W230">
        <v>24.880739999999999</v>
      </c>
      <c r="X230">
        <v>248000</v>
      </c>
      <c r="Y230" t="s">
        <v>3202</v>
      </c>
      <c r="AA230" t="s">
        <v>38</v>
      </c>
      <c r="AB230" t="s">
        <v>39</v>
      </c>
      <c r="AC230" t="s">
        <v>480</v>
      </c>
      <c r="AD230" t="s">
        <v>46</v>
      </c>
      <c r="AE230" t="s">
        <v>3203</v>
      </c>
      <c r="AF230" t="s">
        <v>3204</v>
      </c>
      <c r="AG230" t="s">
        <v>3205</v>
      </c>
      <c r="AH230">
        <v>71</v>
      </c>
      <c r="AI230" s="2" t="str">
        <f t="shared" si="15"/>
        <v>Independent</v>
      </c>
      <c r="AJ230" s="2" t="str">
        <f t="shared" si="16"/>
        <v>NO</v>
      </c>
      <c r="AK230" s="1" t="str">
        <f t="shared" si="17"/>
        <v>Standard Balcony</v>
      </c>
      <c r="AL230" s="1" t="str">
        <f t="shared" si="18"/>
        <v>1 Toilet</v>
      </c>
      <c r="AM230" s="1" t="str">
        <f t="shared" si="19"/>
        <v>NO</v>
      </c>
      <c r="AN230" s="1" t="str">
        <f>VLOOKUP(J230, 'Regions and Cities'!A:B, 2, FALSE)</f>
        <v>Uusimaa</v>
      </c>
    </row>
    <row r="231" spans="1:40" x14ac:dyDescent="0.3">
      <c r="A231" t="s">
        <v>8418</v>
      </c>
      <c r="B231" t="s">
        <v>8419</v>
      </c>
      <c r="C231" t="s">
        <v>8420</v>
      </c>
      <c r="D231" t="s">
        <v>8391</v>
      </c>
      <c r="E231" t="s">
        <v>8392</v>
      </c>
      <c r="F231" t="s">
        <v>79</v>
      </c>
      <c r="G231" t="s">
        <v>8421</v>
      </c>
      <c r="H231">
        <v>55.5</v>
      </c>
      <c r="I231" t="s">
        <v>100</v>
      </c>
      <c r="J231" t="s">
        <v>418</v>
      </c>
      <c r="K231" t="s">
        <v>131</v>
      </c>
      <c r="L231" t="s">
        <v>8422</v>
      </c>
      <c r="M231" t="s">
        <v>37</v>
      </c>
      <c r="N231" t="s">
        <v>8423</v>
      </c>
      <c r="O231" t="s">
        <v>8424</v>
      </c>
      <c r="P231" t="s">
        <v>8425</v>
      </c>
      <c r="R231" t="s">
        <v>37</v>
      </c>
      <c r="S231" t="s">
        <v>37</v>
      </c>
      <c r="T231">
        <v>61.061399000000002</v>
      </c>
      <c r="U231" t="s">
        <v>8426</v>
      </c>
      <c r="V231" t="s">
        <v>8427</v>
      </c>
      <c r="W231">
        <v>28.184570999999998</v>
      </c>
      <c r="X231">
        <v>129000</v>
      </c>
      <c r="Y231" t="s">
        <v>177</v>
      </c>
      <c r="AA231" t="s">
        <v>38</v>
      </c>
      <c r="AB231" t="s">
        <v>39</v>
      </c>
      <c r="AC231" t="s">
        <v>6510</v>
      </c>
      <c r="AD231" t="s">
        <v>40</v>
      </c>
      <c r="AE231" t="s">
        <v>209</v>
      </c>
      <c r="AF231" t="s">
        <v>8428</v>
      </c>
      <c r="AG231" t="s">
        <v>8429</v>
      </c>
      <c r="AH231">
        <v>55.5</v>
      </c>
      <c r="AI231" s="2" t="str">
        <f t="shared" si="15"/>
        <v>Independent</v>
      </c>
      <c r="AJ231" s="2" t="str">
        <f t="shared" si="16"/>
        <v>NO</v>
      </c>
      <c r="AK231" s="1" t="str">
        <f t="shared" si="17"/>
        <v>None</v>
      </c>
      <c r="AL231" s="1" t="str">
        <f t="shared" si="18"/>
        <v>1 Toilet</v>
      </c>
      <c r="AM231" s="1" t="str">
        <f t="shared" si="19"/>
        <v>NO</v>
      </c>
      <c r="AN231" s="1" t="str">
        <f>VLOOKUP(J231, 'Regions and Cities'!A:B, 2, FALSE)</f>
        <v>Etelä-Karjala</v>
      </c>
    </row>
    <row r="232" spans="1:40" x14ac:dyDescent="0.3">
      <c r="A232" t="s">
        <v>8248</v>
      </c>
      <c r="B232" t="s">
        <v>8249</v>
      </c>
      <c r="C232" t="s">
        <v>130</v>
      </c>
      <c r="D232" t="s">
        <v>8250</v>
      </c>
      <c r="E232" t="s">
        <v>8251</v>
      </c>
      <c r="F232" t="s">
        <v>8252</v>
      </c>
      <c r="G232" t="s">
        <v>8253</v>
      </c>
      <c r="H232">
        <v>31.5</v>
      </c>
      <c r="I232" t="s">
        <v>272</v>
      </c>
      <c r="J232" t="s">
        <v>130</v>
      </c>
      <c r="L232" t="s">
        <v>8254</v>
      </c>
      <c r="M232" t="s">
        <v>37</v>
      </c>
      <c r="N232" t="s">
        <v>8255</v>
      </c>
      <c r="O232" t="s">
        <v>8256</v>
      </c>
      <c r="P232" t="s">
        <v>8257</v>
      </c>
      <c r="R232" t="s">
        <v>37</v>
      </c>
      <c r="S232" t="s">
        <v>37</v>
      </c>
      <c r="T232">
        <v>62.891191999999997</v>
      </c>
      <c r="U232" t="s">
        <v>8258</v>
      </c>
      <c r="V232" t="s">
        <v>8259</v>
      </c>
      <c r="W232">
        <v>27.673660999999999</v>
      </c>
      <c r="X232">
        <v>74000</v>
      </c>
      <c r="Y232" t="s">
        <v>5403</v>
      </c>
      <c r="AA232" t="s">
        <v>38</v>
      </c>
      <c r="AB232" t="s">
        <v>39</v>
      </c>
      <c r="AC232" t="s">
        <v>6510</v>
      </c>
      <c r="AD232" t="s">
        <v>202</v>
      </c>
      <c r="AE232" t="s">
        <v>8260</v>
      </c>
      <c r="AF232" t="s">
        <v>8261</v>
      </c>
      <c r="AG232" t="s">
        <v>8262</v>
      </c>
      <c r="AH232">
        <v>31.5</v>
      </c>
      <c r="AI232" s="2" t="str">
        <f t="shared" si="15"/>
        <v>Independent</v>
      </c>
      <c r="AJ232" s="2" t="str">
        <f t="shared" si="16"/>
        <v>NO</v>
      </c>
      <c r="AK232" s="1" t="str">
        <f t="shared" si="17"/>
        <v>None</v>
      </c>
      <c r="AL232" s="1" t="str">
        <f t="shared" si="18"/>
        <v>1 Toilet</v>
      </c>
      <c r="AM232" s="1" t="str">
        <f t="shared" si="19"/>
        <v>YES</v>
      </c>
      <c r="AN232" s="1" t="str">
        <f>VLOOKUP(J232, 'Regions and Cities'!A:B, 2, FALSE)</f>
        <v>Pohjois-Savo</v>
      </c>
    </row>
    <row r="233" spans="1:40" x14ac:dyDescent="0.3">
      <c r="A233" t="s">
        <v>9721</v>
      </c>
      <c r="B233" t="s">
        <v>9722</v>
      </c>
      <c r="C233" t="s">
        <v>9723</v>
      </c>
      <c r="H233">
        <v>83</v>
      </c>
      <c r="I233" t="s">
        <v>573</v>
      </c>
      <c r="J233" t="s">
        <v>97</v>
      </c>
      <c r="K233" t="s">
        <v>9724</v>
      </c>
      <c r="L233" t="s">
        <v>9725</v>
      </c>
      <c r="M233" t="s">
        <v>37</v>
      </c>
      <c r="N233" t="s">
        <v>9726</v>
      </c>
      <c r="O233" t="s">
        <v>9727</v>
      </c>
      <c r="R233" t="s">
        <v>37</v>
      </c>
      <c r="S233" t="s">
        <v>111</v>
      </c>
      <c r="T233">
        <v>64.338599000000002</v>
      </c>
      <c r="U233" t="s">
        <v>9728</v>
      </c>
      <c r="V233" t="s">
        <v>9729</v>
      </c>
      <c r="W233">
        <v>28.098306000000001</v>
      </c>
      <c r="X233">
        <v>62000</v>
      </c>
      <c r="Y233" t="s">
        <v>3099</v>
      </c>
      <c r="Z233" t="s">
        <v>9730</v>
      </c>
      <c r="AA233" t="s">
        <v>45</v>
      </c>
      <c r="AB233" t="s">
        <v>39</v>
      </c>
      <c r="AC233" t="s">
        <v>6510</v>
      </c>
      <c r="AD233" t="s">
        <v>46</v>
      </c>
      <c r="AE233" t="s">
        <v>196</v>
      </c>
      <c r="AF233" t="s">
        <v>9731</v>
      </c>
      <c r="AG233" t="s">
        <v>9732</v>
      </c>
      <c r="AH233"/>
      <c r="AI233" s="2" t="str">
        <f t="shared" si="15"/>
        <v>Independent</v>
      </c>
      <c r="AJ233" s="2" t="str">
        <f t="shared" si="16"/>
        <v>YES</v>
      </c>
      <c r="AK233" s="1" t="str">
        <f t="shared" si="17"/>
        <v>None</v>
      </c>
      <c r="AL233" s="1" t="str">
        <f t="shared" si="18"/>
        <v>1 Toilet</v>
      </c>
      <c r="AM233" s="1" t="str">
        <f t="shared" si="19"/>
        <v>NO</v>
      </c>
      <c r="AN233" s="1" t="str">
        <f>VLOOKUP(J233, 'Regions and Cities'!A:B, 2, FALSE)</f>
        <v>Kainuu</v>
      </c>
    </row>
    <row r="234" spans="1:40" x14ac:dyDescent="0.3">
      <c r="A234" t="s">
        <v>5247</v>
      </c>
      <c r="B234" t="s">
        <v>5248</v>
      </c>
      <c r="C234" t="s">
        <v>5249</v>
      </c>
      <c r="D234" t="s">
        <v>5250</v>
      </c>
      <c r="E234" t="s">
        <v>5251</v>
      </c>
      <c r="F234" t="s">
        <v>187</v>
      </c>
      <c r="H234">
        <v>120</v>
      </c>
      <c r="I234" t="s">
        <v>183</v>
      </c>
      <c r="J234" t="s">
        <v>126</v>
      </c>
      <c r="K234" t="s">
        <v>5252</v>
      </c>
      <c r="L234" t="s">
        <v>5253</v>
      </c>
      <c r="M234" t="s">
        <v>37</v>
      </c>
      <c r="N234" t="s">
        <v>5254</v>
      </c>
      <c r="O234" t="s">
        <v>5255</v>
      </c>
      <c r="R234" t="s">
        <v>37</v>
      </c>
      <c r="S234" t="s">
        <v>37</v>
      </c>
      <c r="T234">
        <v>60.201929999999997</v>
      </c>
      <c r="U234" t="s">
        <v>5256</v>
      </c>
      <c r="V234" t="s">
        <v>5257</v>
      </c>
      <c r="W234">
        <v>24.651389999999999</v>
      </c>
      <c r="X234">
        <v>435000</v>
      </c>
      <c r="Y234" t="s">
        <v>5258</v>
      </c>
      <c r="AA234" t="s">
        <v>63</v>
      </c>
      <c r="AB234" t="s">
        <v>39</v>
      </c>
      <c r="AC234" t="s">
        <v>480</v>
      </c>
      <c r="AD234" t="s">
        <v>75</v>
      </c>
      <c r="AE234" t="s">
        <v>5259</v>
      </c>
      <c r="AF234" t="s">
        <v>5260</v>
      </c>
      <c r="AG234" t="s">
        <v>5261</v>
      </c>
      <c r="AH234">
        <v>159</v>
      </c>
      <c r="AI234" s="2" t="str">
        <f t="shared" si="15"/>
        <v>Independent</v>
      </c>
      <c r="AJ234" s="2" t="str">
        <f t="shared" si="16"/>
        <v>YES</v>
      </c>
      <c r="AK234" s="1" t="str">
        <f t="shared" si="17"/>
        <v>None</v>
      </c>
      <c r="AL234" s="1" t="str">
        <f t="shared" si="18"/>
        <v>1 Toilet</v>
      </c>
      <c r="AM234" s="1" t="str">
        <f t="shared" si="19"/>
        <v>YES</v>
      </c>
      <c r="AN234" s="1" t="str">
        <f>VLOOKUP(J234, 'Regions and Cities'!A:B, 2, FALSE)</f>
        <v>Uusimaa</v>
      </c>
    </row>
    <row r="235" spans="1:40" x14ac:dyDescent="0.3">
      <c r="A235" t="s">
        <v>4843</v>
      </c>
      <c r="B235" t="s">
        <v>4844</v>
      </c>
      <c r="C235" t="s">
        <v>1857</v>
      </c>
      <c r="D235" t="s">
        <v>4808</v>
      </c>
      <c r="E235" t="s">
        <v>4809</v>
      </c>
      <c r="F235" t="s">
        <v>4810</v>
      </c>
      <c r="H235">
        <v>87</v>
      </c>
      <c r="I235" t="s">
        <v>1310</v>
      </c>
      <c r="J235" t="s">
        <v>126</v>
      </c>
      <c r="K235" t="s">
        <v>1859</v>
      </c>
      <c r="L235" t="s">
        <v>4845</v>
      </c>
      <c r="M235" t="s">
        <v>37</v>
      </c>
      <c r="N235" t="s">
        <v>4846</v>
      </c>
      <c r="O235" t="s">
        <v>4847</v>
      </c>
      <c r="R235" t="s">
        <v>111</v>
      </c>
      <c r="S235" t="s">
        <v>37</v>
      </c>
      <c r="T235">
        <v>60.212139999999998</v>
      </c>
      <c r="U235" t="s">
        <v>4848</v>
      </c>
      <c r="V235" t="s">
        <v>4849</v>
      </c>
      <c r="W235">
        <v>24.779803999999999</v>
      </c>
      <c r="X235">
        <v>389000</v>
      </c>
      <c r="Y235" t="s">
        <v>2799</v>
      </c>
      <c r="AA235" t="s">
        <v>54</v>
      </c>
      <c r="AB235" t="s">
        <v>39</v>
      </c>
      <c r="AC235" t="s">
        <v>4817</v>
      </c>
      <c r="AD235">
        <v>4</v>
      </c>
      <c r="AE235" t="s">
        <v>217</v>
      </c>
      <c r="AF235" t="s">
        <v>4850</v>
      </c>
      <c r="AG235" t="s">
        <v>4842</v>
      </c>
      <c r="AH235">
        <v>90</v>
      </c>
      <c r="AI235" s="2" t="str">
        <f t="shared" si="15"/>
        <v>Independent</v>
      </c>
      <c r="AJ235" s="2" t="str">
        <f t="shared" si="16"/>
        <v>NO</v>
      </c>
      <c r="AK235" s="1" t="str">
        <f t="shared" si="17"/>
        <v>None</v>
      </c>
      <c r="AL235" s="1" t="str">
        <f t="shared" si="18"/>
        <v>1 Toilet</v>
      </c>
      <c r="AM235" s="1" t="str">
        <f t="shared" si="19"/>
        <v>NO</v>
      </c>
      <c r="AN235" s="1" t="str">
        <f>VLOOKUP(J235, 'Regions and Cities'!A:B, 2, FALSE)</f>
        <v>Uusimaa</v>
      </c>
    </row>
    <row r="236" spans="1:40" x14ac:dyDescent="0.3">
      <c r="A236" t="s">
        <v>4851</v>
      </c>
      <c r="B236" t="s">
        <v>4852</v>
      </c>
      <c r="C236" t="s">
        <v>1857</v>
      </c>
      <c r="D236" t="s">
        <v>4808</v>
      </c>
      <c r="E236" t="s">
        <v>4809</v>
      </c>
      <c r="F236" t="s">
        <v>4810</v>
      </c>
      <c r="H236">
        <v>87</v>
      </c>
      <c r="I236" t="s">
        <v>1310</v>
      </c>
      <c r="J236" t="s">
        <v>126</v>
      </c>
      <c r="K236" t="s">
        <v>1859</v>
      </c>
      <c r="L236" t="s">
        <v>4853</v>
      </c>
      <c r="M236" t="s">
        <v>37</v>
      </c>
      <c r="N236" t="s">
        <v>4854</v>
      </c>
      <c r="O236" t="s">
        <v>4855</v>
      </c>
      <c r="R236" t="s">
        <v>111</v>
      </c>
      <c r="S236" t="s">
        <v>37</v>
      </c>
      <c r="T236">
        <v>60.212139999999998</v>
      </c>
      <c r="U236" t="s">
        <v>4856</v>
      </c>
      <c r="V236" t="s">
        <v>4857</v>
      </c>
      <c r="W236">
        <v>24.779803999999999</v>
      </c>
      <c r="X236">
        <v>394000</v>
      </c>
      <c r="Y236" t="s">
        <v>4858</v>
      </c>
      <c r="AA236" t="s">
        <v>54</v>
      </c>
      <c r="AB236" t="s">
        <v>39</v>
      </c>
      <c r="AC236" t="s">
        <v>4817</v>
      </c>
      <c r="AD236">
        <v>4</v>
      </c>
      <c r="AE236" t="s">
        <v>217</v>
      </c>
      <c r="AF236" t="s">
        <v>4859</v>
      </c>
      <c r="AG236" t="s">
        <v>4842</v>
      </c>
      <c r="AH236">
        <v>90</v>
      </c>
      <c r="AI236" s="2" t="str">
        <f t="shared" si="15"/>
        <v>Independent</v>
      </c>
      <c r="AJ236" s="2" t="str">
        <f t="shared" si="16"/>
        <v>NO</v>
      </c>
      <c r="AK236" s="1" t="str">
        <f t="shared" si="17"/>
        <v>None</v>
      </c>
      <c r="AL236" s="1" t="str">
        <f t="shared" si="18"/>
        <v>1 Toilet</v>
      </c>
      <c r="AM236" s="1" t="str">
        <f t="shared" si="19"/>
        <v>NO</v>
      </c>
      <c r="AN236" s="1" t="str">
        <f>VLOOKUP(J236, 'Regions and Cities'!A:B, 2, FALSE)</f>
        <v>Uusimaa</v>
      </c>
    </row>
    <row r="237" spans="1:40" x14ac:dyDescent="0.3">
      <c r="A237" t="s">
        <v>4833</v>
      </c>
      <c r="B237" t="s">
        <v>4834</v>
      </c>
      <c r="C237" t="s">
        <v>1857</v>
      </c>
      <c r="D237" t="s">
        <v>4808</v>
      </c>
      <c r="E237" t="s">
        <v>4809</v>
      </c>
      <c r="F237" t="s">
        <v>4810</v>
      </c>
      <c r="H237">
        <v>87</v>
      </c>
      <c r="I237" t="s">
        <v>1310</v>
      </c>
      <c r="J237" t="s">
        <v>126</v>
      </c>
      <c r="K237" t="s">
        <v>1859</v>
      </c>
      <c r="L237" t="s">
        <v>4835</v>
      </c>
      <c r="M237" t="s">
        <v>37</v>
      </c>
      <c r="N237" t="s">
        <v>4836</v>
      </c>
      <c r="O237" t="s">
        <v>4837</v>
      </c>
      <c r="R237" t="s">
        <v>111</v>
      </c>
      <c r="S237" t="s">
        <v>37</v>
      </c>
      <c r="T237">
        <v>60.212139999999998</v>
      </c>
      <c r="U237" t="s">
        <v>4838</v>
      </c>
      <c r="V237" t="s">
        <v>4839</v>
      </c>
      <c r="W237">
        <v>24.779803999999999</v>
      </c>
      <c r="X237">
        <v>404000</v>
      </c>
      <c r="Y237" t="s">
        <v>4840</v>
      </c>
      <c r="AA237" t="s">
        <v>54</v>
      </c>
      <c r="AB237" t="s">
        <v>39</v>
      </c>
      <c r="AC237" t="s">
        <v>2365</v>
      </c>
      <c r="AD237" t="s">
        <v>75</v>
      </c>
      <c r="AE237" t="s">
        <v>217</v>
      </c>
      <c r="AF237" t="s">
        <v>4841</v>
      </c>
      <c r="AG237" t="s">
        <v>4842</v>
      </c>
      <c r="AH237">
        <v>90</v>
      </c>
      <c r="AI237" s="2" t="str">
        <f t="shared" si="15"/>
        <v>Independent</v>
      </c>
      <c r="AJ237" s="2" t="str">
        <f t="shared" si="16"/>
        <v>NO</v>
      </c>
      <c r="AK237" s="1" t="str">
        <f t="shared" si="17"/>
        <v>None</v>
      </c>
      <c r="AL237" s="1" t="str">
        <f t="shared" si="18"/>
        <v>1 Toilet</v>
      </c>
      <c r="AM237" s="1" t="str">
        <f t="shared" si="19"/>
        <v>NO</v>
      </c>
      <c r="AN237" s="1" t="str">
        <f>VLOOKUP(J237, 'Regions and Cities'!A:B, 2, FALSE)</f>
        <v>Uusimaa</v>
      </c>
    </row>
    <row r="238" spans="1:40" x14ac:dyDescent="0.3">
      <c r="A238" t="s">
        <v>4860</v>
      </c>
      <c r="B238" t="s">
        <v>4861</v>
      </c>
      <c r="C238" t="s">
        <v>1857</v>
      </c>
      <c r="D238" t="s">
        <v>4808</v>
      </c>
      <c r="E238" t="s">
        <v>4809</v>
      </c>
      <c r="F238" t="s">
        <v>4810</v>
      </c>
      <c r="H238">
        <v>87</v>
      </c>
      <c r="I238" t="s">
        <v>1310</v>
      </c>
      <c r="J238" t="s">
        <v>126</v>
      </c>
      <c r="K238" t="s">
        <v>1859</v>
      </c>
      <c r="L238" t="s">
        <v>4862</v>
      </c>
      <c r="M238" t="s">
        <v>37</v>
      </c>
      <c r="N238" t="s">
        <v>4863</v>
      </c>
      <c r="O238" t="s">
        <v>4864</v>
      </c>
      <c r="R238" t="s">
        <v>111</v>
      </c>
      <c r="S238" t="s">
        <v>37</v>
      </c>
      <c r="T238">
        <v>60.212139999999998</v>
      </c>
      <c r="U238" t="s">
        <v>4865</v>
      </c>
      <c r="V238" t="s">
        <v>4866</v>
      </c>
      <c r="W238">
        <v>24.779803999999999</v>
      </c>
      <c r="X238">
        <v>409000</v>
      </c>
      <c r="Y238" t="s">
        <v>4867</v>
      </c>
      <c r="AA238" t="s">
        <v>54</v>
      </c>
      <c r="AB238" t="s">
        <v>39</v>
      </c>
      <c r="AC238" t="s">
        <v>463</v>
      </c>
      <c r="AD238" t="s">
        <v>75</v>
      </c>
      <c r="AE238" t="s">
        <v>217</v>
      </c>
      <c r="AF238" t="s">
        <v>4868</v>
      </c>
      <c r="AG238" t="s">
        <v>4842</v>
      </c>
      <c r="AH238">
        <v>90</v>
      </c>
      <c r="AI238" s="2" t="str">
        <f t="shared" si="15"/>
        <v>Independent</v>
      </c>
      <c r="AJ238" s="2" t="str">
        <f t="shared" si="16"/>
        <v>NO</v>
      </c>
      <c r="AK238" s="1" t="str">
        <f t="shared" si="17"/>
        <v>None</v>
      </c>
      <c r="AL238" s="1" t="str">
        <f t="shared" si="18"/>
        <v>1 Toilet</v>
      </c>
      <c r="AM238" s="1" t="str">
        <f t="shared" si="19"/>
        <v>NO</v>
      </c>
      <c r="AN238" s="1" t="str">
        <f>VLOOKUP(J238, 'Regions and Cities'!A:B, 2, FALSE)</f>
        <v>Uusimaa</v>
      </c>
    </row>
    <row r="239" spans="1:40" x14ac:dyDescent="0.3">
      <c r="A239" t="s">
        <v>4806</v>
      </c>
      <c r="B239" t="s">
        <v>4807</v>
      </c>
      <c r="C239" t="s">
        <v>1857</v>
      </c>
      <c r="D239" t="s">
        <v>4808</v>
      </c>
      <c r="E239" t="s">
        <v>4809</v>
      </c>
      <c r="F239" t="s">
        <v>4810</v>
      </c>
      <c r="H239">
        <v>101</v>
      </c>
      <c r="I239" t="s">
        <v>1310</v>
      </c>
      <c r="J239" t="s">
        <v>126</v>
      </c>
      <c r="K239" t="s">
        <v>1859</v>
      </c>
      <c r="L239" t="s">
        <v>4811</v>
      </c>
      <c r="M239" t="s">
        <v>37</v>
      </c>
      <c r="N239" t="s">
        <v>4812</v>
      </c>
      <c r="O239" t="s">
        <v>4813</v>
      </c>
      <c r="R239" t="s">
        <v>111</v>
      </c>
      <c r="S239" t="s">
        <v>37</v>
      </c>
      <c r="T239">
        <v>60.212139999999998</v>
      </c>
      <c r="U239" t="s">
        <v>4814</v>
      </c>
      <c r="V239" t="s">
        <v>4815</v>
      </c>
      <c r="W239">
        <v>24.779803999999999</v>
      </c>
      <c r="X239">
        <v>489000</v>
      </c>
      <c r="Y239" t="s">
        <v>4816</v>
      </c>
      <c r="AA239" t="s">
        <v>54</v>
      </c>
      <c r="AB239" t="s">
        <v>39</v>
      </c>
      <c r="AC239" t="s">
        <v>4817</v>
      </c>
      <c r="AD239">
        <v>5</v>
      </c>
      <c r="AE239" t="s">
        <v>3874</v>
      </c>
      <c r="AF239" t="s">
        <v>4818</v>
      </c>
      <c r="AG239" t="s">
        <v>4819</v>
      </c>
      <c r="AH239">
        <v>105</v>
      </c>
      <c r="AI239" s="2" t="str">
        <f t="shared" si="15"/>
        <v>Independent</v>
      </c>
      <c r="AJ239" s="2" t="str">
        <f t="shared" si="16"/>
        <v>NO</v>
      </c>
      <c r="AK239" s="1" t="str">
        <f t="shared" si="17"/>
        <v>None</v>
      </c>
      <c r="AL239" s="1" t="str">
        <f t="shared" si="18"/>
        <v>1 Toilet</v>
      </c>
      <c r="AM239" s="1" t="str">
        <f t="shared" si="19"/>
        <v>NO</v>
      </c>
      <c r="AN239" s="1" t="str">
        <f>VLOOKUP(J239, 'Regions and Cities'!A:B, 2, FALSE)</f>
        <v>Uusimaa</v>
      </c>
    </row>
    <row r="240" spans="1:40" x14ac:dyDescent="0.3">
      <c r="A240" t="s">
        <v>7827</v>
      </c>
      <c r="B240" t="s">
        <v>7828</v>
      </c>
      <c r="C240" t="s">
        <v>7246</v>
      </c>
      <c r="D240" t="s">
        <v>7791</v>
      </c>
      <c r="E240" t="s">
        <v>7792</v>
      </c>
      <c r="F240" t="s">
        <v>7793</v>
      </c>
      <c r="H240">
        <v>43</v>
      </c>
      <c r="I240" t="s">
        <v>2387</v>
      </c>
      <c r="J240" t="s">
        <v>137</v>
      </c>
      <c r="K240" t="s">
        <v>7250</v>
      </c>
      <c r="L240" t="s">
        <v>7829</v>
      </c>
      <c r="M240" t="s">
        <v>37</v>
      </c>
      <c r="N240" t="s">
        <v>7830</v>
      </c>
      <c r="O240" t="s">
        <v>7831</v>
      </c>
      <c r="R240" t="s">
        <v>37</v>
      </c>
      <c r="S240" t="s">
        <v>37</v>
      </c>
      <c r="T240">
        <v>60.239556999999998</v>
      </c>
      <c r="U240" t="s">
        <v>7832</v>
      </c>
      <c r="V240" t="s">
        <v>7833</v>
      </c>
      <c r="W240">
        <v>25.072893000000001</v>
      </c>
      <c r="X240">
        <v>24120.2</v>
      </c>
      <c r="Y240" t="s">
        <v>7834</v>
      </c>
      <c r="AA240" t="s">
        <v>38</v>
      </c>
      <c r="AB240" t="s">
        <v>39</v>
      </c>
      <c r="AC240" t="s">
        <v>6510</v>
      </c>
      <c r="AD240" t="s">
        <v>40</v>
      </c>
      <c r="AE240" t="s">
        <v>7835</v>
      </c>
      <c r="AF240" t="s">
        <v>7836</v>
      </c>
      <c r="AG240" t="s">
        <v>7837</v>
      </c>
      <c r="AH240"/>
      <c r="AI240" s="2" t="str">
        <f t="shared" si="15"/>
        <v>Independent</v>
      </c>
      <c r="AJ240" s="2" t="str">
        <f t="shared" si="16"/>
        <v>NO</v>
      </c>
      <c r="AK240" s="1" t="str">
        <f t="shared" si="17"/>
        <v>None</v>
      </c>
      <c r="AL240" s="1" t="str">
        <f t="shared" si="18"/>
        <v>1 Toilet</v>
      </c>
      <c r="AM240" s="1" t="str">
        <f t="shared" si="19"/>
        <v>NO</v>
      </c>
      <c r="AN240" s="1" t="str">
        <f>VLOOKUP(J240, 'Regions and Cities'!A:B, 2, FALSE)</f>
        <v>Uusimaa</v>
      </c>
    </row>
    <row r="241" spans="1:40" x14ac:dyDescent="0.3">
      <c r="A241" t="s">
        <v>3407</v>
      </c>
      <c r="B241" t="s">
        <v>3408</v>
      </c>
      <c r="C241" t="s">
        <v>3409</v>
      </c>
      <c r="D241" t="s">
        <v>3410</v>
      </c>
      <c r="E241" t="s">
        <v>3411</v>
      </c>
      <c r="F241" t="s">
        <v>3412</v>
      </c>
      <c r="H241">
        <v>56.5</v>
      </c>
      <c r="I241" t="s">
        <v>191</v>
      </c>
      <c r="J241" t="s">
        <v>265</v>
      </c>
      <c r="K241" t="s">
        <v>3413</v>
      </c>
      <c r="L241" t="s">
        <v>3414</v>
      </c>
      <c r="M241" t="s">
        <v>37</v>
      </c>
      <c r="N241" t="s">
        <v>3415</v>
      </c>
      <c r="O241" t="s">
        <v>3416</v>
      </c>
      <c r="R241" t="s">
        <v>37</v>
      </c>
      <c r="S241" t="s">
        <v>37</v>
      </c>
      <c r="T241">
        <v>64.981217999999998</v>
      </c>
      <c r="U241" t="s">
        <v>3417</v>
      </c>
      <c r="V241" t="s">
        <v>3418</v>
      </c>
      <c r="W241">
        <v>25.708006999999998</v>
      </c>
      <c r="X241">
        <v>228000</v>
      </c>
      <c r="Y241" t="s">
        <v>3419</v>
      </c>
      <c r="AA241" t="s">
        <v>38</v>
      </c>
      <c r="AB241" t="s">
        <v>39</v>
      </c>
      <c r="AC241" t="s">
        <v>480</v>
      </c>
      <c r="AD241" t="s">
        <v>46</v>
      </c>
      <c r="AE241" t="s">
        <v>3420</v>
      </c>
      <c r="AF241" t="s">
        <v>3421</v>
      </c>
      <c r="AG241" t="s">
        <v>3422</v>
      </c>
      <c r="AH241">
        <v>56.5</v>
      </c>
      <c r="AI241" s="2" t="str">
        <f t="shared" si="15"/>
        <v>Independent</v>
      </c>
      <c r="AJ241" s="2" t="str">
        <f t="shared" si="16"/>
        <v>NO</v>
      </c>
      <c r="AK241" s="1" t="str">
        <f t="shared" si="17"/>
        <v>Glazed Balcony</v>
      </c>
      <c r="AL241" s="1" t="str">
        <f t="shared" si="18"/>
        <v>1 Toilet</v>
      </c>
      <c r="AM241" s="1" t="str">
        <f t="shared" si="19"/>
        <v>NO</v>
      </c>
      <c r="AN241" s="1" t="str">
        <f>VLOOKUP(J241, 'Regions and Cities'!A:B, 2, FALSE)</f>
        <v>Pohjois-Pohjanmaa</v>
      </c>
    </row>
    <row r="242" spans="1:40" x14ac:dyDescent="0.3">
      <c r="A242" t="s">
        <v>7498</v>
      </c>
      <c r="B242" t="s">
        <v>7499</v>
      </c>
      <c r="C242" t="s">
        <v>7500</v>
      </c>
      <c r="D242" t="s">
        <v>1717</v>
      </c>
      <c r="E242" t="s">
        <v>1718</v>
      </c>
      <c r="F242" t="s">
        <v>1719</v>
      </c>
      <c r="H242">
        <v>62</v>
      </c>
      <c r="I242" t="s">
        <v>1780</v>
      </c>
      <c r="J242" t="s">
        <v>36</v>
      </c>
      <c r="K242" t="s">
        <v>7501</v>
      </c>
      <c r="L242" t="s">
        <v>7502</v>
      </c>
      <c r="M242" t="s">
        <v>37</v>
      </c>
      <c r="N242" t="s">
        <v>7503</v>
      </c>
      <c r="O242" t="s">
        <v>7504</v>
      </c>
      <c r="R242" t="s">
        <v>37</v>
      </c>
      <c r="S242" t="s">
        <v>37</v>
      </c>
      <c r="T242">
        <v>60.409663000000002</v>
      </c>
      <c r="U242" t="s">
        <v>7505</v>
      </c>
      <c r="V242" t="s">
        <v>7506</v>
      </c>
      <c r="W242">
        <v>25.667213</v>
      </c>
      <c r="X242">
        <v>13538.18</v>
      </c>
      <c r="Y242" t="s">
        <v>7507</v>
      </c>
      <c r="AA242" t="s">
        <v>38</v>
      </c>
      <c r="AB242" t="s">
        <v>39</v>
      </c>
      <c r="AC242" t="s">
        <v>6510</v>
      </c>
      <c r="AD242" t="s">
        <v>40</v>
      </c>
      <c r="AE242" t="s">
        <v>1728</v>
      </c>
      <c r="AF242" t="s">
        <v>7508</v>
      </c>
      <c r="AG242" t="s">
        <v>7509</v>
      </c>
      <c r="AH242"/>
      <c r="AI242" s="2" t="str">
        <f t="shared" si="15"/>
        <v>Independent</v>
      </c>
      <c r="AJ242" s="2" t="str">
        <f t="shared" si="16"/>
        <v>YES</v>
      </c>
      <c r="AK242" s="1" t="str">
        <f t="shared" si="17"/>
        <v>None</v>
      </c>
      <c r="AL242" s="1" t="str">
        <f t="shared" si="18"/>
        <v>1 Toilet</v>
      </c>
      <c r="AM242" s="1" t="str">
        <f t="shared" si="19"/>
        <v>NO</v>
      </c>
      <c r="AN242" s="1" t="str">
        <f>VLOOKUP(J242, 'Regions and Cities'!A:B, 2, FALSE)</f>
        <v>Uusimaa</v>
      </c>
    </row>
    <row r="243" spans="1:40" x14ac:dyDescent="0.3">
      <c r="A243" t="s">
        <v>8530</v>
      </c>
      <c r="B243" t="s">
        <v>8531</v>
      </c>
      <c r="C243" t="s">
        <v>8532</v>
      </c>
      <c r="D243" t="s">
        <v>8533</v>
      </c>
      <c r="E243" t="s">
        <v>8534</v>
      </c>
      <c r="F243" t="s">
        <v>79</v>
      </c>
      <c r="G243" t="s">
        <v>8535</v>
      </c>
      <c r="H243">
        <v>92</v>
      </c>
      <c r="I243" t="s">
        <v>96</v>
      </c>
      <c r="J243" t="s">
        <v>409</v>
      </c>
      <c r="K243" t="s">
        <v>8536</v>
      </c>
      <c r="L243" t="s">
        <v>8537</v>
      </c>
      <c r="M243" t="s">
        <v>37</v>
      </c>
      <c r="N243" t="s">
        <v>8538</v>
      </c>
      <c r="O243" t="s">
        <v>8539</v>
      </c>
      <c r="P243" t="s">
        <v>8540</v>
      </c>
      <c r="R243" t="s">
        <v>37</v>
      </c>
      <c r="S243" t="s">
        <v>37</v>
      </c>
      <c r="T243">
        <v>60.073591</v>
      </c>
      <c r="U243" t="s">
        <v>8541</v>
      </c>
      <c r="V243" t="s">
        <v>8542</v>
      </c>
      <c r="W243">
        <v>23.687239000000002</v>
      </c>
      <c r="X243">
        <v>105000</v>
      </c>
      <c r="Y243" t="s">
        <v>1678</v>
      </c>
      <c r="AA243" t="s">
        <v>38</v>
      </c>
      <c r="AB243" t="s">
        <v>39</v>
      </c>
      <c r="AC243" t="s">
        <v>6510</v>
      </c>
      <c r="AD243" t="s">
        <v>75</v>
      </c>
      <c r="AE243" t="s">
        <v>2114</v>
      </c>
      <c r="AF243" t="s">
        <v>8543</v>
      </c>
      <c r="AG243" t="s">
        <v>8544</v>
      </c>
      <c r="AH243">
        <v>92</v>
      </c>
      <c r="AI243" s="2" t="str">
        <f t="shared" si="15"/>
        <v>Independent</v>
      </c>
      <c r="AJ243" s="2" t="str">
        <f t="shared" si="16"/>
        <v>NO</v>
      </c>
      <c r="AK243" s="1" t="str">
        <f t="shared" si="17"/>
        <v>None</v>
      </c>
      <c r="AL243" s="1" t="str">
        <f t="shared" si="18"/>
        <v>1 Toilet</v>
      </c>
      <c r="AM243" s="1" t="str">
        <f t="shared" si="19"/>
        <v>NO</v>
      </c>
      <c r="AN243" s="1" t="str">
        <f>VLOOKUP(J243, 'Regions and Cities'!A:B, 2, FALSE)</f>
        <v>Uusimaa</v>
      </c>
    </row>
    <row r="244" spans="1:40" x14ac:dyDescent="0.3">
      <c r="A244" t="s">
        <v>8166</v>
      </c>
      <c r="B244" t="s">
        <v>8167</v>
      </c>
      <c r="C244" t="s">
        <v>8168</v>
      </c>
      <c r="D244" t="s">
        <v>4368</v>
      </c>
      <c r="E244" t="s">
        <v>4369</v>
      </c>
      <c r="F244" t="s">
        <v>1493</v>
      </c>
      <c r="H244">
        <v>48</v>
      </c>
      <c r="I244" t="s">
        <v>3053</v>
      </c>
      <c r="J244" t="s">
        <v>404</v>
      </c>
      <c r="K244" t="s">
        <v>8169</v>
      </c>
      <c r="L244" t="s">
        <v>8170</v>
      </c>
      <c r="M244" t="s">
        <v>37</v>
      </c>
      <c r="N244" t="s">
        <v>8171</v>
      </c>
      <c r="O244" t="s">
        <v>8172</v>
      </c>
      <c r="R244" t="s">
        <v>37</v>
      </c>
      <c r="S244" t="s">
        <v>37</v>
      </c>
      <c r="T244">
        <v>60.468415</v>
      </c>
      <c r="U244" t="s">
        <v>8173</v>
      </c>
      <c r="V244" t="s">
        <v>8174</v>
      </c>
      <c r="W244">
        <v>26.949072000000001</v>
      </c>
      <c r="X244">
        <v>76000</v>
      </c>
      <c r="Y244" t="s">
        <v>8175</v>
      </c>
      <c r="AA244" t="s">
        <v>38</v>
      </c>
      <c r="AB244" t="s">
        <v>39</v>
      </c>
      <c r="AC244" t="s">
        <v>6510</v>
      </c>
      <c r="AD244" t="s">
        <v>40</v>
      </c>
      <c r="AE244" t="s">
        <v>8176</v>
      </c>
      <c r="AF244" t="s">
        <v>8177</v>
      </c>
      <c r="AG244" t="s">
        <v>8178</v>
      </c>
      <c r="AH244">
        <v>48</v>
      </c>
      <c r="AI244" s="2" t="str">
        <f t="shared" si="15"/>
        <v>Kitchenette</v>
      </c>
      <c r="AJ244" s="2" t="str">
        <f t="shared" si="16"/>
        <v>NO</v>
      </c>
      <c r="AK244" s="1" t="str">
        <f t="shared" si="17"/>
        <v>Standard Balcony</v>
      </c>
      <c r="AL244" s="1" t="str">
        <f t="shared" si="18"/>
        <v>1 Toilet</v>
      </c>
      <c r="AM244" s="1" t="str">
        <f t="shared" si="19"/>
        <v>NO</v>
      </c>
      <c r="AN244" s="1" t="str">
        <f>VLOOKUP(J244, 'Regions and Cities'!A:B, 2, FALSE)</f>
        <v>Kymenlaakso</v>
      </c>
    </row>
    <row r="245" spans="1:40" x14ac:dyDescent="0.3">
      <c r="A245" t="s">
        <v>1045</v>
      </c>
      <c r="B245" t="s">
        <v>1046</v>
      </c>
      <c r="C245" t="s">
        <v>1047</v>
      </c>
      <c r="D245" t="s">
        <v>1048</v>
      </c>
      <c r="E245" t="s">
        <v>1049</v>
      </c>
      <c r="F245" t="s">
        <v>1050</v>
      </c>
      <c r="H245">
        <v>61</v>
      </c>
      <c r="I245" t="s">
        <v>188</v>
      </c>
      <c r="J245" t="s">
        <v>355</v>
      </c>
      <c r="K245" t="s">
        <v>131</v>
      </c>
      <c r="L245" t="s">
        <v>1051</v>
      </c>
      <c r="M245" t="s">
        <v>37</v>
      </c>
      <c r="N245" t="s">
        <v>1052</v>
      </c>
      <c r="O245" t="s">
        <v>1053</v>
      </c>
      <c r="R245" t="s">
        <v>37</v>
      </c>
      <c r="S245" t="s">
        <v>37</v>
      </c>
      <c r="T245">
        <v>61.804786</v>
      </c>
      <c r="U245" t="s">
        <v>1054</v>
      </c>
      <c r="V245" t="s">
        <v>1055</v>
      </c>
      <c r="W245">
        <v>22.391914</v>
      </c>
      <c r="X245">
        <v>69000</v>
      </c>
      <c r="Y245" t="s">
        <v>712</v>
      </c>
      <c r="AA245" t="s">
        <v>38</v>
      </c>
      <c r="AB245" t="s">
        <v>39</v>
      </c>
      <c r="AC245" t="s">
        <v>480</v>
      </c>
      <c r="AD245" t="s">
        <v>46</v>
      </c>
      <c r="AE245" t="s">
        <v>1056</v>
      </c>
      <c r="AF245" t="s">
        <v>1057</v>
      </c>
      <c r="AG245" t="s">
        <v>1058</v>
      </c>
      <c r="AH245">
        <v>61</v>
      </c>
      <c r="AI245" s="2" t="str">
        <f t="shared" si="15"/>
        <v>Independent</v>
      </c>
      <c r="AJ245" s="2" t="str">
        <f t="shared" si="16"/>
        <v>NO</v>
      </c>
      <c r="AK245" s="1" t="str">
        <f t="shared" si="17"/>
        <v>None</v>
      </c>
      <c r="AL245" s="1" t="str">
        <f t="shared" si="18"/>
        <v>1 Toilet</v>
      </c>
      <c r="AM245" s="1" t="str">
        <f t="shared" si="19"/>
        <v>NO</v>
      </c>
      <c r="AN245" s="1" t="str">
        <f>VLOOKUP(J245, 'Regions and Cities'!A:B, 2, FALSE)</f>
        <v>Satakunta</v>
      </c>
    </row>
    <row r="246" spans="1:40" x14ac:dyDescent="0.3">
      <c r="A246" t="s">
        <v>4989</v>
      </c>
      <c r="B246" t="s">
        <v>4990</v>
      </c>
      <c r="C246" t="s">
        <v>4991</v>
      </c>
      <c r="D246" t="s">
        <v>4992</v>
      </c>
      <c r="E246" t="s">
        <v>4993</v>
      </c>
      <c r="F246" t="s">
        <v>4994</v>
      </c>
      <c r="G246" t="s">
        <v>4995</v>
      </c>
      <c r="H246">
        <v>65</v>
      </c>
      <c r="I246" t="s">
        <v>296</v>
      </c>
      <c r="J246" t="s">
        <v>158</v>
      </c>
      <c r="K246" t="s">
        <v>4996</v>
      </c>
      <c r="L246" t="s">
        <v>4997</v>
      </c>
      <c r="M246" t="s">
        <v>37</v>
      </c>
      <c r="N246" t="s">
        <v>4998</v>
      </c>
      <c r="O246" t="s">
        <v>4999</v>
      </c>
      <c r="P246" t="s">
        <v>5000</v>
      </c>
      <c r="R246" t="s">
        <v>37</v>
      </c>
      <c r="S246" t="s">
        <v>37</v>
      </c>
      <c r="T246">
        <v>60.398000000000003</v>
      </c>
      <c r="U246" t="s">
        <v>5001</v>
      </c>
      <c r="V246" t="s">
        <v>5002</v>
      </c>
      <c r="W246">
        <v>23.129660000000001</v>
      </c>
      <c r="X246">
        <v>55000</v>
      </c>
      <c r="Y246" t="s">
        <v>240</v>
      </c>
      <c r="AA246" t="s">
        <v>45</v>
      </c>
      <c r="AB246" t="s">
        <v>39</v>
      </c>
      <c r="AC246" t="s">
        <v>480</v>
      </c>
      <c r="AD246" t="s">
        <v>46</v>
      </c>
      <c r="AE246" t="s">
        <v>5003</v>
      </c>
      <c r="AF246" t="s">
        <v>5004</v>
      </c>
      <c r="AG246" t="s">
        <v>5005</v>
      </c>
      <c r="AH246">
        <v>65</v>
      </c>
      <c r="AI246" s="2" t="str">
        <f t="shared" si="15"/>
        <v>Kitchenette</v>
      </c>
      <c r="AJ246" s="2" t="str">
        <f t="shared" si="16"/>
        <v>NO</v>
      </c>
      <c r="AK246" s="1" t="str">
        <f t="shared" si="17"/>
        <v>None</v>
      </c>
      <c r="AL246" s="1" t="str">
        <f t="shared" si="18"/>
        <v>1 Toilet</v>
      </c>
      <c r="AM246" s="1" t="str">
        <f t="shared" si="19"/>
        <v>NO</v>
      </c>
      <c r="AN246" s="1" t="str">
        <f>VLOOKUP(J246, 'Regions and Cities'!A:B, 2, FALSE)</f>
        <v>Varsinais-Suomi</v>
      </c>
    </row>
    <row r="247" spans="1:40" x14ac:dyDescent="0.3">
      <c r="A247" t="s">
        <v>4224</v>
      </c>
      <c r="B247" t="s">
        <v>4225</v>
      </c>
      <c r="C247" t="s">
        <v>4226</v>
      </c>
      <c r="D247" t="s">
        <v>4227</v>
      </c>
      <c r="E247" t="s">
        <v>4228</v>
      </c>
      <c r="F247" t="s">
        <v>4229</v>
      </c>
      <c r="H247">
        <v>72</v>
      </c>
      <c r="I247" t="s">
        <v>2091</v>
      </c>
      <c r="J247" t="s">
        <v>265</v>
      </c>
      <c r="K247" t="s">
        <v>4230</v>
      </c>
      <c r="L247" t="s">
        <v>4231</v>
      </c>
      <c r="M247" t="s">
        <v>37</v>
      </c>
      <c r="N247" t="s">
        <v>4232</v>
      </c>
      <c r="O247" t="s">
        <v>4233</v>
      </c>
      <c r="R247" t="s">
        <v>37</v>
      </c>
      <c r="S247" t="s">
        <v>37</v>
      </c>
      <c r="T247">
        <v>64.949279000000004</v>
      </c>
      <c r="U247" t="s">
        <v>4234</v>
      </c>
      <c r="V247" t="s">
        <v>4235</v>
      </c>
      <c r="W247">
        <v>25.560449999999999</v>
      </c>
      <c r="X247">
        <v>228000</v>
      </c>
      <c r="Y247" t="s">
        <v>3419</v>
      </c>
      <c r="AA247" t="s">
        <v>63</v>
      </c>
      <c r="AB247" t="s">
        <v>39</v>
      </c>
      <c r="AC247" t="s">
        <v>480</v>
      </c>
      <c r="AD247" t="s">
        <v>46</v>
      </c>
      <c r="AE247" t="s">
        <v>4236</v>
      </c>
      <c r="AF247" t="s">
        <v>4237</v>
      </c>
      <c r="AG247" t="s">
        <v>4238</v>
      </c>
      <c r="AH247">
        <v>72</v>
      </c>
      <c r="AI247" s="2" t="str">
        <f t="shared" si="15"/>
        <v>Independent</v>
      </c>
      <c r="AJ247" s="2" t="str">
        <f t="shared" si="16"/>
        <v>YES</v>
      </c>
      <c r="AK247" s="1" t="str">
        <f t="shared" si="17"/>
        <v>None</v>
      </c>
      <c r="AL247" s="1" t="str">
        <f t="shared" si="18"/>
        <v>1 Toilet</v>
      </c>
      <c r="AM247" s="1" t="str">
        <f t="shared" si="19"/>
        <v>YES</v>
      </c>
      <c r="AN247" s="1" t="str">
        <f>VLOOKUP(J247, 'Regions and Cities'!A:B, 2, FALSE)</f>
        <v>Pohjois-Pohjanmaa</v>
      </c>
    </row>
    <row r="248" spans="1:40" x14ac:dyDescent="0.3">
      <c r="A248" t="s">
        <v>7312</v>
      </c>
      <c r="B248" t="s">
        <v>7313</v>
      </c>
      <c r="C248" t="s">
        <v>7314</v>
      </c>
      <c r="D248" t="s">
        <v>7315</v>
      </c>
      <c r="E248" t="s">
        <v>7316</v>
      </c>
      <c r="F248" t="s">
        <v>70</v>
      </c>
      <c r="G248" t="s">
        <v>7317</v>
      </c>
      <c r="H248">
        <v>118</v>
      </c>
      <c r="I248" t="s">
        <v>556</v>
      </c>
      <c r="J248" t="s">
        <v>424</v>
      </c>
      <c r="K248" t="s">
        <v>7318</v>
      </c>
      <c r="L248" t="s">
        <v>7319</v>
      </c>
      <c r="M248" t="s">
        <v>37</v>
      </c>
      <c r="N248" t="s">
        <v>7320</v>
      </c>
      <c r="O248" t="s">
        <v>7321</v>
      </c>
      <c r="P248" t="s">
        <v>7322</v>
      </c>
      <c r="R248" t="s">
        <v>37</v>
      </c>
      <c r="S248" t="s">
        <v>37</v>
      </c>
      <c r="T248">
        <v>60.800125000000001</v>
      </c>
      <c r="U248" t="s">
        <v>7323</v>
      </c>
      <c r="V248" t="s">
        <v>7324</v>
      </c>
      <c r="W248">
        <v>21.410993999999999</v>
      </c>
      <c r="X248">
        <v>149500</v>
      </c>
      <c r="Y248" t="s">
        <v>7325</v>
      </c>
      <c r="AA248" t="s">
        <v>63</v>
      </c>
      <c r="AB248" t="s">
        <v>39</v>
      </c>
      <c r="AC248" t="s">
        <v>6510</v>
      </c>
      <c r="AD248" t="s">
        <v>75</v>
      </c>
      <c r="AE248" t="s">
        <v>7326</v>
      </c>
      <c r="AF248" t="s">
        <v>7327</v>
      </c>
      <c r="AG248" t="s">
        <v>7328</v>
      </c>
      <c r="AH248">
        <v>199</v>
      </c>
      <c r="AI248" s="2" t="str">
        <f t="shared" si="15"/>
        <v>Independent</v>
      </c>
      <c r="AJ248" s="2" t="str">
        <f t="shared" si="16"/>
        <v>YES</v>
      </c>
      <c r="AK248" s="1" t="str">
        <f t="shared" si="17"/>
        <v>None</v>
      </c>
      <c r="AL248" s="1" t="str">
        <f t="shared" si="18"/>
        <v>1 Toilet</v>
      </c>
      <c r="AM248" s="1" t="str">
        <f t="shared" si="19"/>
        <v>NO</v>
      </c>
      <c r="AN248" s="1" t="str">
        <f>VLOOKUP(J248, 'Regions and Cities'!A:B, 2, FALSE)</f>
        <v>Varsinais-Suomi</v>
      </c>
    </row>
    <row r="249" spans="1:40" x14ac:dyDescent="0.3">
      <c r="A249" t="s">
        <v>843</v>
      </c>
      <c r="B249" t="s">
        <v>844</v>
      </c>
      <c r="C249" t="s">
        <v>160</v>
      </c>
      <c r="D249" t="s">
        <v>845</v>
      </c>
      <c r="E249" t="s">
        <v>846</v>
      </c>
      <c r="F249" t="s">
        <v>105</v>
      </c>
      <c r="G249" t="s">
        <v>847</v>
      </c>
      <c r="H249">
        <v>38</v>
      </c>
      <c r="I249" t="s">
        <v>848</v>
      </c>
      <c r="J249" t="s">
        <v>116</v>
      </c>
      <c r="K249" t="s">
        <v>163</v>
      </c>
      <c r="L249" t="s">
        <v>849</v>
      </c>
      <c r="M249" t="s">
        <v>37</v>
      </c>
      <c r="N249" t="s">
        <v>850</v>
      </c>
      <c r="O249" t="s">
        <v>851</v>
      </c>
      <c r="P249" t="s">
        <v>852</v>
      </c>
      <c r="Q249" t="s">
        <v>853</v>
      </c>
      <c r="R249" t="s">
        <v>37</v>
      </c>
      <c r="S249" t="s">
        <v>37</v>
      </c>
      <c r="T249">
        <v>60.257038000000001</v>
      </c>
      <c r="U249" t="s">
        <v>854</v>
      </c>
      <c r="V249" t="s">
        <v>855</v>
      </c>
      <c r="W249">
        <v>24.849540000000001</v>
      </c>
      <c r="X249">
        <v>137000</v>
      </c>
      <c r="Y249" t="s">
        <v>102</v>
      </c>
      <c r="AA249" t="s">
        <v>38</v>
      </c>
      <c r="AB249" t="s">
        <v>39</v>
      </c>
      <c r="AC249" t="s">
        <v>480</v>
      </c>
      <c r="AD249" t="s">
        <v>202</v>
      </c>
      <c r="AE249" t="s">
        <v>856</v>
      </c>
      <c r="AF249" t="s">
        <v>857</v>
      </c>
      <c r="AG249" t="s">
        <v>858</v>
      </c>
      <c r="AH249">
        <v>38</v>
      </c>
      <c r="AI249" s="2" t="str">
        <f t="shared" si="15"/>
        <v>Open</v>
      </c>
      <c r="AJ249" s="2" t="str">
        <f t="shared" si="16"/>
        <v>NO</v>
      </c>
      <c r="AK249" s="1" t="str">
        <f t="shared" si="17"/>
        <v>None</v>
      </c>
      <c r="AL249" s="1" t="str">
        <f t="shared" si="18"/>
        <v>1 Toilet</v>
      </c>
      <c r="AM249" s="1" t="str">
        <f t="shared" si="19"/>
        <v>YES</v>
      </c>
      <c r="AN249" s="1" t="str">
        <f>VLOOKUP(J249, 'Regions and Cities'!A:B, 2, FALSE)</f>
        <v>Uusimaa</v>
      </c>
    </row>
    <row r="250" spans="1:40" x14ac:dyDescent="0.3">
      <c r="A250" t="s">
        <v>2350</v>
      </c>
      <c r="B250" t="s">
        <v>2351</v>
      </c>
      <c r="C250" t="s">
        <v>2352</v>
      </c>
      <c r="D250" t="s">
        <v>2353</v>
      </c>
      <c r="E250" t="s">
        <v>2354</v>
      </c>
      <c r="F250" t="s">
        <v>2355</v>
      </c>
      <c r="G250" t="s">
        <v>2356</v>
      </c>
      <c r="H250">
        <v>141</v>
      </c>
      <c r="I250" t="s">
        <v>190</v>
      </c>
      <c r="J250" t="s">
        <v>357</v>
      </c>
      <c r="K250" t="s">
        <v>2357</v>
      </c>
      <c r="L250" t="s">
        <v>2358</v>
      </c>
      <c r="M250" t="s">
        <v>37</v>
      </c>
      <c r="N250" t="s">
        <v>2359</v>
      </c>
      <c r="O250" t="s">
        <v>2360</v>
      </c>
      <c r="P250" t="s">
        <v>2361</v>
      </c>
      <c r="R250" t="s">
        <v>37</v>
      </c>
      <c r="S250" t="s">
        <v>37</v>
      </c>
      <c r="T250">
        <v>62.159770000000002</v>
      </c>
      <c r="U250" t="s">
        <v>2362</v>
      </c>
      <c r="V250" t="s">
        <v>2363</v>
      </c>
      <c r="W250">
        <v>25.758780000000002</v>
      </c>
      <c r="X250">
        <v>398000</v>
      </c>
      <c r="Y250" t="s">
        <v>2364</v>
      </c>
      <c r="AA250" t="s">
        <v>54</v>
      </c>
      <c r="AB250" t="s">
        <v>39</v>
      </c>
      <c r="AC250" t="s">
        <v>2365</v>
      </c>
      <c r="AD250" t="s">
        <v>75</v>
      </c>
      <c r="AE250" t="s">
        <v>2366</v>
      </c>
      <c r="AF250" t="s">
        <v>2367</v>
      </c>
      <c r="AG250" t="s">
        <v>2368</v>
      </c>
      <c r="AH250">
        <v>141</v>
      </c>
      <c r="AI250" s="2" t="str">
        <f t="shared" si="15"/>
        <v>Independent</v>
      </c>
      <c r="AJ250" s="2" t="str">
        <f t="shared" si="16"/>
        <v>YES</v>
      </c>
      <c r="AK250" s="1" t="str">
        <f t="shared" si="17"/>
        <v>None</v>
      </c>
      <c r="AL250" s="1" t="str">
        <f t="shared" si="18"/>
        <v>1 Toilet</v>
      </c>
      <c r="AM250" s="1" t="str">
        <f t="shared" si="19"/>
        <v>YES</v>
      </c>
      <c r="AN250" s="1" t="str">
        <f>VLOOKUP(J250, 'Regions and Cities'!A:B, 2, FALSE)</f>
        <v>Keski-Suomi</v>
      </c>
    </row>
    <row r="251" spans="1:40" x14ac:dyDescent="0.3">
      <c r="A251" t="s">
        <v>7205</v>
      </c>
      <c r="B251" t="s">
        <v>7206</v>
      </c>
      <c r="C251" t="s">
        <v>7207</v>
      </c>
      <c r="D251" t="s">
        <v>7208</v>
      </c>
      <c r="E251" t="s">
        <v>7209</v>
      </c>
      <c r="F251" t="s">
        <v>70</v>
      </c>
      <c r="G251" t="s">
        <v>7210</v>
      </c>
      <c r="H251">
        <v>41</v>
      </c>
      <c r="I251" t="s">
        <v>7211</v>
      </c>
      <c r="J251" t="s">
        <v>368</v>
      </c>
      <c r="K251" t="s">
        <v>7212</v>
      </c>
      <c r="L251" t="s">
        <v>7213</v>
      </c>
      <c r="M251" t="s">
        <v>37</v>
      </c>
      <c r="N251" t="s">
        <v>7214</v>
      </c>
      <c r="O251" t="s">
        <v>7215</v>
      </c>
      <c r="P251" t="s">
        <v>7216</v>
      </c>
      <c r="Q251" t="s">
        <v>7217</v>
      </c>
      <c r="R251" t="s">
        <v>37</v>
      </c>
      <c r="S251" t="s">
        <v>37</v>
      </c>
      <c r="T251">
        <v>60.302430999999999</v>
      </c>
      <c r="U251" t="s">
        <v>7218</v>
      </c>
      <c r="V251" t="s">
        <v>7219</v>
      </c>
      <c r="W251">
        <v>22.308157999999999</v>
      </c>
      <c r="X251">
        <v>184000</v>
      </c>
      <c r="Y251" t="s">
        <v>5538</v>
      </c>
      <c r="AA251" t="s">
        <v>63</v>
      </c>
      <c r="AB251" t="s">
        <v>39</v>
      </c>
      <c r="AC251" t="s">
        <v>6510</v>
      </c>
      <c r="AD251" t="s">
        <v>40</v>
      </c>
      <c r="AE251" t="s">
        <v>7220</v>
      </c>
      <c r="AF251" t="s">
        <v>7221</v>
      </c>
      <c r="AG251" t="s">
        <v>7222</v>
      </c>
      <c r="AH251">
        <v>66</v>
      </c>
      <c r="AI251" s="2" t="str">
        <f t="shared" si="15"/>
        <v>Kitchenette</v>
      </c>
      <c r="AJ251" s="2" t="str">
        <f t="shared" si="16"/>
        <v>YES</v>
      </c>
      <c r="AK251" s="1" t="str">
        <f t="shared" si="17"/>
        <v>None</v>
      </c>
      <c r="AL251" s="1" t="str">
        <f t="shared" si="18"/>
        <v>1 Toilet</v>
      </c>
      <c r="AM251" s="1" t="str">
        <f t="shared" si="19"/>
        <v>NO</v>
      </c>
      <c r="AN251" s="1" t="str">
        <f>VLOOKUP(J251, 'Regions and Cities'!A:B, 2, FALSE)</f>
        <v>Varsinais-Suomi</v>
      </c>
    </row>
    <row r="252" spans="1:40" x14ac:dyDescent="0.3">
      <c r="A252" t="s">
        <v>3877</v>
      </c>
      <c r="B252" t="s">
        <v>3878</v>
      </c>
      <c r="C252" t="s">
        <v>2225</v>
      </c>
      <c r="D252" t="s">
        <v>277</v>
      </c>
      <c r="E252" t="s">
        <v>278</v>
      </c>
      <c r="F252" t="s">
        <v>279</v>
      </c>
      <c r="H252">
        <v>61</v>
      </c>
      <c r="I252" t="s">
        <v>59</v>
      </c>
      <c r="J252" t="s">
        <v>265</v>
      </c>
      <c r="K252" t="s">
        <v>131</v>
      </c>
      <c r="L252" t="s">
        <v>3879</v>
      </c>
      <c r="M252" t="s">
        <v>37</v>
      </c>
      <c r="N252" t="s">
        <v>3880</v>
      </c>
      <c r="O252" t="s">
        <v>3881</v>
      </c>
      <c r="R252" t="s">
        <v>37</v>
      </c>
      <c r="S252" t="s">
        <v>37</v>
      </c>
      <c r="T252">
        <v>65.00779</v>
      </c>
      <c r="U252" t="s">
        <v>3882</v>
      </c>
      <c r="V252" t="s">
        <v>3883</v>
      </c>
      <c r="W252">
        <v>25.465129999999998</v>
      </c>
      <c r="X252">
        <v>149000</v>
      </c>
      <c r="Y252" t="s">
        <v>261</v>
      </c>
      <c r="AA252" t="s">
        <v>38</v>
      </c>
      <c r="AB252" t="s">
        <v>39</v>
      </c>
      <c r="AC252" t="s">
        <v>480</v>
      </c>
      <c r="AD252" t="s">
        <v>46</v>
      </c>
      <c r="AE252" t="s">
        <v>3884</v>
      </c>
      <c r="AF252" t="s">
        <v>3885</v>
      </c>
      <c r="AG252" t="s">
        <v>3886</v>
      </c>
      <c r="AH252">
        <v>61</v>
      </c>
      <c r="AI252" s="2" t="str">
        <f t="shared" si="15"/>
        <v>Independent</v>
      </c>
      <c r="AJ252" s="2" t="str">
        <f t="shared" si="16"/>
        <v>NO</v>
      </c>
      <c r="AK252" s="1" t="str">
        <f t="shared" si="17"/>
        <v>None</v>
      </c>
      <c r="AL252" s="1" t="str">
        <f t="shared" si="18"/>
        <v>1 Toilet</v>
      </c>
      <c r="AM252" s="1" t="str">
        <f t="shared" si="19"/>
        <v>NO</v>
      </c>
      <c r="AN252" s="1" t="str">
        <f>VLOOKUP(J252, 'Regions and Cities'!A:B, 2, FALSE)</f>
        <v>Pohjois-Pohjanmaa</v>
      </c>
    </row>
    <row r="253" spans="1:40" x14ac:dyDescent="0.3">
      <c r="A253" t="s">
        <v>3135</v>
      </c>
      <c r="B253" t="s">
        <v>3136</v>
      </c>
      <c r="C253" t="s">
        <v>3137</v>
      </c>
      <c r="D253" t="s">
        <v>766</v>
      </c>
      <c r="E253" t="s">
        <v>767</v>
      </c>
      <c r="F253" t="s">
        <v>768</v>
      </c>
      <c r="H253">
        <v>63</v>
      </c>
      <c r="I253" t="s">
        <v>219</v>
      </c>
      <c r="J253" t="s">
        <v>340</v>
      </c>
      <c r="K253" t="s">
        <v>3138</v>
      </c>
      <c r="L253" t="s">
        <v>3139</v>
      </c>
      <c r="M253" t="s">
        <v>37</v>
      </c>
      <c r="N253" t="s">
        <v>3140</v>
      </c>
      <c r="O253" t="s">
        <v>3141</v>
      </c>
      <c r="R253" t="s">
        <v>37</v>
      </c>
      <c r="S253" t="s">
        <v>37</v>
      </c>
      <c r="T253">
        <v>60.376049999999999</v>
      </c>
      <c r="U253" t="s">
        <v>3142</v>
      </c>
      <c r="V253" t="s">
        <v>3143</v>
      </c>
      <c r="W253">
        <v>25.270910000000001</v>
      </c>
      <c r="X253">
        <v>59000</v>
      </c>
      <c r="Y253" t="s">
        <v>544</v>
      </c>
      <c r="AA253" t="s">
        <v>38</v>
      </c>
      <c r="AB253" t="s">
        <v>39</v>
      </c>
      <c r="AC253" t="s">
        <v>3144</v>
      </c>
      <c r="AD253" t="s">
        <v>40</v>
      </c>
      <c r="AE253" t="s">
        <v>790</v>
      </c>
      <c r="AF253" t="s">
        <v>3145</v>
      </c>
      <c r="AG253" t="s">
        <v>3146</v>
      </c>
      <c r="AH253">
        <v>63</v>
      </c>
      <c r="AI253" s="2" t="str">
        <f t="shared" si="15"/>
        <v>Independent</v>
      </c>
      <c r="AJ253" s="2" t="str">
        <f t="shared" si="16"/>
        <v>NO</v>
      </c>
      <c r="AK253" s="1" t="str">
        <f t="shared" si="17"/>
        <v>None</v>
      </c>
      <c r="AL253" s="1" t="str">
        <f t="shared" si="18"/>
        <v>1 Toilet</v>
      </c>
      <c r="AM253" s="1" t="str">
        <f t="shared" si="19"/>
        <v>NO</v>
      </c>
      <c r="AN253" s="1" t="str">
        <f>VLOOKUP(J253, 'Regions and Cities'!A:B, 2, FALSE)</f>
        <v>Uusimaa</v>
      </c>
    </row>
    <row r="254" spans="1:40" x14ac:dyDescent="0.3">
      <c r="A254" t="s">
        <v>5093</v>
      </c>
      <c r="B254" t="s">
        <v>5094</v>
      </c>
      <c r="C254" t="s">
        <v>5095</v>
      </c>
      <c r="D254" t="s">
        <v>129</v>
      </c>
      <c r="E254" t="s">
        <v>5096</v>
      </c>
      <c r="F254" t="s">
        <v>105</v>
      </c>
      <c r="G254" t="s">
        <v>5097</v>
      </c>
      <c r="H254">
        <v>44</v>
      </c>
      <c r="I254" t="s">
        <v>2091</v>
      </c>
      <c r="J254" t="s">
        <v>410</v>
      </c>
      <c r="K254" t="s">
        <v>5098</v>
      </c>
      <c r="L254" t="s">
        <v>5099</v>
      </c>
      <c r="M254" t="s">
        <v>37</v>
      </c>
      <c r="N254" t="s">
        <v>5100</v>
      </c>
      <c r="O254" t="s">
        <v>5101</v>
      </c>
      <c r="P254" t="s">
        <v>5102</v>
      </c>
      <c r="R254" t="s">
        <v>37</v>
      </c>
      <c r="S254" t="s">
        <v>37</v>
      </c>
      <c r="T254">
        <v>60.478195999999997</v>
      </c>
      <c r="U254" t="s">
        <v>5103</v>
      </c>
      <c r="V254" t="s">
        <v>5104</v>
      </c>
      <c r="W254">
        <v>25.374728999999999</v>
      </c>
      <c r="X254">
        <v>88000</v>
      </c>
      <c r="Y254" t="s">
        <v>2834</v>
      </c>
      <c r="AA254" t="s">
        <v>38</v>
      </c>
      <c r="AB254" t="s">
        <v>39</v>
      </c>
      <c r="AC254" t="s">
        <v>480</v>
      </c>
      <c r="AD254" t="s">
        <v>202</v>
      </c>
      <c r="AE254" t="s">
        <v>5105</v>
      </c>
      <c r="AF254" t="s">
        <v>5106</v>
      </c>
      <c r="AG254" t="s">
        <v>5107</v>
      </c>
      <c r="AH254">
        <v>44</v>
      </c>
      <c r="AI254" s="2" t="str">
        <f t="shared" si="15"/>
        <v>Independent</v>
      </c>
      <c r="AJ254" s="2" t="str">
        <f t="shared" si="16"/>
        <v>NO</v>
      </c>
      <c r="AK254" s="1" t="str">
        <f t="shared" si="17"/>
        <v>Glazed Balcony</v>
      </c>
      <c r="AL254" s="1" t="str">
        <f t="shared" si="18"/>
        <v>1 Toilet</v>
      </c>
      <c r="AM254" s="1" t="str">
        <f t="shared" si="19"/>
        <v>NO</v>
      </c>
      <c r="AN254" s="1" t="str">
        <f>VLOOKUP(J254, 'Regions and Cities'!A:B, 2, FALSE)</f>
        <v>Uusimaa</v>
      </c>
    </row>
    <row r="255" spans="1:40" x14ac:dyDescent="0.3">
      <c r="A255" t="s">
        <v>7906</v>
      </c>
      <c r="B255" t="s">
        <v>7907</v>
      </c>
      <c r="C255" t="s">
        <v>365</v>
      </c>
      <c r="D255" t="s">
        <v>7908</v>
      </c>
      <c r="E255" t="s">
        <v>7909</v>
      </c>
      <c r="F255" t="s">
        <v>58</v>
      </c>
      <c r="H255">
        <v>52</v>
      </c>
      <c r="I255" t="s">
        <v>1221</v>
      </c>
      <c r="J255" t="s">
        <v>365</v>
      </c>
      <c r="L255" t="s">
        <v>7910</v>
      </c>
      <c r="M255" t="s">
        <v>37</v>
      </c>
      <c r="N255" t="s">
        <v>7911</v>
      </c>
      <c r="O255" t="s">
        <v>7912</v>
      </c>
      <c r="R255" t="s">
        <v>37</v>
      </c>
      <c r="S255" t="s">
        <v>37</v>
      </c>
      <c r="T255">
        <v>64.913709999999995</v>
      </c>
      <c r="U255" t="s">
        <v>7913</v>
      </c>
      <c r="V255" t="s">
        <v>7914</v>
      </c>
      <c r="W255">
        <v>25.496469999999999</v>
      </c>
      <c r="X255">
        <v>95000</v>
      </c>
      <c r="Y255" t="s">
        <v>2338</v>
      </c>
      <c r="AA255" t="s">
        <v>38</v>
      </c>
      <c r="AB255" t="s">
        <v>39</v>
      </c>
      <c r="AC255" t="s">
        <v>6510</v>
      </c>
      <c r="AD255" t="s">
        <v>40</v>
      </c>
      <c r="AE255" t="s">
        <v>7915</v>
      </c>
      <c r="AF255" t="s">
        <v>7916</v>
      </c>
      <c r="AG255" t="s">
        <v>7917</v>
      </c>
      <c r="AH255">
        <v>52</v>
      </c>
      <c r="AI255" s="2" t="str">
        <f t="shared" si="15"/>
        <v>Independent</v>
      </c>
      <c r="AJ255" s="2" t="str">
        <f t="shared" si="16"/>
        <v>NO</v>
      </c>
      <c r="AK255" s="1" t="str">
        <f t="shared" si="17"/>
        <v>Terrace</v>
      </c>
      <c r="AL255" s="1" t="str">
        <f t="shared" si="18"/>
        <v>1 Toilet</v>
      </c>
      <c r="AM255" s="1" t="str">
        <f t="shared" si="19"/>
        <v>NO</v>
      </c>
      <c r="AN255" s="1" t="str">
        <f>VLOOKUP(J255, 'Regions and Cities'!A:B, 2, FALSE)</f>
        <v>Pohjois-Pohjanmaa</v>
      </c>
    </row>
    <row r="256" spans="1:40" x14ac:dyDescent="0.3">
      <c r="A256" t="s">
        <v>4743</v>
      </c>
      <c r="B256" t="s">
        <v>4744</v>
      </c>
      <c r="C256" t="s">
        <v>4745</v>
      </c>
      <c r="D256" t="s">
        <v>4746</v>
      </c>
      <c r="E256" t="s">
        <v>4747</v>
      </c>
      <c r="F256" t="s">
        <v>452</v>
      </c>
      <c r="G256" t="s">
        <v>4748</v>
      </c>
      <c r="H256">
        <v>147</v>
      </c>
      <c r="I256" t="s">
        <v>861</v>
      </c>
      <c r="J256" t="s">
        <v>397</v>
      </c>
      <c r="K256" t="s">
        <v>4749</v>
      </c>
      <c r="L256" t="s">
        <v>4750</v>
      </c>
      <c r="M256" t="s">
        <v>37</v>
      </c>
      <c r="N256" t="s">
        <v>4751</v>
      </c>
      <c r="O256" t="s">
        <v>4752</v>
      </c>
      <c r="P256" t="s">
        <v>4753</v>
      </c>
      <c r="R256" t="s">
        <v>37</v>
      </c>
      <c r="S256" t="s">
        <v>37</v>
      </c>
      <c r="T256">
        <v>60.159075999999999</v>
      </c>
      <c r="U256" t="s">
        <v>4754</v>
      </c>
      <c r="V256" t="s">
        <v>4755</v>
      </c>
      <c r="W256">
        <v>24.550170000000001</v>
      </c>
      <c r="X256">
        <v>539000</v>
      </c>
      <c r="Y256" t="s">
        <v>4756</v>
      </c>
      <c r="AA256" t="s">
        <v>63</v>
      </c>
      <c r="AB256" t="s">
        <v>39</v>
      </c>
      <c r="AC256" t="s">
        <v>480</v>
      </c>
      <c r="AD256" t="s">
        <v>64</v>
      </c>
      <c r="AE256" t="s">
        <v>4757</v>
      </c>
      <c r="AF256" t="s">
        <v>4758</v>
      </c>
      <c r="AG256" t="s">
        <v>4759</v>
      </c>
      <c r="AH256">
        <v>147</v>
      </c>
      <c r="AI256" s="2" t="str">
        <f t="shared" si="15"/>
        <v>Independent</v>
      </c>
      <c r="AJ256" s="2" t="str">
        <f t="shared" si="16"/>
        <v>YES</v>
      </c>
      <c r="AK256" s="1" t="str">
        <f t="shared" si="17"/>
        <v>Terrace</v>
      </c>
      <c r="AL256" s="1" t="str">
        <f t="shared" si="18"/>
        <v>1 Toilet</v>
      </c>
      <c r="AM256" s="1" t="str">
        <f t="shared" si="19"/>
        <v>NO</v>
      </c>
      <c r="AN256" s="1" t="str">
        <f>VLOOKUP(J256, 'Regions and Cities'!A:B, 2, FALSE)</f>
        <v>Uusimaa</v>
      </c>
    </row>
    <row r="257" spans="1:40" x14ac:dyDescent="0.3">
      <c r="A257" t="s">
        <v>5262</v>
      </c>
      <c r="B257" t="s">
        <v>5263</v>
      </c>
      <c r="C257" t="s">
        <v>5264</v>
      </c>
      <c r="D257" t="s">
        <v>1397</v>
      </c>
      <c r="E257" t="s">
        <v>1398</v>
      </c>
      <c r="F257" t="s">
        <v>70</v>
      </c>
      <c r="G257" t="s">
        <v>1399</v>
      </c>
      <c r="H257">
        <v>70</v>
      </c>
      <c r="I257" t="s">
        <v>472</v>
      </c>
      <c r="J257" t="s">
        <v>139</v>
      </c>
      <c r="K257" t="s">
        <v>5265</v>
      </c>
      <c r="L257" t="s">
        <v>5266</v>
      </c>
      <c r="M257" t="s">
        <v>37</v>
      </c>
      <c r="N257" t="s">
        <v>5267</v>
      </c>
      <c r="O257" t="s">
        <v>5268</v>
      </c>
      <c r="P257" t="s">
        <v>5269</v>
      </c>
      <c r="R257" t="s">
        <v>37</v>
      </c>
      <c r="S257" t="s">
        <v>37</v>
      </c>
      <c r="T257">
        <v>61.498294000000001</v>
      </c>
      <c r="U257" t="s">
        <v>5270</v>
      </c>
      <c r="V257" t="s">
        <v>5271</v>
      </c>
      <c r="W257">
        <v>23.81748</v>
      </c>
      <c r="X257">
        <v>198000</v>
      </c>
      <c r="Y257" t="s">
        <v>267</v>
      </c>
      <c r="AA257" t="s">
        <v>38</v>
      </c>
      <c r="AB257" t="s">
        <v>39</v>
      </c>
      <c r="AC257" t="s">
        <v>480</v>
      </c>
      <c r="AD257" t="s">
        <v>46</v>
      </c>
      <c r="AE257" t="s">
        <v>5272</v>
      </c>
      <c r="AF257" t="s">
        <v>5273</v>
      </c>
      <c r="AG257" t="s">
        <v>5274</v>
      </c>
      <c r="AH257">
        <v>70</v>
      </c>
      <c r="AI257" s="2" t="str">
        <f t="shared" si="15"/>
        <v>Independent</v>
      </c>
      <c r="AJ257" s="2" t="str">
        <f t="shared" si="16"/>
        <v>NO</v>
      </c>
      <c r="AK257" s="1" t="str">
        <f t="shared" si="17"/>
        <v>Glazed Balcony</v>
      </c>
      <c r="AL257" s="1" t="str">
        <f t="shared" si="18"/>
        <v>1 Toilet</v>
      </c>
      <c r="AM257" s="1" t="str">
        <f t="shared" si="19"/>
        <v>YES</v>
      </c>
      <c r="AN257" s="1" t="str">
        <f>VLOOKUP(J257, 'Regions and Cities'!A:B, 2, FALSE)</f>
        <v>Pirkanmaa</v>
      </c>
    </row>
    <row r="258" spans="1:40" x14ac:dyDescent="0.3">
      <c r="A258" t="s">
        <v>9397</v>
      </c>
      <c r="B258" t="s">
        <v>9398</v>
      </c>
      <c r="C258" t="s">
        <v>9399</v>
      </c>
      <c r="D258" t="s">
        <v>2892</v>
      </c>
      <c r="E258" t="s">
        <v>2893</v>
      </c>
      <c r="F258" t="s">
        <v>2894</v>
      </c>
      <c r="H258">
        <v>49.5</v>
      </c>
      <c r="I258" t="s">
        <v>237</v>
      </c>
      <c r="J258" t="s">
        <v>386</v>
      </c>
      <c r="K258" t="s">
        <v>131</v>
      </c>
      <c r="L258" t="s">
        <v>9400</v>
      </c>
      <c r="M258" t="s">
        <v>37</v>
      </c>
      <c r="N258" t="s">
        <v>9401</v>
      </c>
      <c r="O258" t="s">
        <v>9402</v>
      </c>
      <c r="R258" t="s">
        <v>37</v>
      </c>
      <c r="S258" t="s">
        <v>37</v>
      </c>
      <c r="T258">
        <v>65.969312000000002</v>
      </c>
      <c r="U258" t="s">
        <v>9403</v>
      </c>
      <c r="V258" t="s">
        <v>9404</v>
      </c>
      <c r="W258">
        <v>29.182172000000001</v>
      </c>
      <c r="X258">
        <v>52000</v>
      </c>
      <c r="Y258" t="s">
        <v>9405</v>
      </c>
      <c r="AA258" t="s">
        <v>38</v>
      </c>
      <c r="AB258" t="s">
        <v>39</v>
      </c>
      <c r="AC258" t="s">
        <v>6510</v>
      </c>
      <c r="AD258" t="s">
        <v>40</v>
      </c>
      <c r="AE258" t="s">
        <v>684</v>
      </c>
      <c r="AF258" t="s">
        <v>9406</v>
      </c>
      <c r="AG258" t="s">
        <v>9407</v>
      </c>
      <c r="AH258">
        <v>49.5</v>
      </c>
      <c r="AI258" s="2" t="str">
        <f t="shared" ref="AI258:AI321" si="20">IF(AE258="", "no info", IF(OR(ISNUMBER(SEARCH("kt", AE258)), ISNUMBER(SEARCH("avokeittiö", AE258))), "Open", IF(ISNUMBER(SEARCH("kk", AE258)), "Kitchenette", "Independent")))</f>
        <v>Kitchenette</v>
      </c>
      <c r="AJ258" s="2" t="str">
        <f t="shared" ref="AJ258:AJ321" si="21">IF(AE258="", "no info", IF(OR(ISNUMBER(SEARCH(" s ", AE258)), ISNUMBER(SEARCH("sauna", AE258)), ISNUMBER(SEARCH("+ s", AE258))), "YES", "NO"))</f>
        <v>YES</v>
      </c>
      <c r="AK258" s="1" t="str">
        <f t="shared" ref="AK258:AK321" si="22">IF(AE258="", "no info", IF(OR(ISNUMBER(SEARCH("las.p", AE258)), ISNUMBER(SEARCH("lasitettu", AE258))), "Glazed Balcony", IF(OR(ISNUMBER(SEARCH(" p ", AE258)), ISNUMBER(SEARCH("parveke", AE258))), "Standard Balcony", IF(OR(ISNUMBER(SEARCH("terassi", AE258)), ISNUMBER(SEARCH("kuisti", AE258))), "Terrace", "None"))))</f>
        <v>None</v>
      </c>
      <c r="AL258" s="1" t="str">
        <f t="shared" ref="AL258:AL321" si="23">IF(AE258="", "no info", IF(OR(ISNUMBER(SEARCH("2wc", AE258)), ISNUMBER(SEARCH("2xwc", AE258))), "2 Toilets", "1 Toilet"))</f>
        <v>1 Toilet</v>
      </c>
      <c r="AM258" s="1" t="str">
        <f t="shared" ref="AM258:AM321" si="24">IF(AE258="", "no info", IF(OR(ISNUMBER(SEARCH("vh", AE258)), ISNUMBER(SEARCH("var", AE258))), "YES", "NO"))</f>
        <v>NO</v>
      </c>
      <c r="AN258" s="1" t="str">
        <f>VLOOKUP(J258, 'Regions and Cities'!A:B, 2, FALSE)</f>
        <v>Pohjois-Pohjanmaa</v>
      </c>
    </row>
    <row r="259" spans="1:40" x14ac:dyDescent="0.3">
      <c r="A259" t="s">
        <v>2633</v>
      </c>
      <c r="B259" t="s">
        <v>2634</v>
      </c>
      <c r="C259" t="s">
        <v>2635</v>
      </c>
      <c r="D259" t="s">
        <v>781</v>
      </c>
      <c r="E259" t="s">
        <v>782</v>
      </c>
      <c r="F259" t="s">
        <v>187</v>
      </c>
      <c r="H259">
        <v>85</v>
      </c>
      <c r="I259" t="s">
        <v>188</v>
      </c>
      <c r="J259" t="s">
        <v>347</v>
      </c>
      <c r="K259" t="s">
        <v>2636</v>
      </c>
      <c r="L259" t="s">
        <v>2637</v>
      </c>
      <c r="M259" t="s">
        <v>37</v>
      </c>
      <c r="N259" t="s">
        <v>2638</v>
      </c>
      <c r="O259" t="s">
        <v>2639</v>
      </c>
      <c r="R259" t="s">
        <v>37</v>
      </c>
      <c r="S259" t="s">
        <v>37</v>
      </c>
      <c r="T259">
        <v>61.220109999999998</v>
      </c>
      <c r="U259" t="s">
        <v>2640</v>
      </c>
      <c r="V259" t="s">
        <v>2641</v>
      </c>
      <c r="W259">
        <v>28.760660000000001</v>
      </c>
      <c r="X259">
        <v>38000</v>
      </c>
      <c r="Y259" t="s">
        <v>2642</v>
      </c>
      <c r="AA259" t="s">
        <v>63</v>
      </c>
      <c r="AB259" t="s">
        <v>39</v>
      </c>
      <c r="AC259" t="s">
        <v>480</v>
      </c>
      <c r="AD259" t="s">
        <v>46</v>
      </c>
      <c r="AE259" t="s">
        <v>2643</v>
      </c>
      <c r="AF259" t="s">
        <v>2644</v>
      </c>
      <c r="AG259" t="s">
        <v>2645</v>
      </c>
      <c r="AH259">
        <v>85</v>
      </c>
      <c r="AI259" s="2" t="str">
        <f t="shared" si="20"/>
        <v>Independent</v>
      </c>
      <c r="AJ259" s="2" t="str">
        <f t="shared" si="21"/>
        <v>YES</v>
      </c>
      <c r="AK259" s="1" t="str">
        <f t="shared" si="22"/>
        <v>None</v>
      </c>
      <c r="AL259" s="1" t="str">
        <f t="shared" si="23"/>
        <v>1 Toilet</v>
      </c>
      <c r="AM259" s="1" t="str">
        <f t="shared" si="24"/>
        <v>NO</v>
      </c>
      <c r="AN259" s="1" t="str">
        <f>VLOOKUP(J259, 'Regions and Cities'!A:B, 2, FALSE)</f>
        <v>Etelä-Karjala</v>
      </c>
    </row>
    <row r="260" spans="1:40" x14ac:dyDescent="0.3">
      <c r="A260" t="s">
        <v>2633</v>
      </c>
      <c r="B260" t="s">
        <v>2634</v>
      </c>
      <c r="C260" t="s">
        <v>2635</v>
      </c>
      <c r="D260" t="s">
        <v>781</v>
      </c>
      <c r="E260" t="s">
        <v>782</v>
      </c>
      <c r="F260" t="s">
        <v>187</v>
      </c>
      <c r="H260">
        <v>85</v>
      </c>
      <c r="I260" t="s">
        <v>188</v>
      </c>
      <c r="J260" t="s">
        <v>347</v>
      </c>
      <c r="K260" t="s">
        <v>2636</v>
      </c>
      <c r="L260" t="s">
        <v>2637</v>
      </c>
      <c r="M260" t="s">
        <v>37</v>
      </c>
      <c r="N260" t="s">
        <v>2638</v>
      </c>
      <c r="O260" t="s">
        <v>2639</v>
      </c>
      <c r="R260" t="s">
        <v>37</v>
      </c>
      <c r="S260" t="s">
        <v>37</v>
      </c>
      <c r="T260">
        <v>61.220109999999998</v>
      </c>
      <c r="U260" t="s">
        <v>2640</v>
      </c>
      <c r="V260" t="s">
        <v>2641</v>
      </c>
      <c r="W260">
        <v>28.760660000000001</v>
      </c>
      <c r="X260">
        <v>38000</v>
      </c>
      <c r="Y260" t="s">
        <v>2642</v>
      </c>
      <c r="AA260" t="s">
        <v>63</v>
      </c>
      <c r="AB260" t="s">
        <v>39</v>
      </c>
      <c r="AC260" t="s">
        <v>480</v>
      </c>
      <c r="AD260" t="s">
        <v>46</v>
      </c>
      <c r="AE260" t="s">
        <v>2643</v>
      </c>
      <c r="AF260" t="s">
        <v>2646</v>
      </c>
      <c r="AG260" t="s">
        <v>2645</v>
      </c>
      <c r="AH260">
        <v>85</v>
      </c>
      <c r="AI260" s="2" t="str">
        <f t="shared" si="20"/>
        <v>Independent</v>
      </c>
      <c r="AJ260" s="2" t="str">
        <f t="shared" si="21"/>
        <v>YES</v>
      </c>
      <c r="AK260" s="1" t="str">
        <f t="shared" si="22"/>
        <v>None</v>
      </c>
      <c r="AL260" s="1" t="str">
        <f t="shared" si="23"/>
        <v>1 Toilet</v>
      </c>
      <c r="AM260" s="1" t="str">
        <f t="shared" si="24"/>
        <v>NO</v>
      </c>
      <c r="AN260" s="1" t="str">
        <f>VLOOKUP(J260, 'Regions and Cities'!A:B, 2, FALSE)</f>
        <v>Etelä-Karjala</v>
      </c>
    </row>
    <row r="261" spans="1:40" x14ac:dyDescent="0.3">
      <c r="A261" t="s">
        <v>1825</v>
      </c>
      <c r="B261" t="s">
        <v>1826</v>
      </c>
      <c r="C261" t="s">
        <v>1827</v>
      </c>
      <c r="D261" t="s">
        <v>1717</v>
      </c>
      <c r="E261" t="s">
        <v>1718</v>
      </c>
      <c r="F261" t="s">
        <v>1719</v>
      </c>
      <c r="H261">
        <v>56.5</v>
      </c>
      <c r="I261" t="s">
        <v>43</v>
      </c>
      <c r="J261" t="s">
        <v>137</v>
      </c>
      <c r="K261" t="s">
        <v>1828</v>
      </c>
      <c r="L261" t="s">
        <v>1829</v>
      </c>
      <c r="M261" t="s">
        <v>37</v>
      </c>
      <c r="N261" t="s">
        <v>1830</v>
      </c>
      <c r="O261" t="s">
        <v>1831</v>
      </c>
      <c r="R261" t="s">
        <v>37</v>
      </c>
      <c r="S261" t="s">
        <v>37</v>
      </c>
      <c r="T261">
        <v>60.237971999999999</v>
      </c>
      <c r="U261" t="s">
        <v>1832</v>
      </c>
      <c r="V261" t="s">
        <v>1833</v>
      </c>
      <c r="W261">
        <v>25.068332999999999</v>
      </c>
      <c r="X261">
        <v>22472.22</v>
      </c>
      <c r="Y261" t="s">
        <v>1834</v>
      </c>
      <c r="AA261" t="s">
        <v>38</v>
      </c>
      <c r="AB261" t="s">
        <v>39</v>
      </c>
      <c r="AC261" t="s">
        <v>480</v>
      </c>
      <c r="AD261" t="s">
        <v>40</v>
      </c>
      <c r="AE261" t="s">
        <v>1728</v>
      </c>
      <c r="AF261" t="s">
        <v>1835</v>
      </c>
      <c r="AG261" t="s">
        <v>1836</v>
      </c>
      <c r="AH261"/>
      <c r="AI261" s="2" t="str">
        <f t="shared" si="20"/>
        <v>Independent</v>
      </c>
      <c r="AJ261" s="2" t="str">
        <f t="shared" si="21"/>
        <v>YES</v>
      </c>
      <c r="AK261" s="1" t="str">
        <f t="shared" si="22"/>
        <v>None</v>
      </c>
      <c r="AL261" s="1" t="str">
        <f t="shared" si="23"/>
        <v>1 Toilet</v>
      </c>
      <c r="AM261" s="1" t="str">
        <f t="shared" si="24"/>
        <v>NO</v>
      </c>
      <c r="AN261" s="1" t="str">
        <f>VLOOKUP(J261, 'Regions and Cities'!A:B, 2, FALSE)</f>
        <v>Uusimaa</v>
      </c>
    </row>
    <row r="262" spans="1:40" x14ac:dyDescent="0.3">
      <c r="A262" t="s">
        <v>9629</v>
      </c>
      <c r="B262" t="s">
        <v>9630</v>
      </c>
      <c r="C262" t="s">
        <v>9631</v>
      </c>
      <c r="D262" t="s">
        <v>9632</v>
      </c>
      <c r="E262" t="s">
        <v>9633</v>
      </c>
      <c r="H262">
        <v>121</v>
      </c>
      <c r="I262" t="s">
        <v>925</v>
      </c>
      <c r="J262" t="s">
        <v>442</v>
      </c>
      <c r="K262" t="s">
        <v>9634</v>
      </c>
      <c r="L262" t="s">
        <v>9635</v>
      </c>
      <c r="M262" t="s">
        <v>37</v>
      </c>
      <c r="N262" t="s">
        <v>9636</v>
      </c>
      <c r="O262" t="s">
        <v>9637</v>
      </c>
      <c r="R262" t="s">
        <v>37</v>
      </c>
      <c r="S262" t="s">
        <v>37</v>
      </c>
      <c r="T262">
        <v>60.845706</v>
      </c>
      <c r="U262" t="s">
        <v>9638</v>
      </c>
      <c r="V262" t="s">
        <v>9639</v>
      </c>
      <c r="W262">
        <v>23.624645000000001</v>
      </c>
      <c r="X262">
        <v>198000</v>
      </c>
      <c r="Y262" t="s">
        <v>267</v>
      </c>
      <c r="AA262" t="s">
        <v>63</v>
      </c>
      <c r="AB262" t="s">
        <v>39</v>
      </c>
      <c r="AC262" t="s">
        <v>6510</v>
      </c>
      <c r="AD262" t="s">
        <v>64</v>
      </c>
      <c r="AE262" t="s">
        <v>9640</v>
      </c>
      <c r="AF262" t="s">
        <v>9641</v>
      </c>
      <c r="AG262" t="s">
        <v>9642</v>
      </c>
      <c r="AH262">
        <v>121</v>
      </c>
      <c r="AI262" s="2" t="str">
        <f t="shared" si="20"/>
        <v>Independent</v>
      </c>
      <c r="AJ262" s="2" t="str">
        <f t="shared" si="21"/>
        <v>NO</v>
      </c>
      <c r="AK262" s="1" t="str">
        <f t="shared" si="22"/>
        <v>None</v>
      </c>
      <c r="AL262" s="1" t="str">
        <f t="shared" si="23"/>
        <v>1 Toilet</v>
      </c>
      <c r="AM262" s="1" t="str">
        <f t="shared" si="24"/>
        <v>NO</v>
      </c>
      <c r="AN262" s="1" t="str">
        <f>VLOOKUP(J262, 'Regions and Cities'!A:B, 2, FALSE)</f>
        <v>Kanta-Häme</v>
      </c>
    </row>
    <row r="263" spans="1:40" x14ac:dyDescent="0.3">
      <c r="A263" t="s">
        <v>514</v>
      </c>
      <c r="B263" t="s">
        <v>515</v>
      </c>
      <c r="C263" t="s">
        <v>516</v>
      </c>
      <c r="D263" t="s">
        <v>517</v>
      </c>
      <c r="E263" t="s">
        <v>518</v>
      </c>
      <c r="F263" t="s">
        <v>105</v>
      </c>
      <c r="G263" t="s">
        <v>519</v>
      </c>
      <c r="H263">
        <v>91</v>
      </c>
      <c r="I263" t="s">
        <v>156</v>
      </c>
      <c r="J263" t="s">
        <v>265</v>
      </c>
      <c r="K263" t="s">
        <v>520</v>
      </c>
      <c r="L263" t="s">
        <v>521</v>
      </c>
      <c r="M263" t="s">
        <v>37</v>
      </c>
      <c r="N263" t="s">
        <v>522</v>
      </c>
      <c r="O263" t="s">
        <v>523</v>
      </c>
      <c r="P263" t="s">
        <v>524</v>
      </c>
      <c r="R263" t="s">
        <v>37</v>
      </c>
      <c r="S263" t="s">
        <v>37</v>
      </c>
      <c r="T263">
        <v>65.062759999999997</v>
      </c>
      <c r="U263" t="s">
        <v>525</v>
      </c>
      <c r="V263" t="s">
        <v>526</v>
      </c>
      <c r="W263">
        <v>25.496981999999999</v>
      </c>
      <c r="X263">
        <v>200000</v>
      </c>
      <c r="Y263" t="s">
        <v>527</v>
      </c>
      <c r="AA263" t="s">
        <v>54</v>
      </c>
      <c r="AB263" t="s">
        <v>39</v>
      </c>
      <c r="AC263" t="s">
        <v>528</v>
      </c>
      <c r="AD263" t="s">
        <v>75</v>
      </c>
      <c r="AE263" t="s">
        <v>529</v>
      </c>
      <c r="AF263" t="s">
        <v>530</v>
      </c>
      <c r="AG263" t="s">
        <v>531</v>
      </c>
      <c r="AH263">
        <v>91</v>
      </c>
      <c r="AI263" s="2" t="str">
        <f t="shared" si="20"/>
        <v>Independent</v>
      </c>
      <c r="AJ263" s="2" t="str">
        <f t="shared" si="21"/>
        <v>NO</v>
      </c>
      <c r="AK263" s="1" t="str">
        <f t="shared" si="22"/>
        <v>Glazed Balcony</v>
      </c>
      <c r="AL263" s="1" t="str">
        <f t="shared" si="23"/>
        <v>1 Toilet</v>
      </c>
      <c r="AM263" s="1" t="str">
        <f t="shared" si="24"/>
        <v>NO</v>
      </c>
      <c r="AN263" s="1" t="str">
        <f>VLOOKUP(J263, 'Regions and Cities'!A:B, 2, FALSE)</f>
        <v>Pohjois-Pohjanmaa</v>
      </c>
    </row>
    <row r="264" spans="1:40" x14ac:dyDescent="0.3">
      <c r="A264" t="s">
        <v>8194</v>
      </c>
      <c r="B264" t="s">
        <v>8195</v>
      </c>
      <c r="C264" t="s">
        <v>5391</v>
      </c>
      <c r="D264" t="s">
        <v>6657</v>
      </c>
      <c r="E264" t="s">
        <v>6658</v>
      </c>
      <c r="F264" t="s">
        <v>50</v>
      </c>
      <c r="G264" t="s">
        <v>8196</v>
      </c>
      <c r="H264">
        <v>30.5</v>
      </c>
      <c r="I264" t="s">
        <v>181</v>
      </c>
      <c r="J264" t="s">
        <v>382</v>
      </c>
      <c r="K264" t="s">
        <v>98</v>
      </c>
      <c r="L264" t="s">
        <v>8197</v>
      </c>
      <c r="M264" t="s">
        <v>37</v>
      </c>
      <c r="N264" t="s">
        <v>8198</v>
      </c>
      <c r="O264" t="s">
        <v>8199</v>
      </c>
      <c r="P264" t="s">
        <v>8200</v>
      </c>
      <c r="Q264" t="s">
        <v>8201</v>
      </c>
      <c r="R264" t="s">
        <v>37</v>
      </c>
      <c r="S264" t="s">
        <v>37</v>
      </c>
      <c r="T264">
        <v>60.638350000000003</v>
      </c>
      <c r="U264" t="s">
        <v>8202</v>
      </c>
      <c r="V264" t="s">
        <v>8203</v>
      </c>
      <c r="W264">
        <v>25.323</v>
      </c>
      <c r="X264">
        <v>98000</v>
      </c>
      <c r="Y264" t="s">
        <v>1559</v>
      </c>
      <c r="AA264" t="s">
        <v>38</v>
      </c>
      <c r="AB264" t="s">
        <v>39</v>
      </c>
      <c r="AC264" t="s">
        <v>6510</v>
      </c>
      <c r="AD264" t="s">
        <v>202</v>
      </c>
      <c r="AE264" t="s">
        <v>8204</v>
      </c>
      <c r="AF264" t="s">
        <v>8205</v>
      </c>
      <c r="AG264" t="s">
        <v>8206</v>
      </c>
      <c r="AH264">
        <v>30.5</v>
      </c>
      <c r="AI264" s="2" t="str">
        <f t="shared" si="20"/>
        <v>Open</v>
      </c>
      <c r="AJ264" s="2" t="str">
        <f t="shared" si="21"/>
        <v>NO</v>
      </c>
      <c r="AK264" s="1" t="str">
        <f t="shared" si="22"/>
        <v>None</v>
      </c>
      <c r="AL264" s="1" t="str">
        <f t="shared" si="23"/>
        <v>1 Toilet</v>
      </c>
      <c r="AM264" s="1" t="str">
        <f t="shared" si="24"/>
        <v>NO</v>
      </c>
      <c r="AN264" s="1" t="str">
        <f>VLOOKUP(J264, 'Regions and Cities'!A:B, 2, FALSE)</f>
        <v>Uusimaa</v>
      </c>
    </row>
    <row r="265" spans="1:40" x14ac:dyDescent="0.3">
      <c r="A265" t="s">
        <v>7815</v>
      </c>
      <c r="B265" t="s">
        <v>7816</v>
      </c>
      <c r="C265" t="s">
        <v>7817</v>
      </c>
      <c r="D265" t="s">
        <v>7791</v>
      </c>
      <c r="E265" t="s">
        <v>7792</v>
      </c>
      <c r="F265" t="s">
        <v>7793</v>
      </c>
      <c r="H265">
        <v>58.5</v>
      </c>
      <c r="I265" t="s">
        <v>247</v>
      </c>
      <c r="J265" t="s">
        <v>137</v>
      </c>
      <c r="K265" t="s">
        <v>7818</v>
      </c>
      <c r="L265" t="s">
        <v>7819</v>
      </c>
      <c r="M265" t="s">
        <v>37</v>
      </c>
      <c r="N265" t="s">
        <v>7820</v>
      </c>
      <c r="O265" t="s">
        <v>7821</v>
      </c>
      <c r="R265" t="s">
        <v>37</v>
      </c>
      <c r="S265" t="s">
        <v>37</v>
      </c>
      <c r="T265">
        <v>60.228312000000003</v>
      </c>
      <c r="U265" t="s">
        <v>7822</v>
      </c>
      <c r="V265" t="s">
        <v>7823</v>
      </c>
      <c r="W265">
        <v>24.998190999999998</v>
      </c>
      <c r="X265">
        <v>24069.65</v>
      </c>
      <c r="Y265" t="s">
        <v>7824</v>
      </c>
      <c r="AA265" t="s">
        <v>38</v>
      </c>
      <c r="AB265" t="s">
        <v>39</v>
      </c>
      <c r="AC265" t="s">
        <v>6510</v>
      </c>
      <c r="AD265" t="s">
        <v>40</v>
      </c>
      <c r="AE265" t="s">
        <v>1728</v>
      </c>
      <c r="AF265" t="s">
        <v>7825</v>
      </c>
      <c r="AG265" t="s">
        <v>7826</v>
      </c>
      <c r="AH265"/>
      <c r="AI265" s="2" t="str">
        <f t="shared" si="20"/>
        <v>Independent</v>
      </c>
      <c r="AJ265" s="2" t="str">
        <f t="shared" si="21"/>
        <v>YES</v>
      </c>
      <c r="AK265" s="1" t="str">
        <f t="shared" si="22"/>
        <v>None</v>
      </c>
      <c r="AL265" s="1" t="str">
        <f t="shared" si="23"/>
        <v>1 Toilet</v>
      </c>
      <c r="AM265" s="1" t="str">
        <f t="shared" si="24"/>
        <v>NO</v>
      </c>
      <c r="AN265" s="1" t="str">
        <f>VLOOKUP(J265, 'Regions and Cities'!A:B, 2, FALSE)</f>
        <v>Uusimaa</v>
      </c>
    </row>
    <row r="266" spans="1:40" x14ac:dyDescent="0.3">
      <c r="A266" t="s">
        <v>568</v>
      </c>
      <c r="B266" t="s">
        <v>569</v>
      </c>
      <c r="C266" t="s">
        <v>570</v>
      </c>
      <c r="D266" t="s">
        <v>571</v>
      </c>
      <c r="E266" t="s">
        <v>572</v>
      </c>
      <c r="H266">
        <v>129</v>
      </c>
      <c r="I266" t="s">
        <v>573</v>
      </c>
      <c r="J266" t="s">
        <v>126</v>
      </c>
      <c r="K266" t="s">
        <v>574</v>
      </c>
      <c r="L266" t="s">
        <v>575</v>
      </c>
      <c r="M266" t="s">
        <v>37</v>
      </c>
      <c r="N266" t="s">
        <v>576</v>
      </c>
      <c r="O266" t="s">
        <v>577</v>
      </c>
      <c r="R266" t="s">
        <v>37</v>
      </c>
      <c r="S266" t="s">
        <v>37</v>
      </c>
      <c r="T266">
        <v>60.202120000000001</v>
      </c>
      <c r="U266" t="s">
        <v>578</v>
      </c>
      <c r="V266" t="s">
        <v>579</v>
      </c>
      <c r="W266">
        <v>24.76089</v>
      </c>
      <c r="X266">
        <v>469000</v>
      </c>
      <c r="Y266" t="s">
        <v>580</v>
      </c>
      <c r="AA266" t="s">
        <v>54</v>
      </c>
      <c r="AB266" t="s">
        <v>39</v>
      </c>
      <c r="AC266" t="s">
        <v>480</v>
      </c>
      <c r="AD266" t="s">
        <v>55</v>
      </c>
      <c r="AE266" t="s">
        <v>581</v>
      </c>
      <c r="AF266" t="s">
        <v>582</v>
      </c>
      <c r="AG266" t="s">
        <v>583</v>
      </c>
      <c r="AH266">
        <v>129</v>
      </c>
      <c r="AI266" s="2" t="str">
        <f t="shared" si="20"/>
        <v>Independent</v>
      </c>
      <c r="AJ266" s="2" t="str">
        <f t="shared" si="21"/>
        <v>YES</v>
      </c>
      <c r="AK266" s="1" t="str">
        <f t="shared" si="22"/>
        <v>None</v>
      </c>
      <c r="AL266" s="1" t="str">
        <f t="shared" si="23"/>
        <v>1 Toilet</v>
      </c>
      <c r="AM266" s="1" t="str">
        <f t="shared" si="24"/>
        <v>YES</v>
      </c>
      <c r="AN266" s="1" t="str">
        <f>VLOOKUP(J266, 'Regions and Cities'!A:B, 2, FALSE)</f>
        <v>Uusimaa</v>
      </c>
    </row>
    <row r="267" spans="1:40" x14ac:dyDescent="0.3">
      <c r="A267" t="s">
        <v>7789</v>
      </c>
      <c r="B267" t="s">
        <v>7790</v>
      </c>
      <c r="C267" t="s">
        <v>2298</v>
      </c>
      <c r="D267" t="s">
        <v>7791</v>
      </c>
      <c r="E267" t="s">
        <v>7792</v>
      </c>
      <c r="F267" t="s">
        <v>7793</v>
      </c>
      <c r="H267">
        <v>92</v>
      </c>
      <c r="I267" t="s">
        <v>109</v>
      </c>
      <c r="J267" t="s">
        <v>137</v>
      </c>
      <c r="K267" t="s">
        <v>2300</v>
      </c>
      <c r="L267" t="s">
        <v>7794</v>
      </c>
      <c r="M267" t="s">
        <v>37</v>
      </c>
      <c r="N267" t="s">
        <v>7795</v>
      </c>
      <c r="O267" t="s">
        <v>7796</v>
      </c>
      <c r="R267" t="s">
        <v>37</v>
      </c>
      <c r="S267" t="s">
        <v>37</v>
      </c>
      <c r="T267">
        <v>60.169476000000003</v>
      </c>
      <c r="U267" t="s">
        <v>7797</v>
      </c>
      <c r="V267" t="s">
        <v>7798</v>
      </c>
      <c r="W267">
        <v>25.019141999999999</v>
      </c>
      <c r="X267">
        <v>58191.56</v>
      </c>
      <c r="Y267" t="s">
        <v>7799</v>
      </c>
      <c r="AA267" t="s">
        <v>38</v>
      </c>
      <c r="AB267" t="s">
        <v>39</v>
      </c>
      <c r="AC267" t="s">
        <v>6510</v>
      </c>
      <c r="AD267" t="s">
        <v>75</v>
      </c>
      <c r="AE267" t="s">
        <v>141</v>
      </c>
      <c r="AF267" t="s">
        <v>7800</v>
      </c>
      <c r="AG267" t="s">
        <v>7801</v>
      </c>
      <c r="AH267"/>
      <c r="AI267" s="2" t="str">
        <f t="shared" si="20"/>
        <v>Open</v>
      </c>
      <c r="AJ267" s="2" t="str">
        <f t="shared" si="21"/>
        <v>YES</v>
      </c>
      <c r="AK267" s="1" t="str">
        <f t="shared" si="22"/>
        <v>None</v>
      </c>
      <c r="AL267" s="1" t="str">
        <f t="shared" si="23"/>
        <v>1 Toilet</v>
      </c>
      <c r="AM267" s="1" t="str">
        <f t="shared" si="24"/>
        <v>NO</v>
      </c>
      <c r="AN267" s="1" t="str">
        <f>VLOOKUP(J267, 'Regions and Cities'!A:B, 2, FALSE)</f>
        <v>Uusimaa</v>
      </c>
    </row>
    <row r="268" spans="1:40" x14ac:dyDescent="0.3">
      <c r="A268" t="s">
        <v>1915</v>
      </c>
      <c r="B268" t="s">
        <v>1916</v>
      </c>
      <c r="C268" t="s">
        <v>255</v>
      </c>
      <c r="D268" t="s">
        <v>1917</v>
      </c>
      <c r="E268" t="s">
        <v>1918</v>
      </c>
      <c r="F268" t="s">
        <v>226</v>
      </c>
      <c r="H268">
        <v>75</v>
      </c>
      <c r="I268" t="s">
        <v>129</v>
      </c>
      <c r="J268" t="s">
        <v>137</v>
      </c>
      <c r="K268" t="s">
        <v>256</v>
      </c>
      <c r="L268" t="s">
        <v>1919</v>
      </c>
      <c r="M268" t="s">
        <v>37</v>
      </c>
      <c r="N268" t="s">
        <v>1920</v>
      </c>
      <c r="O268" t="s">
        <v>1921</v>
      </c>
      <c r="R268" t="s">
        <v>37</v>
      </c>
      <c r="S268" t="s">
        <v>37</v>
      </c>
      <c r="T268">
        <v>60.224400000000003</v>
      </c>
      <c r="U268" t="s">
        <v>1922</v>
      </c>
      <c r="V268" t="s">
        <v>1923</v>
      </c>
      <c r="W268">
        <v>24.9253</v>
      </c>
      <c r="X268">
        <v>330000</v>
      </c>
      <c r="Y268" t="s">
        <v>1924</v>
      </c>
      <c r="AA268" t="s">
        <v>45</v>
      </c>
      <c r="AB268" t="s">
        <v>39</v>
      </c>
      <c r="AC268" t="s">
        <v>480</v>
      </c>
      <c r="AD268" t="s">
        <v>46</v>
      </c>
      <c r="AE268" t="s">
        <v>1925</v>
      </c>
      <c r="AF268" t="s">
        <v>1926</v>
      </c>
      <c r="AG268" t="s">
        <v>1927</v>
      </c>
      <c r="AH268">
        <v>75</v>
      </c>
      <c r="AI268" s="2" t="str">
        <f t="shared" si="20"/>
        <v>Independent</v>
      </c>
      <c r="AJ268" s="2" t="str">
        <f t="shared" si="21"/>
        <v>NO</v>
      </c>
      <c r="AK268" s="1" t="str">
        <f t="shared" si="22"/>
        <v>Standard Balcony</v>
      </c>
      <c r="AL268" s="1" t="str">
        <f t="shared" si="23"/>
        <v>1 Toilet</v>
      </c>
      <c r="AM268" s="1" t="str">
        <f t="shared" si="24"/>
        <v>YES</v>
      </c>
      <c r="AN268" s="1" t="str">
        <f>VLOOKUP(J268, 'Regions and Cities'!A:B, 2, FALSE)</f>
        <v>Uusimaa</v>
      </c>
    </row>
    <row r="269" spans="1:40" x14ac:dyDescent="0.3">
      <c r="A269" t="s">
        <v>4406</v>
      </c>
      <c r="B269" t="s">
        <v>4407</v>
      </c>
      <c r="C269" t="s">
        <v>4408</v>
      </c>
      <c r="D269" t="s">
        <v>4409</v>
      </c>
      <c r="E269" t="s">
        <v>4410</v>
      </c>
      <c r="F269" t="s">
        <v>105</v>
      </c>
      <c r="G269" t="s">
        <v>4411</v>
      </c>
      <c r="H269">
        <v>75</v>
      </c>
      <c r="I269" t="s">
        <v>174</v>
      </c>
      <c r="J269" t="s">
        <v>116</v>
      </c>
      <c r="K269" t="s">
        <v>4412</v>
      </c>
      <c r="L269" t="s">
        <v>4413</v>
      </c>
      <c r="M269" t="s">
        <v>37</v>
      </c>
      <c r="N269" t="s">
        <v>4414</v>
      </c>
      <c r="O269" t="s">
        <v>4415</v>
      </c>
      <c r="P269" t="s">
        <v>4416</v>
      </c>
      <c r="R269" t="s">
        <v>37</v>
      </c>
      <c r="S269" t="s">
        <v>37</v>
      </c>
      <c r="T269">
        <v>60.311529999999998</v>
      </c>
      <c r="U269" t="s">
        <v>4417</v>
      </c>
      <c r="V269" t="s">
        <v>4418</v>
      </c>
      <c r="W269">
        <v>25.031562999999998</v>
      </c>
      <c r="X269">
        <v>159000</v>
      </c>
      <c r="Y269" t="s">
        <v>83</v>
      </c>
      <c r="AA269" t="s">
        <v>38</v>
      </c>
      <c r="AB269" t="s">
        <v>39</v>
      </c>
      <c r="AC269" t="s">
        <v>480</v>
      </c>
      <c r="AD269" t="s">
        <v>46</v>
      </c>
      <c r="AE269" t="s">
        <v>4419</v>
      </c>
      <c r="AF269" t="s">
        <v>4420</v>
      </c>
      <c r="AG269" t="s">
        <v>4421</v>
      </c>
      <c r="AH269">
        <v>75</v>
      </c>
      <c r="AI269" s="2" t="str">
        <f t="shared" si="20"/>
        <v>Independent</v>
      </c>
      <c r="AJ269" s="2" t="str">
        <f t="shared" si="21"/>
        <v>NO</v>
      </c>
      <c r="AK269" s="1" t="str">
        <f t="shared" si="22"/>
        <v>Glazed Balcony</v>
      </c>
      <c r="AL269" s="1" t="str">
        <f t="shared" si="23"/>
        <v>1 Toilet</v>
      </c>
      <c r="AM269" s="1" t="str">
        <f t="shared" si="24"/>
        <v>YES</v>
      </c>
      <c r="AN269" s="1" t="str">
        <f>VLOOKUP(J269, 'Regions and Cities'!A:B, 2, FALSE)</f>
        <v>Uusimaa</v>
      </c>
    </row>
    <row r="270" spans="1:40" x14ac:dyDescent="0.3">
      <c r="A270" t="s">
        <v>5715</v>
      </c>
      <c r="B270" t="s">
        <v>5716</v>
      </c>
      <c r="C270" t="s">
        <v>5717</v>
      </c>
      <c r="D270" t="s">
        <v>2964</v>
      </c>
      <c r="E270" t="s">
        <v>2965</v>
      </c>
      <c r="F270" t="s">
        <v>2966</v>
      </c>
      <c r="H270">
        <v>75</v>
      </c>
      <c r="I270" t="s">
        <v>909</v>
      </c>
      <c r="J270" t="s">
        <v>341</v>
      </c>
      <c r="K270" t="s">
        <v>5718</v>
      </c>
      <c r="L270" t="s">
        <v>5719</v>
      </c>
      <c r="M270" t="s">
        <v>37</v>
      </c>
      <c r="N270" t="s">
        <v>5720</v>
      </c>
      <c r="O270" t="s">
        <v>5721</v>
      </c>
      <c r="R270" t="s">
        <v>37</v>
      </c>
      <c r="S270" t="s">
        <v>37</v>
      </c>
      <c r="T270">
        <v>61.477192000000002</v>
      </c>
      <c r="U270" t="s">
        <v>5722</v>
      </c>
      <c r="V270" t="s">
        <v>5723</v>
      </c>
      <c r="W270">
        <v>21.821076000000001</v>
      </c>
      <c r="X270">
        <v>70000</v>
      </c>
      <c r="Y270" t="s">
        <v>5724</v>
      </c>
      <c r="AA270" t="s">
        <v>38</v>
      </c>
      <c r="AB270" t="s">
        <v>39</v>
      </c>
      <c r="AC270" t="s">
        <v>5725</v>
      </c>
      <c r="AD270" t="s">
        <v>46</v>
      </c>
      <c r="AE270" t="s">
        <v>159</v>
      </c>
      <c r="AF270" t="s">
        <v>5726</v>
      </c>
      <c r="AG270" t="s">
        <v>5727</v>
      </c>
      <c r="AH270">
        <v>75</v>
      </c>
      <c r="AI270" s="2" t="str">
        <f t="shared" si="20"/>
        <v>Independent</v>
      </c>
      <c r="AJ270" s="2" t="str">
        <f t="shared" si="21"/>
        <v>NO</v>
      </c>
      <c r="AK270" s="1" t="str">
        <f t="shared" si="22"/>
        <v>None</v>
      </c>
      <c r="AL270" s="1" t="str">
        <f t="shared" si="23"/>
        <v>1 Toilet</v>
      </c>
      <c r="AM270" s="1" t="str">
        <f t="shared" si="24"/>
        <v>NO</v>
      </c>
      <c r="AN270" s="1" t="str">
        <f>VLOOKUP(J270, 'Regions and Cities'!A:B, 2, FALSE)</f>
        <v>Satakunta</v>
      </c>
    </row>
    <row r="271" spans="1:40" x14ac:dyDescent="0.3">
      <c r="A271" t="s">
        <v>5156</v>
      </c>
      <c r="B271" t="s">
        <v>5157</v>
      </c>
      <c r="C271" t="s">
        <v>5158</v>
      </c>
      <c r="D271" t="s">
        <v>4778</v>
      </c>
      <c r="E271" t="s">
        <v>4779</v>
      </c>
      <c r="F271" t="s">
        <v>4780</v>
      </c>
      <c r="H271">
        <v>31</v>
      </c>
      <c r="I271" t="s">
        <v>100</v>
      </c>
      <c r="J271" t="s">
        <v>354</v>
      </c>
      <c r="K271" t="s">
        <v>5159</v>
      </c>
      <c r="L271" t="s">
        <v>5160</v>
      </c>
      <c r="M271" t="s">
        <v>37</v>
      </c>
      <c r="N271" t="s">
        <v>5161</v>
      </c>
      <c r="O271" t="s">
        <v>5162</v>
      </c>
      <c r="R271" t="s">
        <v>37</v>
      </c>
      <c r="S271" t="s">
        <v>37</v>
      </c>
      <c r="T271">
        <v>60.734605000000002</v>
      </c>
      <c r="U271" t="s">
        <v>5163</v>
      </c>
      <c r="V271" t="s">
        <v>5164</v>
      </c>
      <c r="W271">
        <v>24.748384999999999</v>
      </c>
      <c r="X271">
        <v>64000</v>
      </c>
      <c r="Y271" t="s">
        <v>4460</v>
      </c>
      <c r="AA271" t="s">
        <v>38</v>
      </c>
      <c r="AB271" t="s">
        <v>39</v>
      </c>
      <c r="AC271" t="s">
        <v>480</v>
      </c>
      <c r="AD271" t="s">
        <v>202</v>
      </c>
      <c r="AE271" t="s">
        <v>5165</v>
      </c>
      <c r="AF271" t="s">
        <v>5166</v>
      </c>
      <c r="AG271" t="s">
        <v>5167</v>
      </c>
      <c r="AH271">
        <v>31</v>
      </c>
      <c r="AI271" s="2" t="str">
        <f t="shared" si="20"/>
        <v>Independent</v>
      </c>
      <c r="AJ271" s="2" t="str">
        <f t="shared" si="21"/>
        <v>NO</v>
      </c>
      <c r="AK271" s="1" t="str">
        <f t="shared" si="22"/>
        <v>Glazed Balcony</v>
      </c>
      <c r="AL271" s="1" t="str">
        <f t="shared" si="23"/>
        <v>1 Toilet</v>
      </c>
      <c r="AM271" s="1" t="str">
        <f t="shared" si="24"/>
        <v>NO</v>
      </c>
      <c r="AN271" s="1" t="str">
        <f>VLOOKUP(J271, 'Regions and Cities'!A:B, 2, FALSE)</f>
        <v>Kanta-Häme</v>
      </c>
    </row>
    <row r="272" spans="1:40" x14ac:dyDescent="0.3">
      <c r="A272" t="s">
        <v>2693</v>
      </c>
      <c r="B272" t="s">
        <v>2694</v>
      </c>
      <c r="C272" t="s">
        <v>2695</v>
      </c>
      <c r="D272" t="s">
        <v>1165</v>
      </c>
      <c r="E272" t="s">
        <v>1166</v>
      </c>
      <c r="F272" t="s">
        <v>105</v>
      </c>
      <c r="H272">
        <v>130</v>
      </c>
      <c r="I272" t="s">
        <v>2696</v>
      </c>
      <c r="J272" t="s">
        <v>358</v>
      </c>
      <c r="K272" t="s">
        <v>2697</v>
      </c>
      <c r="L272" t="s">
        <v>2698</v>
      </c>
      <c r="M272" t="s">
        <v>37</v>
      </c>
      <c r="N272" t="s">
        <v>2699</v>
      </c>
      <c r="O272" t="s">
        <v>2700</v>
      </c>
      <c r="R272" t="s">
        <v>37</v>
      </c>
      <c r="S272" t="s">
        <v>37</v>
      </c>
      <c r="T272">
        <v>61.282983000000002</v>
      </c>
      <c r="U272" t="s">
        <v>2701</v>
      </c>
      <c r="V272" t="s">
        <v>2702</v>
      </c>
      <c r="W272">
        <v>24.038654000000001</v>
      </c>
      <c r="X272">
        <v>82000</v>
      </c>
      <c r="Y272" t="s">
        <v>245</v>
      </c>
      <c r="AA272" t="s">
        <v>63</v>
      </c>
      <c r="AB272" t="s">
        <v>39</v>
      </c>
      <c r="AC272" t="s">
        <v>480</v>
      </c>
      <c r="AD272" t="s">
        <v>75</v>
      </c>
      <c r="AE272" t="s">
        <v>217</v>
      </c>
      <c r="AF272" t="s">
        <v>2703</v>
      </c>
      <c r="AG272" t="s">
        <v>2704</v>
      </c>
      <c r="AH272">
        <v>170</v>
      </c>
      <c r="AI272" s="2" t="str">
        <f t="shared" si="20"/>
        <v>Independent</v>
      </c>
      <c r="AJ272" s="2" t="str">
        <f t="shared" si="21"/>
        <v>NO</v>
      </c>
      <c r="AK272" s="1" t="str">
        <f t="shared" si="22"/>
        <v>None</v>
      </c>
      <c r="AL272" s="1" t="str">
        <f t="shared" si="23"/>
        <v>1 Toilet</v>
      </c>
      <c r="AM272" s="1" t="str">
        <f t="shared" si="24"/>
        <v>NO</v>
      </c>
      <c r="AN272" s="1" t="str">
        <f>VLOOKUP(J272, 'Regions and Cities'!A:B, 2, FALSE)</f>
        <v>Pirkanmaa</v>
      </c>
    </row>
    <row r="273" spans="1:40" x14ac:dyDescent="0.3">
      <c r="A273" t="s">
        <v>6002</v>
      </c>
      <c r="B273" t="s">
        <v>6003</v>
      </c>
      <c r="C273" t="s">
        <v>6004</v>
      </c>
      <c r="D273" t="s">
        <v>6005</v>
      </c>
      <c r="E273" t="s">
        <v>6006</v>
      </c>
      <c r="F273" t="s">
        <v>50</v>
      </c>
      <c r="G273" t="s">
        <v>6007</v>
      </c>
      <c r="H273">
        <v>111.5</v>
      </c>
      <c r="I273" t="s">
        <v>136</v>
      </c>
      <c r="J273" t="s">
        <v>192</v>
      </c>
      <c r="K273" t="s">
        <v>3784</v>
      </c>
      <c r="L273" t="s">
        <v>6008</v>
      </c>
      <c r="M273" t="s">
        <v>37</v>
      </c>
      <c r="N273" t="s">
        <v>6009</v>
      </c>
      <c r="O273" t="s">
        <v>6010</v>
      </c>
      <c r="P273" t="s">
        <v>6011</v>
      </c>
      <c r="R273" t="s">
        <v>37</v>
      </c>
      <c r="S273" t="s">
        <v>37</v>
      </c>
      <c r="T273">
        <v>60.411920000000002</v>
      </c>
      <c r="U273" t="s">
        <v>6012</v>
      </c>
      <c r="V273" t="s">
        <v>6013</v>
      </c>
      <c r="W273">
        <v>25.088509999999999</v>
      </c>
      <c r="X273">
        <v>302000</v>
      </c>
      <c r="Y273" t="s">
        <v>6014</v>
      </c>
      <c r="AA273" t="s">
        <v>54</v>
      </c>
      <c r="AB273" t="s">
        <v>39</v>
      </c>
      <c r="AC273" t="s">
        <v>480</v>
      </c>
      <c r="AD273" t="s">
        <v>75</v>
      </c>
      <c r="AE273" t="s">
        <v>6015</v>
      </c>
      <c r="AF273" t="s">
        <v>6016</v>
      </c>
      <c r="AG273" t="s">
        <v>6017</v>
      </c>
      <c r="AH273">
        <v>111.5</v>
      </c>
      <c r="AI273" s="2" t="str">
        <f t="shared" si="20"/>
        <v>Independent</v>
      </c>
      <c r="AJ273" s="2" t="str">
        <f t="shared" si="21"/>
        <v>NO</v>
      </c>
      <c r="AK273" s="1" t="str">
        <f t="shared" si="22"/>
        <v>None</v>
      </c>
      <c r="AL273" s="1" t="str">
        <f t="shared" si="23"/>
        <v>2 Toilets</v>
      </c>
      <c r="AM273" s="1" t="str">
        <f t="shared" si="24"/>
        <v>YES</v>
      </c>
      <c r="AN273" s="1" t="str">
        <f>VLOOKUP(J273, 'Regions and Cities'!A:B, 2, FALSE)</f>
        <v>Uusimaa</v>
      </c>
    </row>
    <row r="274" spans="1:40" x14ac:dyDescent="0.3">
      <c r="A274" t="s">
        <v>5108</v>
      </c>
      <c r="B274" t="s">
        <v>5109</v>
      </c>
      <c r="C274" t="s">
        <v>5110</v>
      </c>
      <c r="D274" t="s">
        <v>2226</v>
      </c>
      <c r="E274" t="s">
        <v>2227</v>
      </c>
      <c r="F274" t="s">
        <v>79</v>
      </c>
      <c r="G274" t="s">
        <v>5111</v>
      </c>
      <c r="H274">
        <v>182.5</v>
      </c>
      <c r="I274" t="s">
        <v>4114</v>
      </c>
      <c r="J274" t="s">
        <v>411</v>
      </c>
      <c r="K274" t="s">
        <v>5112</v>
      </c>
      <c r="L274" t="s">
        <v>5113</v>
      </c>
      <c r="M274" t="s">
        <v>37</v>
      </c>
      <c r="N274" t="s">
        <v>5114</v>
      </c>
      <c r="O274" t="s">
        <v>5115</v>
      </c>
      <c r="P274" t="s">
        <v>5116</v>
      </c>
      <c r="Q274" t="s">
        <v>5117</v>
      </c>
      <c r="R274" t="s">
        <v>37</v>
      </c>
      <c r="S274" t="s">
        <v>37</v>
      </c>
      <c r="T274">
        <v>65.331772000000001</v>
      </c>
      <c r="U274" t="s">
        <v>5118</v>
      </c>
      <c r="V274" t="s">
        <v>5119</v>
      </c>
      <c r="W274">
        <v>25.324144</v>
      </c>
      <c r="X274">
        <v>399000</v>
      </c>
      <c r="Y274" t="s">
        <v>5120</v>
      </c>
      <c r="AA274" t="s">
        <v>63</v>
      </c>
      <c r="AB274" t="s">
        <v>39</v>
      </c>
      <c r="AC274" t="s">
        <v>5121</v>
      </c>
      <c r="AD274" t="s">
        <v>55</v>
      </c>
      <c r="AE274" t="s">
        <v>5122</v>
      </c>
      <c r="AF274" t="s">
        <v>5123</v>
      </c>
      <c r="AG274" t="s">
        <v>5124</v>
      </c>
      <c r="AH274">
        <v>203</v>
      </c>
      <c r="AI274" s="2" t="str">
        <f t="shared" si="20"/>
        <v>Independent</v>
      </c>
      <c r="AJ274" s="2" t="str">
        <f t="shared" si="21"/>
        <v>YES</v>
      </c>
      <c r="AK274" s="1" t="str">
        <f t="shared" si="22"/>
        <v>Standard Balcony</v>
      </c>
      <c r="AL274" s="1" t="str">
        <f t="shared" si="23"/>
        <v>2 Toilets</v>
      </c>
      <c r="AM274" s="1" t="str">
        <f t="shared" si="24"/>
        <v>YES</v>
      </c>
      <c r="AN274" s="1" t="str">
        <f>VLOOKUP(J274, 'Regions and Cities'!A:B, 2, FALSE)</f>
        <v>Pohjois-Pohjanmaa</v>
      </c>
    </row>
    <row r="275" spans="1:40" x14ac:dyDescent="0.3">
      <c r="A275" t="s">
        <v>4349</v>
      </c>
      <c r="B275" t="s">
        <v>4350</v>
      </c>
      <c r="C275" t="s">
        <v>4351</v>
      </c>
      <c r="D275" t="s">
        <v>4352</v>
      </c>
      <c r="E275" t="s">
        <v>4353</v>
      </c>
      <c r="F275" t="s">
        <v>4354</v>
      </c>
      <c r="H275">
        <v>121</v>
      </c>
      <c r="I275" t="s">
        <v>472</v>
      </c>
      <c r="J275" t="s">
        <v>403</v>
      </c>
      <c r="K275" t="s">
        <v>4355</v>
      </c>
      <c r="L275" t="s">
        <v>4356</v>
      </c>
      <c r="M275" t="s">
        <v>37</v>
      </c>
      <c r="N275" t="s">
        <v>4357</v>
      </c>
      <c r="O275" t="s">
        <v>4358</v>
      </c>
      <c r="R275" t="s">
        <v>37</v>
      </c>
      <c r="S275" t="s">
        <v>37</v>
      </c>
      <c r="T275">
        <v>62.741954999999997</v>
      </c>
      <c r="U275" t="s">
        <v>4359</v>
      </c>
      <c r="V275" t="s">
        <v>4360</v>
      </c>
      <c r="W275">
        <v>22.579146999999999</v>
      </c>
      <c r="X275">
        <v>159000</v>
      </c>
      <c r="Y275" t="s">
        <v>83</v>
      </c>
      <c r="AA275" t="s">
        <v>63</v>
      </c>
      <c r="AB275" t="s">
        <v>39</v>
      </c>
      <c r="AC275" t="s">
        <v>4361</v>
      </c>
      <c r="AD275" t="s">
        <v>75</v>
      </c>
      <c r="AE275" t="s">
        <v>4362</v>
      </c>
      <c r="AF275" t="s">
        <v>4363</v>
      </c>
      <c r="AG275" t="s">
        <v>4364</v>
      </c>
      <c r="AH275">
        <v>121</v>
      </c>
      <c r="AI275" s="2" t="str">
        <f t="shared" si="20"/>
        <v>Independent</v>
      </c>
      <c r="AJ275" s="2" t="str">
        <f t="shared" si="21"/>
        <v>YES</v>
      </c>
      <c r="AK275" s="1" t="str">
        <f t="shared" si="22"/>
        <v>None</v>
      </c>
      <c r="AL275" s="1" t="str">
        <f t="shared" si="23"/>
        <v>1 Toilet</v>
      </c>
      <c r="AM275" s="1" t="str">
        <f t="shared" si="24"/>
        <v>NO</v>
      </c>
      <c r="AN275" s="1" t="str">
        <f>VLOOKUP(J275, 'Regions and Cities'!A:B, 2, FALSE)</f>
        <v>Etelä-Pohjanmaa</v>
      </c>
    </row>
    <row r="276" spans="1:40" x14ac:dyDescent="0.3">
      <c r="A276" t="s">
        <v>9583</v>
      </c>
      <c r="B276" t="s">
        <v>9584</v>
      </c>
      <c r="C276" t="s">
        <v>9585</v>
      </c>
      <c r="D276" t="s">
        <v>4576</v>
      </c>
      <c r="E276" t="s">
        <v>4577</v>
      </c>
      <c r="F276" t="s">
        <v>58</v>
      </c>
      <c r="H276">
        <v>53.5</v>
      </c>
      <c r="I276" t="s">
        <v>100</v>
      </c>
      <c r="J276" t="s">
        <v>116</v>
      </c>
      <c r="K276" t="s">
        <v>9586</v>
      </c>
      <c r="L276" t="s">
        <v>9587</v>
      </c>
      <c r="M276" t="s">
        <v>37</v>
      </c>
      <c r="N276" t="s">
        <v>9588</v>
      </c>
      <c r="O276" t="s">
        <v>9589</v>
      </c>
      <c r="R276" t="s">
        <v>37</v>
      </c>
      <c r="S276" t="s">
        <v>37</v>
      </c>
      <c r="T276">
        <v>60.363149999999997</v>
      </c>
      <c r="U276" t="s">
        <v>9590</v>
      </c>
      <c r="V276" t="s">
        <v>9591</v>
      </c>
      <c r="W276">
        <v>25.096779999999999</v>
      </c>
      <c r="X276">
        <v>143000</v>
      </c>
      <c r="Y276" t="s">
        <v>9592</v>
      </c>
      <c r="AA276" t="s">
        <v>45</v>
      </c>
      <c r="AB276" t="s">
        <v>39</v>
      </c>
      <c r="AC276" t="s">
        <v>6510</v>
      </c>
      <c r="AD276" t="s">
        <v>40</v>
      </c>
      <c r="AE276" t="s">
        <v>9593</v>
      </c>
      <c r="AF276" t="s">
        <v>9594</v>
      </c>
      <c r="AG276" t="s">
        <v>9595</v>
      </c>
      <c r="AH276">
        <v>53.5</v>
      </c>
      <c r="AI276" s="2" t="str">
        <f t="shared" si="20"/>
        <v>Independent</v>
      </c>
      <c r="AJ276" s="2" t="str">
        <f t="shared" si="21"/>
        <v>NO</v>
    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v>NO</v>
      </c>
      <c r="AN276" s="1" t="str">
        <f>VLOOKUP(J276, 'Regions and Cities'!A:B, 2, FALSE)</f>
        <v>Uusimaa</v>
      </c>
    </row>
    <row r="277" spans="1:40" x14ac:dyDescent="0.3">
      <c r="A277" t="s">
        <v>5420</v>
      </c>
      <c r="B277" t="s">
        <v>5421</v>
      </c>
      <c r="C277" t="s">
        <v>5422</v>
      </c>
      <c r="D277" t="s">
        <v>5380</v>
      </c>
      <c r="E277" t="s">
        <v>5381</v>
      </c>
      <c r="H277">
        <v>49</v>
      </c>
      <c r="I277" t="s">
        <v>589</v>
      </c>
      <c r="J277" t="s">
        <v>350</v>
      </c>
      <c r="K277" t="s">
        <v>5423</v>
      </c>
      <c r="L277" t="s">
        <v>5424</v>
      </c>
      <c r="M277" t="s">
        <v>37</v>
      </c>
      <c r="N277" t="s">
        <v>5425</v>
      </c>
      <c r="O277" t="s">
        <v>5426</v>
      </c>
      <c r="R277" t="s">
        <v>37</v>
      </c>
      <c r="S277" t="s">
        <v>37</v>
      </c>
      <c r="T277">
        <v>62.617815999999998</v>
      </c>
      <c r="U277" t="s">
        <v>5427</v>
      </c>
      <c r="V277" t="s">
        <v>5428</v>
      </c>
      <c r="W277">
        <v>29.709094</v>
      </c>
      <c r="X277">
        <v>58000</v>
      </c>
      <c r="Y277" t="s">
        <v>626</v>
      </c>
      <c r="AA277" t="s">
        <v>38</v>
      </c>
      <c r="AB277" t="s">
        <v>39</v>
      </c>
      <c r="AC277" t="s">
        <v>480</v>
      </c>
      <c r="AD277" t="s">
        <v>40</v>
      </c>
      <c r="AE277" t="s">
        <v>684</v>
      </c>
      <c r="AF277" t="s">
        <v>5429</v>
      </c>
      <c r="AG277" t="s">
        <v>5430</v>
      </c>
      <c r="AH277">
        <v>49</v>
      </c>
      <c r="AI277" s="2" t="str">
        <f t="shared" si="20"/>
        <v>Kitchenette</v>
      </c>
      <c r="AJ277" s="2" t="str">
        <f t="shared" si="21"/>
        <v>YES</v>
      </c>
      <c r="AK277" s="1" t="str">
        <f t="shared" si="22"/>
        <v>None</v>
      </c>
      <c r="AL277" s="1" t="str">
        <f t="shared" si="23"/>
        <v>1 Toilet</v>
      </c>
      <c r="AM277" s="1" t="str">
        <f t="shared" si="24"/>
        <v>NO</v>
      </c>
      <c r="AN277" s="1" t="str">
        <f>VLOOKUP(J277, 'Regions and Cities'!A:B, 2, FALSE)</f>
        <v>Pohjois-Karjala</v>
      </c>
    </row>
    <row r="278" spans="1:40" x14ac:dyDescent="0.3">
      <c r="A278" t="s">
        <v>6267</v>
      </c>
      <c r="B278" t="s">
        <v>6268</v>
      </c>
      <c r="C278" t="s">
        <v>6269</v>
      </c>
      <c r="D278" t="s">
        <v>178</v>
      </c>
      <c r="E278" t="s">
        <v>179</v>
      </c>
      <c r="F278" t="s">
        <v>180</v>
      </c>
      <c r="H278">
        <v>69</v>
      </c>
      <c r="I278" t="s">
        <v>3712</v>
      </c>
      <c r="J278" t="s">
        <v>139</v>
      </c>
      <c r="K278" t="s">
        <v>6270</v>
      </c>
      <c r="L278" t="s">
        <v>6271</v>
      </c>
      <c r="M278" t="s">
        <v>37</v>
      </c>
      <c r="N278" t="s">
        <v>6272</v>
      </c>
      <c r="O278" t="s">
        <v>6273</v>
      </c>
      <c r="R278" t="s">
        <v>37</v>
      </c>
      <c r="S278" t="s">
        <v>37</v>
      </c>
      <c r="T278">
        <v>61.473999999999997</v>
      </c>
      <c r="U278" t="s">
        <v>6274</v>
      </c>
      <c r="V278" t="s">
        <v>6275</v>
      </c>
      <c r="W278">
        <v>23.7227</v>
      </c>
      <c r="X278">
        <v>45508.47</v>
      </c>
      <c r="Y278" t="s">
        <v>6276</v>
      </c>
      <c r="AA278" t="s">
        <v>38</v>
      </c>
      <c r="AB278" t="s">
        <v>39</v>
      </c>
      <c r="AC278" t="s">
        <v>480</v>
      </c>
      <c r="AD278" t="s">
        <v>46</v>
      </c>
      <c r="AE278" t="s">
        <v>140</v>
      </c>
      <c r="AF278" t="s">
        <v>6277</v>
      </c>
      <c r="AG278" t="s">
        <v>6278</v>
      </c>
      <c r="AH278"/>
      <c r="AI278" s="2" t="str">
        <f t="shared" si="20"/>
        <v>Open</v>
      </c>
      <c r="AJ278" s="2" t="str">
        <f t="shared" si="21"/>
        <v>YES</v>
      </c>
      <c r="AK278" s="1" t="str">
        <f t="shared" si="22"/>
        <v>None</v>
      </c>
      <c r="AL278" s="1" t="str">
        <f t="shared" si="23"/>
        <v>1 Toilet</v>
      </c>
      <c r="AM278" s="1" t="str">
        <f t="shared" si="24"/>
        <v>NO</v>
      </c>
      <c r="AN278" s="1" t="str">
        <f>VLOOKUP(J278, 'Regions and Cities'!A:B, 2, FALSE)</f>
        <v>Pirkanmaa</v>
      </c>
    </row>
    <row r="279" spans="1:40" x14ac:dyDescent="0.3">
      <c r="A279" t="s">
        <v>1074</v>
      </c>
      <c r="B279" t="s">
        <v>1075</v>
      </c>
      <c r="C279" t="s">
        <v>1076</v>
      </c>
      <c r="D279" t="s">
        <v>1077</v>
      </c>
      <c r="E279" t="s">
        <v>1078</v>
      </c>
      <c r="F279" t="s">
        <v>1079</v>
      </c>
      <c r="G279" t="s">
        <v>1080</v>
      </c>
      <c r="H279">
        <v>52</v>
      </c>
      <c r="I279" t="s">
        <v>35</v>
      </c>
      <c r="J279" t="s">
        <v>208</v>
      </c>
      <c r="K279" t="s">
        <v>131</v>
      </c>
      <c r="L279" t="s">
        <v>1081</v>
      </c>
      <c r="M279" t="s">
        <v>37</v>
      </c>
      <c r="N279" t="s">
        <v>1082</v>
      </c>
      <c r="O279" t="s">
        <v>1083</v>
      </c>
      <c r="P279" t="s">
        <v>1084</v>
      </c>
      <c r="Q279" t="s">
        <v>1085</v>
      </c>
      <c r="R279" t="s">
        <v>37</v>
      </c>
      <c r="S279" t="s">
        <v>37</v>
      </c>
      <c r="T279">
        <v>66.498018999999999</v>
      </c>
      <c r="U279" t="s">
        <v>1086</v>
      </c>
      <c r="V279" t="s">
        <v>1087</v>
      </c>
      <c r="W279">
        <v>25.729030000000002</v>
      </c>
      <c r="X279">
        <v>169000</v>
      </c>
      <c r="Y279" t="s">
        <v>1088</v>
      </c>
      <c r="AA279" t="s">
        <v>38</v>
      </c>
      <c r="AB279" t="s">
        <v>39</v>
      </c>
      <c r="AC279" t="s">
        <v>480</v>
      </c>
      <c r="AD279" t="s">
        <v>40</v>
      </c>
      <c r="AE279" t="s">
        <v>1089</v>
      </c>
      <c r="AF279" t="s">
        <v>1090</v>
      </c>
      <c r="AG279" t="s">
        <v>1091</v>
      </c>
      <c r="AH279">
        <v>52</v>
      </c>
      <c r="AI279" s="2" t="str">
        <f t="shared" si="20"/>
        <v>Kitchenette</v>
      </c>
      <c r="AJ279" s="2" t="str">
        <f t="shared" si="21"/>
        <v>YES</v>
      </c>
      <c r="AK279" s="1" t="str">
        <f t="shared" si="22"/>
        <v>Glazed Balcony</v>
      </c>
      <c r="AL279" s="1" t="str">
        <f t="shared" si="23"/>
        <v>1 Toilet</v>
      </c>
      <c r="AM279" s="1" t="str">
        <f t="shared" si="24"/>
        <v>NO</v>
      </c>
      <c r="AN279" s="1" t="str">
        <f>VLOOKUP(J279, 'Regions and Cities'!A:B, 2, FALSE)</f>
        <v>Lappi</v>
      </c>
    </row>
    <row r="280" spans="1:40" x14ac:dyDescent="0.3">
      <c r="A280" t="s">
        <v>3739</v>
      </c>
      <c r="B280" t="s">
        <v>3740</v>
      </c>
      <c r="C280" t="s">
        <v>3741</v>
      </c>
      <c r="D280" t="s">
        <v>1840</v>
      </c>
      <c r="E280" t="s">
        <v>1841</v>
      </c>
      <c r="F280" t="s">
        <v>70</v>
      </c>
      <c r="G280" t="s">
        <v>3742</v>
      </c>
      <c r="H280">
        <v>168</v>
      </c>
      <c r="I280" t="s">
        <v>589</v>
      </c>
      <c r="J280" t="s">
        <v>126</v>
      </c>
      <c r="K280" t="s">
        <v>3743</v>
      </c>
      <c r="L280" t="s">
        <v>3744</v>
      </c>
      <c r="M280" t="s">
        <v>111</v>
      </c>
      <c r="N280" t="s">
        <v>3745</v>
      </c>
      <c r="O280" t="s">
        <v>3746</v>
      </c>
      <c r="P280" t="s">
        <v>3747</v>
      </c>
      <c r="R280" t="s">
        <v>37</v>
      </c>
      <c r="S280" t="s">
        <v>37</v>
      </c>
      <c r="T280">
        <v>60.166876000000002</v>
      </c>
      <c r="U280" t="s">
        <v>3748</v>
      </c>
      <c r="V280" t="s">
        <v>3749</v>
      </c>
      <c r="W280">
        <v>24.729754</v>
      </c>
      <c r="X280">
        <v>265000</v>
      </c>
      <c r="Y280" t="s">
        <v>3720</v>
      </c>
      <c r="AA280" t="s">
        <v>45</v>
      </c>
      <c r="AB280" t="s">
        <v>39</v>
      </c>
      <c r="AC280" t="s">
        <v>480</v>
      </c>
      <c r="AD280" t="s">
        <v>64</v>
      </c>
      <c r="AE280" t="s">
        <v>3750</v>
      </c>
      <c r="AF280" t="s">
        <v>3751</v>
      </c>
      <c r="AG280" t="s">
        <v>3752</v>
      </c>
      <c r="AH280">
        <v>208</v>
      </c>
      <c r="AI280" s="2" t="str">
        <f t="shared" si="20"/>
        <v>Kitchenette</v>
      </c>
      <c r="AJ280" s="2" t="str">
        <f t="shared" si="21"/>
        <v>NO</v>
      </c>
      <c r="AK280" s="1" t="str">
        <f t="shared" si="22"/>
        <v>None</v>
      </c>
      <c r="AL280" s="1" t="str">
        <f t="shared" si="23"/>
        <v>1 Toilet</v>
      </c>
      <c r="AM280" s="1" t="str">
        <f t="shared" si="24"/>
        <v>YES</v>
      </c>
      <c r="AN280" s="1" t="str">
        <f>VLOOKUP(J280, 'Regions and Cities'!A:B, 2, FALSE)</f>
        <v>Uusimaa</v>
      </c>
    </row>
    <row r="281" spans="1:40" x14ac:dyDescent="0.3">
      <c r="A281" t="s">
        <v>501</v>
      </c>
      <c r="B281" t="s">
        <v>502</v>
      </c>
      <c r="C281" t="s">
        <v>503</v>
      </c>
      <c r="D281" t="s">
        <v>178</v>
      </c>
      <c r="E281" t="s">
        <v>179</v>
      </c>
      <c r="F281" t="s">
        <v>180</v>
      </c>
      <c r="H281">
        <v>77</v>
      </c>
      <c r="I281" t="s">
        <v>454</v>
      </c>
      <c r="J281" t="s">
        <v>73</v>
      </c>
      <c r="K281" t="s">
        <v>504</v>
      </c>
      <c r="L281" t="s">
        <v>505</v>
      </c>
      <c r="M281" t="s">
        <v>37</v>
      </c>
      <c r="N281" t="s">
        <v>506</v>
      </c>
      <c r="O281" t="s">
        <v>507</v>
      </c>
      <c r="R281" t="s">
        <v>37</v>
      </c>
      <c r="S281" t="s">
        <v>37</v>
      </c>
      <c r="T281">
        <v>62.255299999999998</v>
      </c>
      <c r="U281" t="s">
        <v>508</v>
      </c>
      <c r="V281" t="s">
        <v>509</v>
      </c>
      <c r="W281">
        <v>25.7043</v>
      </c>
      <c r="X281">
        <v>37749.9</v>
      </c>
      <c r="Y281" t="s">
        <v>510</v>
      </c>
      <c r="AA281" t="s">
        <v>38</v>
      </c>
      <c r="AB281" t="s">
        <v>39</v>
      </c>
      <c r="AC281" t="s">
        <v>511</v>
      </c>
      <c r="AD281" t="s">
        <v>46</v>
      </c>
      <c r="AE281" t="s">
        <v>140</v>
      </c>
      <c r="AF281" t="s">
        <v>512</v>
      </c>
      <c r="AG281" t="s">
        <v>513</v>
      </c>
      <c r="AH281"/>
      <c r="AI281" s="2" t="str">
        <f t="shared" si="20"/>
        <v>Open</v>
      </c>
      <c r="AJ281" s="2" t="str">
        <f t="shared" si="21"/>
        <v>YES</v>
      </c>
      <c r="AK281" s="1" t="str">
        <f t="shared" si="22"/>
        <v>None</v>
      </c>
      <c r="AL281" s="1" t="str">
        <f t="shared" si="23"/>
        <v>1 Toilet</v>
      </c>
      <c r="AM281" s="1" t="str">
        <f t="shared" si="24"/>
        <v>NO</v>
      </c>
      <c r="AN281" s="1" t="str">
        <f>VLOOKUP(J281, 'Regions and Cities'!A:B, 2, FALSE)</f>
        <v>Keski-Suomi</v>
      </c>
    </row>
    <row r="282" spans="1:40" x14ac:dyDescent="0.3">
      <c r="A282" t="s">
        <v>9823</v>
      </c>
      <c r="B282" t="s">
        <v>9824</v>
      </c>
      <c r="C282" t="s">
        <v>1733</v>
      </c>
      <c r="D282" t="s">
        <v>2242</v>
      </c>
      <c r="E282" t="s">
        <v>2243</v>
      </c>
      <c r="F282" t="s">
        <v>79</v>
      </c>
      <c r="G282" t="s">
        <v>9825</v>
      </c>
      <c r="H282">
        <v>93</v>
      </c>
      <c r="I282" t="s">
        <v>296</v>
      </c>
      <c r="J282" t="s">
        <v>370</v>
      </c>
      <c r="K282" t="s">
        <v>1734</v>
      </c>
      <c r="L282" t="s">
        <v>9826</v>
      </c>
      <c r="M282" t="s">
        <v>37</v>
      </c>
      <c r="N282" t="s">
        <v>9827</v>
      </c>
      <c r="O282" t="s">
        <v>9828</v>
      </c>
      <c r="P282" t="s">
        <v>9829</v>
      </c>
      <c r="Q282" t="s">
        <v>9830</v>
      </c>
      <c r="R282" t="s">
        <v>37</v>
      </c>
      <c r="S282" t="s">
        <v>37</v>
      </c>
      <c r="T282">
        <v>60.405400999999998</v>
      </c>
      <c r="U282" t="s">
        <v>9831</v>
      </c>
      <c r="V282" t="s">
        <v>9832</v>
      </c>
      <c r="W282">
        <v>25.014783000000001</v>
      </c>
      <c r="X282">
        <v>154000</v>
      </c>
      <c r="Y282" t="s">
        <v>7983</v>
      </c>
      <c r="AA282" t="s">
        <v>38</v>
      </c>
      <c r="AB282" t="s">
        <v>39</v>
      </c>
      <c r="AC282" t="s">
        <v>9804</v>
      </c>
      <c r="AD282" t="s">
        <v>75</v>
      </c>
      <c r="AE282" t="s">
        <v>2114</v>
      </c>
      <c r="AF282" t="s">
        <v>9833</v>
      </c>
      <c r="AG282" t="s">
        <v>9834</v>
      </c>
      <c r="AH282">
        <v>93</v>
      </c>
      <c r="AI282" s="2" t="str">
        <f t="shared" si="20"/>
        <v>Independent</v>
      </c>
      <c r="AJ282" s="2" t="str">
        <f t="shared" si="21"/>
        <v>NO</v>
      </c>
      <c r="AK282" s="1" t="str">
        <f t="shared" si="22"/>
        <v>None</v>
      </c>
      <c r="AL282" s="1" t="str">
        <f t="shared" si="23"/>
        <v>1 Toilet</v>
      </c>
      <c r="AM282" s="1" t="str">
        <f t="shared" si="24"/>
        <v>NO</v>
      </c>
      <c r="AN282" s="1" t="str">
        <f>VLOOKUP(J282, 'Regions and Cities'!A:B, 2, FALSE)</f>
        <v>Uusimaa</v>
      </c>
    </row>
    <row r="283" spans="1:40" x14ac:dyDescent="0.3">
      <c r="A283" t="s">
        <v>6071</v>
      </c>
      <c r="B283" t="s">
        <v>6072</v>
      </c>
      <c r="C283" t="s">
        <v>6073</v>
      </c>
      <c r="D283" t="s">
        <v>3218</v>
      </c>
      <c r="E283" t="s">
        <v>3219</v>
      </c>
      <c r="F283" t="s">
        <v>3220</v>
      </c>
      <c r="H283">
        <v>80</v>
      </c>
      <c r="I283" t="s">
        <v>472</v>
      </c>
      <c r="J283" t="s">
        <v>446</v>
      </c>
      <c r="K283" t="s">
        <v>6074</v>
      </c>
      <c r="L283" t="s">
        <v>6075</v>
      </c>
      <c r="M283" t="s">
        <v>37</v>
      </c>
      <c r="N283" t="s">
        <v>6076</v>
      </c>
      <c r="O283" t="s">
        <v>6077</v>
      </c>
      <c r="R283" t="s">
        <v>37</v>
      </c>
      <c r="S283" t="s">
        <v>37</v>
      </c>
      <c r="T283">
        <v>60.668080000000003</v>
      </c>
      <c r="U283" t="s">
        <v>6078</v>
      </c>
      <c r="V283" t="s">
        <v>6079</v>
      </c>
      <c r="W283">
        <v>23.117000000000001</v>
      </c>
      <c r="X283">
        <v>155000</v>
      </c>
      <c r="Y283" t="s">
        <v>231</v>
      </c>
      <c r="AA283" t="s">
        <v>63</v>
      </c>
      <c r="AB283" t="s">
        <v>39</v>
      </c>
      <c r="AC283" t="s">
        <v>480</v>
      </c>
      <c r="AD283" t="s">
        <v>46</v>
      </c>
      <c r="AE283" t="s">
        <v>6080</v>
      </c>
      <c r="AF283" t="s">
        <v>6081</v>
      </c>
      <c r="AG283" t="s">
        <v>6082</v>
      </c>
      <c r="AH283">
        <v>92</v>
      </c>
      <c r="AI283" s="2" t="str">
        <f t="shared" si="20"/>
        <v>Independent</v>
      </c>
      <c r="AJ283" s="2" t="str">
        <f t="shared" si="21"/>
        <v>NO</v>
      </c>
      <c r="AK283" s="1" t="str">
        <f t="shared" si="22"/>
        <v>None</v>
      </c>
      <c r="AL283" s="1" t="str">
        <f t="shared" si="23"/>
        <v>1 Toilet</v>
      </c>
      <c r="AM283" s="1" t="str">
        <f t="shared" si="24"/>
        <v>NO</v>
      </c>
      <c r="AN283" s="1" t="str">
        <f>VLOOKUP(J283, 'Regions and Cities'!A:B, 2, FALSE)</f>
        <v>Varsinais-Suomi</v>
      </c>
    </row>
    <row r="284" spans="1:40" x14ac:dyDescent="0.3">
      <c r="A284" t="s">
        <v>3285</v>
      </c>
      <c r="B284" t="s">
        <v>3286</v>
      </c>
      <c r="C284" t="s">
        <v>391</v>
      </c>
      <c r="D284" t="s">
        <v>3287</v>
      </c>
      <c r="E284" t="s">
        <v>3288</v>
      </c>
      <c r="F284" t="s">
        <v>3289</v>
      </c>
      <c r="H284">
        <v>52.5</v>
      </c>
      <c r="I284" t="s">
        <v>2001</v>
      </c>
      <c r="J284" t="s">
        <v>391</v>
      </c>
      <c r="L284" t="s">
        <v>3290</v>
      </c>
      <c r="M284" t="s">
        <v>37</v>
      </c>
      <c r="N284" t="s">
        <v>3291</v>
      </c>
      <c r="O284" t="s">
        <v>3292</v>
      </c>
      <c r="R284" t="s">
        <v>37</v>
      </c>
      <c r="S284" t="s">
        <v>37</v>
      </c>
      <c r="T284">
        <v>64.128399000000002</v>
      </c>
      <c r="U284" t="s">
        <v>3293</v>
      </c>
      <c r="V284" t="s">
        <v>3294</v>
      </c>
      <c r="W284">
        <v>29.500537000000001</v>
      </c>
      <c r="X284">
        <v>28000</v>
      </c>
      <c r="Y284" t="s">
        <v>2861</v>
      </c>
      <c r="AA284" t="s">
        <v>38</v>
      </c>
      <c r="AB284" t="s">
        <v>39</v>
      </c>
      <c r="AC284" t="s">
        <v>480</v>
      </c>
      <c r="AD284" t="s">
        <v>40</v>
      </c>
      <c r="AE284" t="s">
        <v>165</v>
      </c>
      <c r="AF284" t="s">
        <v>3295</v>
      </c>
      <c r="AG284" t="s">
        <v>3296</v>
      </c>
      <c r="AH284">
        <v>52.5</v>
      </c>
      <c r="AI284" s="2" t="str">
        <f t="shared" si="20"/>
        <v>Independent</v>
      </c>
      <c r="AJ284" s="2" t="str">
        <f t="shared" si="21"/>
        <v>YES</v>
      </c>
      <c r="AK284" s="1" t="str">
        <f t="shared" si="22"/>
        <v>None</v>
      </c>
      <c r="AL284" s="1" t="str">
        <f t="shared" si="23"/>
        <v>1 Toilet</v>
      </c>
      <c r="AM284" s="1" t="str">
        <f t="shared" si="24"/>
        <v>NO</v>
      </c>
      <c r="AN284" s="1" t="str">
        <f>VLOOKUP(J284, 'Regions and Cities'!A:B, 2, FALSE)</f>
        <v>Kainuu</v>
      </c>
    </row>
    <row r="285" spans="1:40" x14ac:dyDescent="0.3">
      <c r="A285" t="s">
        <v>3285</v>
      </c>
      <c r="B285" t="s">
        <v>3286</v>
      </c>
      <c r="C285" t="s">
        <v>391</v>
      </c>
      <c r="D285" t="s">
        <v>3287</v>
      </c>
      <c r="E285" t="s">
        <v>3288</v>
      </c>
      <c r="F285" t="s">
        <v>3289</v>
      </c>
      <c r="H285">
        <v>104</v>
      </c>
      <c r="I285" t="s">
        <v>2001</v>
      </c>
      <c r="J285" t="s">
        <v>391</v>
      </c>
      <c r="L285" t="s">
        <v>3311</v>
      </c>
      <c r="M285" t="s">
        <v>37</v>
      </c>
      <c r="N285" t="s">
        <v>3312</v>
      </c>
      <c r="O285" t="s">
        <v>3313</v>
      </c>
      <c r="R285" t="s">
        <v>37</v>
      </c>
      <c r="S285" t="s">
        <v>37</v>
      </c>
      <c r="T285">
        <v>64.128399000000002</v>
      </c>
      <c r="U285" t="s">
        <v>3314</v>
      </c>
      <c r="V285" t="s">
        <v>3315</v>
      </c>
      <c r="W285">
        <v>29.500537000000001</v>
      </c>
      <c r="X285">
        <v>55000</v>
      </c>
      <c r="Y285" t="s">
        <v>240</v>
      </c>
      <c r="AA285" t="s">
        <v>38</v>
      </c>
      <c r="AB285" t="s">
        <v>39</v>
      </c>
      <c r="AC285" t="s">
        <v>480</v>
      </c>
      <c r="AD285" t="s">
        <v>75</v>
      </c>
      <c r="AE285" t="s">
        <v>869</v>
      </c>
      <c r="AF285" t="s">
        <v>3316</v>
      </c>
      <c r="AG285" t="s">
        <v>3317</v>
      </c>
      <c r="AH285">
        <v>104</v>
      </c>
      <c r="AI285" s="2" t="str">
        <f t="shared" si="20"/>
        <v>Independent</v>
      </c>
      <c r="AJ285" s="2" t="str">
        <f t="shared" si="21"/>
        <v>YES</v>
      </c>
      <c r="AK285" s="1" t="str">
        <f t="shared" si="22"/>
        <v>None</v>
      </c>
      <c r="AL285" s="1" t="str">
        <f t="shared" si="23"/>
        <v>1 Toilet</v>
      </c>
      <c r="AM285" s="1" t="str">
        <f t="shared" si="24"/>
        <v>NO</v>
      </c>
      <c r="AN285" s="1" t="str">
        <f>VLOOKUP(J285, 'Regions and Cities'!A:B, 2, FALSE)</f>
        <v>Kainuu</v>
      </c>
    </row>
    <row r="286" spans="1:40" x14ac:dyDescent="0.3">
      <c r="A286" t="s">
        <v>5019</v>
      </c>
      <c r="B286" t="s">
        <v>5020</v>
      </c>
      <c r="C286" t="s">
        <v>269</v>
      </c>
      <c r="D286" t="s">
        <v>5021</v>
      </c>
      <c r="E286" t="s">
        <v>5022</v>
      </c>
      <c r="F286" t="s">
        <v>5023</v>
      </c>
      <c r="G286" t="s">
        <v>5024</v>
      </c>
      <c r="H286">
        <v>335.6</v>
      </c>
      <c r="I286" t="s">
        <v>2538</v>
      </c>
      <c r="J286" t="s">
        <v>265</v>
      </c>
      <c r="K286" t="s">
        <v>270</v>
      </c>
      <c r="L286" t="s">
        <v>5025</v>
      </c>
      <c r="M286" t="s">
        <v>37</v>
      </c>
      <c r="N286" t="s">
        <v>5026</v>
      </c>
      <c r="O286" t="s">
        <v>5027</v>
      </c>
      <c r="P286" t="s">
        <v>5028</v>
      </c>
      <c r="R286" t="s">
        <v>37</v>
      </c>
      <c r="S286" t="s">
        <v>37</v>
      </c>
      <c r="T286">
        <v>65.023340000000005</v>
      </c>
      <c r="U286" t="s">
        <v>5029</v>
      </c>
      <c r="V286" t="s">
        <v>5030</v>
      </c>
      <c r="W286">
        <v>25.478870000000001</v>
      </c>
      <c r="X286">
        <v>995000</v>
      </c>
      <c r="Y286" t="s">
        <v>5031</v>
      </c>
      <c r="AA286" t="s">
        <v>63</v>
      </c>
      <c r="AB286" t="s">
        <v>39</v>
      </c>
      <c r="AC286" t="s">
        <v>5032</v>
      </c>
      <c r="AD286" t="s">
        <v>64</v>
      </c>
      <c r="AE286" t="s">
        <v>5033</v>
      </c>
      <c r="AF286" t="s">
        <v>5034</v>
      </c>
      <c r="AG286" t="s">
        <v>5035</v>
      </c>
      <c r="AH286">
        <v>389.6</v>
      </c>
      <c r="AI286" s="2" t="str">
        <f t="shared" si="20"/>
        <v>Independent</v>
      </c>
      <c r="AJ286" s="2" t="str">
        <f t="shared" si="21"/>
        <v>NO</v>
      </c>
      <c r="AK286" s="1" t="str">
        <f t="shared" si="22"/>
        <v>None</v>
      </c>
      <c r="AL286" s="1" t="str">
        <f t="shared" si="23"/>
        <v>1 Toilet</v>
      </c>
      <c r="AM286" s="1" t="str">
        <f t="shared" si="24"/>
        <v>YES</v>
      </c>
      <c r="AN286" s="1" t="str">
        <f>VLOOKUP(J286, 'Regions and Cities'!A:B, 2, FALSE)</f>
        <v>Pohjois-Pohjanmaa</v>
      </c>
    </row>
    <row r="287" spans="1:40" x14ac:dyDescent="0.3">
      <c r="A287" t="s">
        <v>8592</v>
      </c>
      <c r="B287" t="s">
        <v>8593</v>
      </c>
      <c r="C287" t="s">
        <v>8594</v>
      </c>
      <c r="D287" t="s">
        <v>8595</v>
      </c>
      <c r="E287" t="s">
        <v>8596</v>
      </c>
      <c r="H287">
        <v>215</v>
      </c>
      <c r="I287" t="s">
        <v>4956</v>
      </c>
      <c r="J287" t="s">
        <v>433</v>
      </c>
      <c r="K287" t="s">
        <v>8597</v>
      </c>
      <c r="L287" t="s">
        <v>8598</v>
      </c>
      <c r="M287" t="s">
        <v>37</v>
      </c>
      <c r="N287" t="s">
        <v>8599</v>
      </c>
      <c r="O287" t="s">
        <v>8600</v>
      </c>
      <c r="R287" t="s">
        <v>37</v>
      </c>
      <c r="S287" t="s">
        <v>37</v>
      </c>
      <c r="T287">
        <v>61.689973999999999</v>
      </c>
      <c r="U287" t="s">
        <v>8601</v>
      </c>
      <c r="V287" t="s">
        <v>8602</v>
      </c>
      <c r="W287">
        <v>23.15757</v>
      </c>
      <c r="X287">
        <v>135000</v>
      </c>
      <c r="Y287" t="s">
        <v>164</v>
      </c>
      <c r="AA287" t="s">
        <v>63</v>
      </c>
      <c r="AB287" t="s">
        <v>39</v>
      </c>
      <c r="AC287" t="s">
        <v>6510</v>
      </c>
      <c r="AD287" t="s">
        <v>55</v>
      </c>
      <c r="AE287" t="s">
        <v>8603</v>
      </c>
      <c r="AF287" t="s">
        <v>8604</v>
      </c>
      <c r="AG287" t="s">
        <v>8605</v>
      </c>
      <c r="AH287">
        <v>230</v>
      </c>
      <c r="AI287" s="2" t="str">
        <f t="shared" si="20"/>
        <v>Independent</v>
      </c>
      <c r="AJ287" s="2" t="str">
        <f t="shared" si="21"/>
        <v>YES</v>
      </c>
      <c r="AK287" s="1" t="str">
        <f t="shared" si="22"/>
        <v>None</v>
      </c>
      <c r="AL287" s="1" t="str">
        <f t="shared" si="23"/>
        <v>2 Toilets</v>
      </c>
      <c r="AM287" s="1" t="str">
        <f t="shared" si="24"/>
        <v>NO</v>
      </c>
      <c r="AN287" s="1" t="str">
        <f>VLOOKUP(J287, 'Regions and Cities'!A:B, 2, FALSE)</f>
        <v>Pirkanmaa</v>
      </c>
    </row>
    <row r="288" spans="1:40" x14ac:dyDescent="0.3">
      <c r="A288" t="s">
        <v>4552</v>
      </c>
      <c r="B288" t="s">
        <v>4553</v>
      </c>
      <c r="C288" t="s">
        <v>4554</v>
      </c>
      <c r="D288" t="s">
        <v>3300</v>
      </c>
      <c r="E288" t="s">
        <v>3301</v>
      </c>
      <c r="F288" t="s">
        <v>721</v>
      </c>
      <c r="H288">
        <v>82</v>
      </c>
      <c r="I288" t="s">
        <v>1310</v>
      </c>
      <c r="J288" t="s">
        <v>392</v>
      </c>
      <c r="K288" t="s">
        <v>4555</v>
      </c>
      <c r="L288" t="s">
        <v>4556</v>
      </c>
      <c r="M288" t="s">
        <v>37</v>
      </c>
      <c r="N288" t="s">
        <v>4557</v>
      </c>
      <c r="O288" t="s">
        <v>4558</v>
      </c>
      <c r="R288" t="s">
        <v>111</v>
      </c>
      <c r="S288" t="s">
        <v>37</v>
      </c>
      <c r="T288">
        <v>63.067501</v>
      </c>
      <c r="U288" t="s">
        <v>4559</v>
      </c>
      <c r="V288" t="s">
        <v>4560</v>
      </c>
      <c r="W288">
        <v>21.698096</v>
      </c>
      <c r="X288">
        <v>224000</v>
      </c>
      <c r="Y288" t="s">
        <v>2051</v>
      </c>
      <c r="AA288" t="s">
        <v>45</v>
      </c>
      <c r="AB288" t="s">
        <v>39</v>
      </c>
      <c r="AC288" t="s">
        <v>480</v>
      </c>
      <c r="AD288" t="s">
        <v>46</v>
      </c>
      <c r="AE288" t="s">
        <v>4561</v>
      </c>
      <c r="AF288" t="s">
        <v>4562</v>
      </c>
      <c r="AG288" t="s">
        <v>4563</v>
      </c>
      <c r="AH288">
        <v>82</v>
      </c>
      <c r="AI288" s="2" t="str">
        <f t="shared" si="20"/>
        <v>Independent</v>
      </c>
      <c r="AJ288" s="2" t="str">
        <f t="shared" si="21"/>
        <v>YES</v>
      </c>
      <c r="AK288" s="1" t="str">
        <f t="shared" si="22"/>
        <v>None</v>
      </c>
      <c r="AL288" s="1" t="str">
        <f t="shared" si="23"/>
        <v>1 Toilet</v>
      </c>
      <c r="AM288" s="1" t="str">
        <f t="shared" si="24"/>
        <v>NO</v>
      </c>
      <c r="AN288" s="1" t="str">
        <f>VLOOKUP(J288, 'Regions and Cities'!A:B, 2, FALSE)</f>
        <v>Pohjanmaa</v>
      </c>
    </row>
    <row r="289" spans="1:40" x14ac:dyDescent="0.3">
      <c r="A289" t="s">
        <v>3596</v>
      </c>
      <c r="B289" t="s">
        <v>3597</v>
      </c>
      <c r="C289" t="s">
        <v>3598</v>
      </c>
      <c r="D289" t="s">
        <v>84</v>
      </c>
      <c r="E289" t="s">
        <v>85</v>
      </c>
      <c r="F289" t="s">
        <v>79</v>
      </c>
      <c r="G289" t="s">
        <v>3599</v>
      </c>
      <c r="H289">
        <v>127</v>
      </c>
      <c r="I289" t="s">
        <v>106</v>
      </c>
      <c r="J289" t="s">
        <v>110</v>
      </c>
      <c r="K289" t="s">
        <v>3600</v>
      </c>
      <c r="L289" t="s">
        <v>3601</v>
      </c>
      <c r="M289" t="s">
        <v>37</v>
      </c>
      <c r="N289" t="s">
        <v>3602</v>
      </c>
      <c r="O289" t="s">
        <v>3603</v>
      </c>
      <c r="P289" t="s">
        <v>3604</v>
      </c>
      <c r="R289" t="s">
        <v>37</v>
      </c>
      <c r="S289" t="s">
        <v>37</v>
      </c>
      <c r="T289">
        <v>60.465636000000003</v>
      </c>
      <c r="U289" t="s">
        <v>3605</v>
      </c>
      <c r="V289" t="s">
        <v>3606</v>
      </c>
      <c r="W289">
        <v>22.239208999999999</v>
      </c>
      <c r="X289">
        <v>329000</v>
      </c>
      <c r="Y289" t="s">
        <v>112</v>
      </c>
      <c r="AA289" t="s">
        <v>45</v>
      </c>
      <c r="AB289" t="s">
        <v>39</v>
      </c>
      <c r="AC289" t="s">
        <v>480</v>
      </c>
      <c r="AD289" t="s">
        <v>55</v>
      </c>
      <c r="AE289" t="s">
        <v>3607</v>
      </c>
      <c r="AF289" t="s">
        <v>3608</v>
      </c>
      <c r="AG289" t="s">
        <v>3609</v>
      </c>
      <c r="AH289">
        <v>127</v>
      </c>
      <c r="AI289" s="2" t="str">
        <f t="shared" si="20"/>
        <v>Independent</v>
      </c>
      <c r="AJ289" s="2" t="str">
        <f t="shared" si="21"/>
        <v>YES</v>
      </c>
      <c r="AK289" s="1" t="str">
        <f t="shared" si="22"/>
        <v>None</v>
      </c>
      <c r="AL289" s="1" t="str">
        <f t="shared" si="23"/>
        <v>1 Toilet</v>
      </c>
      <c r="AM289" s="1" t="str">
        <f t="shared" si="24"/>
        <v>NO</v>
      </c>
      <c r="AN289" s="1" t="str">
        <f>VLOOKUP(J289, 'Regions and Cities'!A:B, 2, FALSE)</f>
        <v>Varsinais-Suomi</v>
      </c>
    </row>
    <row r="290" spans="1:40" x14ac:dyDescent="0.3">
      <c r="A290" t="s">
        <v>3753</v>
      </c>
      <c r="B290" t="s">
        <v>3754</v>
      </c>
      <c r="C290" t="s">
        <v>3755</v>
      </c>
      <c r="D290" t="s">
        <v>3300</v>
      </c>
      <c r="E290" t="s">
        <v>3301</v>
      </c>
      <c r="F290" t="s">
        <v>721</v>
      </c>
      <c r="H290">
        <v>39.5</v>
      </c>
      <c r="I290" t="s">
        <v>174</v>
      </c>
      <c r="J290" t="s">
        <v>392</v>
      </c>
      <c r="K290" t="s">
        <v>131</v>
      </c>
      <c r="L290" t="s">
        <v>3756</v>
      </c>
      <c r="M290" t="s">
        <v>37</v>
      </c>
      <c r="N290" t="s">
        <v>3757</v>
      </c>
      <c r="O290" t="s">
        <v>3758</v>
      </c>
      <c r="R290" t="s">
        <v>37</v>
      </c>
      <c r="S290" t="s">
        <v>37</v>
      </c>
      <c r="T290">
        <v>63.097264000000003</v>
      </c>
      <c r="U290" t="s">
        <v>3759</v>
      </c>
      <c r="V290" t="s">
        <v>3760</v>
      </c>
      <c r="W290">
        <v>21.603916999999999</v>
      </c>
      <c r="X290">
        <v>147000</v>
      </c>
      <c r="Y290" t="s">
        <v>3761</v>
      </c>
      <c r="AA290" t="s">
        <v>38</v>
      </c>
      <c r="AB290" t="s">
        <v>39</v>
      </c>
      <c r="AC290" t="s">
        <v>480</v>
      </c>
      <c r="AD290" t="s">
        <v>40</v>
      </c>
      <c r="AE290" t="s">
        <v>3762</v>
      </c>
      <c r="AF290" t="s">
        <v>3763</v>
      </c>
      <c r="AG290" t="s">
        <v>3764</v>
      </c>
      <c r="AH290">
        <v>39.5</v>
      </c>
      <c r="AI290" s="2" t="str">
        <f t="shared" si="20"/>
        <v>Kitchenette</v>
      </c>
      <c r="AJ290" s="2" t="str">
        <f t="shared" si="21"/>
        <v>NO</v>
      </c>
      <c r="AK290" s="1" t="str">
        <f t="shared" si="22"/>
        <v>None</v>
      </c>
      <c r="AL290" s="1" t="str">
        <f t="shared" si="23"/>
        <v>1 Toilet</v>
      </c>
      <c r="AM290" s="1" t="str">
        <f t="shared" si="24"/>
        <v>NO</v>
      </c>
      <c r="AN290" s="1" t="str">
        <f>VLOOKUP(J290, 'Regions and Cities'!A:B, 2, FALSE)</f>
        <v>Pohjanmaa</v>
      </c>
    </row>
    <row r="291" spans="1:40" x14ac:dyDescent="0.3">
      <c r="A291" t="s">
        <v>1517</v>
      </c>
      <c r="B291" t="s">
        <v>1518</v>
      </c>
      <c r="C291" t="s">
        <v>1519</v>
      </c>
      <c r="D291" t="s">
        <v>1520</v>
      </c>
      <c r="E291" t="s">
        <v>1521</v>
      </c>
      <c r="F291" t="s">
        <v>1493</v>
      </c>
      <c r="H291">
        <v>93</v>
      </c>
      <c r="I291" t="s">
        <v>1522</v>
      </c>
      <c r="J291" t="s">
        <v>364</v>
      </c>
      <c r="K291" t="s">
        <v>364</v>
      </c>
      <c r="L291" t="s">
        <v>1523</v>
      </c>
      <c r="M291" t="s">
        <v>37</v>
      </c>
      <c r="N291" t="s">
        <v>1524</v>
      </c>
      <c r="O291" t="s">
        <v>1525</v>
      </c>
      <c r="R291" t="s">
        <v>37</v>
      </c>
      <c r="S291" t="s">
        <v>37</v>
      </c>
      <c r="T291">
        <v>64.686385999999999</v>
      </c>
      <c r="U291" t="s">
        <v>1526</v>
      </c>
      <c r="V291" t="s">
        <v>1527</v>
      </c>
      <c r="W291">
        <v>24.479275000000001</v>
      </c>
      <c r="X291">
        <v>83000</v>
      </c>
      <c r="Y291" t="s">
        <v>1528</v>
      </c>
      <c r="AA291" t="s">
        <v>38</v>
      </c>
      <c r="AB291" t="s">
        <v>39</v>
      </c>
      <c r="AC291" t="s">
        <v>480</v>
      </c>
      <c r="AD291" t="s">
        <v>75</v>
      </c>
      <c r="AE291" t="s">
        <v>1529</v>
      </c>
      <c r="AF291" t="s">
        <v>1530</v>
      </c>
      <c r="AG291" t="s">
        <v>1531</v>
      </c>
      <c r="AH291">
        <v>93</v>
      </c>
      <c r="AI291" s="2" t="str">
        <f t="shared" si="20"/>
        <v>Independent</v>
      </c>
      <c r="AJ291" s="2" t="str">
        <f t="shared" si="21"/>
        <v>NO</v>
      </c>
      <c r="AK291" s="1" t="str">
        <f t="shared" si="22"/>
        <v>Glazed Balcony</v>
      </c>
      <c r="AL291" s="1" t="str">
        <f t="shared" si="23"/>
        <v>1 Toilet</v>
      </c>
      <c r="AM291" s="1" t="str">
        <f t="shared" si="24"/>
        <v>NO</v>
      </c>
      <c r="AN291" s="1" t="str">
        <f>VLOOKUP(J291, 'Regions and Cities'!A:B, 2, FALSE)</f>
        <v>Pohjois-Pohjanmaa</v>
      </c>
    </row>
    <row r="292" spans="1:40" x14ac:dyDescent="0.3">
      <c r="A292" t="s">
        <v>7889</v>
      </c>
      <c r="B292" t="s">
        <v>7890</v>
      </c>
      <c r="C292" t="s">
        <v>7891</v>
      </c>
      <c r="D292" t="s">
        <v>7892</v>
      </c>
      <c r="E292" t="s">
        <v>7893</v>
      </c>
      <c r="F292" t="s">
        <v>7894</v>
      </c>
      <c r="G292" t="s">
        <v>7895</v>
      </c>
      <c r="H292">
        <v>42.2</v>
      </c>
      <c r="I292" t="s">
        <v>213</v>
      </c>
      <c r="J292" t="s">
        <v>418</v>
      </c>
      <c r="K292" t="s">
        <v>7896</v>
      </c>
      <c r="L292" t="s">
        <v>7897</v>
      </c>
      <c r="M292" t="s">
        <v>37</v>
      </c>
      <c r="N292" t="s">
        <v>7898</v>
      </c>
      <c r="O292" t="s">
        <v>7899</v>
      </c>
      <c r="P292" t="s">
        <v>7900</v>
      </c>
      <c r="Q292" t="s">
        <v>7901</v>
      </c>
      <c r="R292" t="s">
        <v>37</v>
      </c>
      <c r="S292" t="s">
        <v>37</v>
      </c>
      <c r="T292">
        <v>61.060890000000001</v>
      </c>
      <c r="U292" t="s">
        <v>7902</v>
      </c>
      <c r="V292" t="s">
        <v>7903</v>
      </c>
      <c r="W292">
        <v>28.200700000000001</v>
      </c>
      <c r="X292">
        <v>94000</v>
      </c>
      <c r="Y292" t="s">
        <v>6578</v>
      </c>
      <c r="AA292" t="s">
        <v>38</v>
      </c>
      <c r="AB292" t="s">
        <v>39</v>
      </c>
      <c r="AC292" t="s">
        <v>6510</v>
      </c>
      <c r="AD292" t="s">
        <v>40</v>
      </c>
      <c r="AE292" t="s">
        <v>917</v>
      </c>
      <c r="AF292" t="s">
        <v>7904</v>
      </c>
      <c r="AG292" t="s">
        <v>7905</v>
      </c>
      <c r="AH292">
        <v>42.2</v>
      </c>
      <c r="AI292" s="2" t="str">
        <f t="shared" si="20"/>
        <v>Independent</v>
      </c>
      <c r="AJ292" s="2" t="str">
        <f t="shared" si="21"/>
        <v>NO</v>
      </c>
      <c r="AK292" s="1" t="str">
        <f t="shared" si="22"/>
        <v>None</v>
      </c>
      <c r="AL292" s="1" t="str">
        <f t="shared" si="23"/>
        <v>1 Toilet</v>
      </c>
      <c r="AM292" s="1" t="str">
        <f t="shared" si="24"/>
        <v>NO</v>
      </c>
      <c r="AN292" s="1" t="str">
        <f>VLOOKUP(J292, 'Regions and Cities'!A:B, 2, FALSE)</f>
        <v>Etelä-Karjala</v>
      </c>
    </row>
    <row r="293" spans="1:40" x14ac:dyDescent="0.3">
      <c r="A293" t="s">
        <v>6018</v>
      </c>
      <c r="B293" t="s">
        <v>6019</v>
      </c>
      <c r="C293" t="s">
        <v>363</v>
      </c>
      <c r="D293" t="s">
        <v>6020</v>
      </c>
      <c r="E293" t="s">
        <v>6021</v>
      </c>
      <c r="F293" t="s">
        <v>105</v>
      </c>
      <c r="G293" t="s">
        <v>6022</v>
      </c>
      <c r="J293" t="s">
        <v>363</v>
      </c>
      <c r="L293" t="s">
        <v>6023</v>
      </c>
      <c r="M293" t="s">
        <v>37</v>
      </c>
      <c r="N293" t="s">
        <v>6024</v>
      </c>
      <c r="O293" t="s">
        <v>6025</v>
      </c>
      <c r="P293" t="s">
        <v>6026</v>
      </c>
      <c r="Q293" t="s">
        <v>6027</v>
      </c>
      <c r="R293" t="s">
        <v>37</v>
      </c>
      <c r="S293" t="s">
        <v>37</v>
      </c>
      <c r="T293">
        <v>61.680171000000001</v>
      </c>
      <c r="U293" t="s">
        <v>6028</v>
      </c>
      <c r="V293" t="s">
        <v>6029</v>
      </c>
      <c r="W293">
        <v>24.359608000000001</v>
      </c>
      <c r="X293">
        <v>79000</v>
      </c>
      <c r="Y293" t="s">
        <v>229</v>
      </c>
      <c r="AA293" t="s">
        <v>38</v>
      </c>
      <c r="AB293" t="s">
        <v>39</v>
      </c>
      <c r="AC293" t="s">
        <v>480</v>
      </c>
      <c r="AD293">
        <v>2</v>
      </c>
      <c r="AE293" t="s">
        <v>6030</v>
      </c>
      <c r="AF293" t="s">
        <v>6031</v>
      </c>
      <c r="AG293" t="s">
        <v>6032</v>
      </c>
      <c r="AH293">
        <v>63</v>
      </c>
      <c r="AI293" s="2" t="str">
        <f t="shared" si="20"/>
        <v>Independent</v>
      </c>
      <c r="AJ293" s="2" t="str">
        <f t="shared" si="21"/>
        <v>NO</v>
      </c>
      <c r="AK293" s="1" t="str">
        <f t="shared" si="22"/>
        <v>None</v>
      </c>
      <c r="AL293" s="1" t="str">
        <f t="shared" si="23"/>
        <v>1 Toilet</v>
      </c>
      <c r="AM293" s="1" t="str">
        <f t="shared" si="24"/>
        <v>NO</v>
      </c>
      <c r="AN293" s="1" t="str">
        <f>VLOOKUP(J293, 'Regions and Cities'!A:B, 2, FALSE)</f>
        <v>Pirkanmaa</v>
      </c>
    </row>
    <row r="294" spans="1:40" x14ac:dyDescent="0.3">
      <c r="A294" t="s">
        <v>7010</v>
      </c>
      <c r="B294" t="s">
        <v>7011</v>
      </c>
      <c r="C294" t="s">
        <v>7012</v>
      </c>
      <c r="D294" t="s">
        <v>7013</v>
      </c>
      <c r="E294" t="s">
        <v>7014</v>
      </c>
      <c r="F294" t="s">
        <v>187</v>
      </c>
      <c r="H294">
        <v>75</v>
      </c>
      <c r="I294" t="s">
        <v>59</v>
      </c>
      <c r="J294" t="s">
        <v>353</v>
      </c>
      <c r="K294" t="s">
        <v>7015</v>
      </c>
      <c r="L294" t="s">
        <v>7016</v>
      </c>
      <c r="M294" t="s">
        <v>37</v>
      </c>
      <c r="N294" t="s">
        <v>7017</v>
      </c>
      <c r="O294" t="s">
        <v>7018</v>
      </c>
      <c r="R294" t="s">
        <v>37</v>
      </c>
      <c r="S294" t="s">
        <v>37</v>
      </c>
      <c r="T294">
        <v>61.91827</v>
      </c>
      <c r="U294" t="s">
        <v>7019</v>
      </c>
      <c r="V294" t="s">
        <v>7020</v>
      </c>
      <c r="W294">
        <v>25.15352</v>
      </c>
      <c r="X294">
        <v>34000</v>
      </c>
      <c r="Y294" t="s">
        <v>4649</v>
      </c>
      <c r="AA294" t="s">
        <v>38</v>
      </c>
      <c r="AB294" t="s">
        <v>39</v>
      </c>
      <c r="AC294" t="s">
        <v>7021</v>
      </c>
      <c r="AD294" t="s">
        <v>75</v>
      </c>
      <c r="AE294" t="s">
        <v>7022</v>
      </c>
      <c r="AF294" t="s">
        <v>7023</v>
      </c>
      <c r="AG294" t="s">
        <v>7024</v>
      </c>
      <c r="AH294">
        <v>75</v>
      </c>
      <c r="AI294" s="2" t="str">
        <f t="shared" si="20"/>
        <v>Independent</v>
      </c>
      <c r="AJ294" s="2" t="str">
        <f t="shared" si="21"/>
        <v>NO</v>
      </c>
      <c r="AK294" s="1" t="str">
        <f t="shared" si="22"/>
        <v>Standard Balcony</v>
      </c>
      <c r="AL294" s="1" t="str">
        <f t="shared" si="23"/>
        <v>1 Toilet</v>
      </c>
      <c r="AM294" s="1" t="str">
        <f t="shared" si="24"/>
        <v>NO</v>
      </c>
      <c r="AN294" s="1" t="str">
        <f>VLOOKUP(J294, 'Regions and Cities'!A:B, 2, FALSE)</f>
        <v>Keski-Suomi</v>
      </c>
    </row>
    <row r="295" spans="1:40" x14ac:dyDescent="0.3">
      <c r="A295" t="s">
        <v>8135</v>
      </c>
      <c r="B295" t="s">
        <v>8136</v>
      </c>
      <c r="C295" t="s">
        <v>1684</v>
      </c>
      <c r="D295" t="s">
        <v>7921</v>
      </c>
      <c r="E295" t="s">
        <v>7922</v>
      </c>
      <c r="F295" t="s">
        <v>187</v>
      </c>
      <c r="H295">
        <v>65</v>
      </c>
      <c r="I295" t="s">
        <v>1221</v>
      </c>
      <c r="J295" t="s">
        <v>361</v>
      </c>
      <c r="K295" t="s">
        <v>1689</v>
      </c>
      <c r="L295" t="s">
        <v>8137</v>
      </c>
      <c r="M295" t="s">
        <v>37</v>
      </c>
      <c r="N295" t="s">
        <v>8138</v>
      </c>
      <c r="O295" t="s">
        <v>8139</v>
      </c>
      <c r="R295" t="s">
        <v>37</v>
      </c>
      <c r="S295" t="s">
        <v>37</v>
      </c>
      <c r="T295">
        <v>62.758629999999997</v>
      </c>
      <c r="U295" t="s">
        <v>8140</v>
      </c>
      <c r="V295" t="s">
        <v>8141</v>
      </c>
      <c r="W295">
        <v>22.86232</v>
      </c>
      <c r="X295">
        <v>125000</v>
      </c>
      <c r="Y295" t="s">
        <v>6636</v>
      </c>
      <c r="AA295" t="s">
        <v>45</v>
      </c>
      <c r="AB295" t="s">
        <v>39</v>
      </c>
      <c r="AC295" t="s">
        <v>528</v>
      </c>
      <c r="AD295" t="s">
        <v>46</v>
      </c>
      <c r="AE295" t="s">
        <v>196</v>
      </c>
      <c r="AF295" t="s">
        <v>8142</v>
      </c>
      <c r="AG295" t="s">
        <v>8143</v>
      </c>
      <c r="AH295">
        <v>71</v>
      </c>
      <c r="AI295" s="2" t="str">
        <f t="shared" si="20"/>
        <v>Independent</v>
      </c>
      <c r="AJ295" s="2" t="str">
        <f t="shared" si="21"/>
        <v>YES</v>
      </c>
      <c r="AK295" s="1" t="str">
        <f t="shared" si="22"/>
        <v>None</v>
      </c>
      <c r="AL295" s="1" t="str">
        <f t="shared" si="23"/>
        <v>1 Toilet</v>
      </c>
      <c r="AM295" s="1" t="str">
        <f t="shared" si="24"/>
        <v>NO</v>
      </c>
      <c r="AN295" s="1" t="str">
        <f>VLOOKUP(J295, 'Regions and Cities'!A:B, 2, FALSE)</f>
        <v>Etelä-Pohjanmaa</v>
      </c>
    </row>
    <row r="296" spans="1:40" x14ac:dyDescent="0.3">
      <c r="A296" t="s">
        <v>7420</v>
      </c>
      <c r="B296" t="s">
        <v>7421</v>
      </c>
      <c r="C296" t="s">
        <v>7422</v>
      </c>
      <c r="D296" t="s">
        <v>1549</v>
      </c>
      <c r="E296" t="s">
        <v>1550</v>
      </c>
      <c r="F296" t="s">
        <v>1551</v>
      </c>
      <c r="J296" t="s">
        <v>366</v>
      </c>
      <c r="K296" t="s">
        <v>7423</v>
      </c>
      <c r="L296" t="s">
        <v>7424</v>
      </c>
      <c r="M296" t="s">
        <v>37</v>
      </c>
      <c r="N296" t="s">
        <v>7425</v>
      </c>
      <c r="O296" t="s">
        <v>7426</v>
      </c>
      <c r="R296" t="s">
        <v>37</v>
      </c>
      <c r="S296" t="s">
        <v>37</v>
      </c>
      <c r="T296">
        <v>63.790300000000002</v>
      </c>
      <c r="U296" t="s">
        <v>7427</v>
      </c>
      <c r="V296" t="s">
        <v>7428</v>
      </c>
      <c r="W296">
        <v>23.36525</v>
      </c>
      <c r="X296">
        <v>75000</v>
      </c>
      <c r="Y296" t="s">
        <v>108</v>
      </c>
      <c r="AA296" t="s">
        <v>63</v>
      </c>
      <c r="AB296" t="s">
        <v>39</v>
      </c>
      <c r="AC296" t="s">
        <v>6510</v>
      </c>
      <c r="AD296" t="s">
        <v>46</v>
      </c>
      <c r="AE296" t="s">
        <v>7429</v>
      </c>
      <c r="AF296" t="s">
        <v>7430</v>
      </c>
      <c r="AG296" t="s">
        <v>7431</v>
      </c>
      <c r="AH296"/>
      <c r="AI296" s="2" t="str">
        <f t="shared" si="20"/>
        <v>Kitchenette</v>
      </c>
      <c r="AJ296" s="2" t="str">
        <f t="shared" si="21"/>
        <v>YES</v>
      </c>
      <c r="AK296" s="1" t="str">
        <f t="shared" si="22"/>
        <v>None</v>
      </c>
      <c r="AL296" s="1" t="str">
        <f t="shared" si="23"/>
        <v>1 Toilet</v>
      </c>
      <c r="AM296" s="1" t="str">
        <f t="shared" si="24"/>
        <v>NO</v>
      </c>
      <c r="AN296" s="1" t="str">
        <f>VLOOKUP(J296, 'Regions and Cities'!A:B, 2, FALSE)</f>
        <v>Keski-Pohjanmaa</v>
      </c>
    </row>
    <row r="297" spans="1:40" x14ac:dyDescent="0.3">
      <c r="A297" t="s">
        <v>1563</v>
      </c>
      <c r="B297" t="s">
        <v>1564</v>
      </c>
      <c r="C297" t="s">
        <v>1565</v>
      </c>
      <c r="D297" t="s">
        <v>1566</v>
      </c>
      <c r="E297" t="s">
        <v>1567</v>
      </c>
      <c r="H297">
        <v>80</v>
      </c>
      <c r="I297" t="s">
        <v>219</v>
      </c>
      <c r="J297" t="s">
        <v>350</v>
      </c>
      <c r="K297" t="s">
        <v>1568</v>
      </c>
      <c r="L297" t="s">
        <v>1569</v>
      </c>
      <c r="M297" t="s">
        <v>37</v>
      </c>
      <c r="N297" t="s">
        <v>1570</v>
      </c>
      <c r="O297" t="s">
        <v>1571</v>
      </c>
      <c r="R297" t="s">
        <v>37</v>
      </c>
      <c r="S297" t="s">
        <v>37</v>
      </c>
      <c r="T297">
        <v>62.920259000000001</v>
      </c>
      <c r="U297" t="s">
        <v>1572</v>
      </c>
      <c r="V297" t="s">
        <v>1573</v>
      </c>
      <c r="W297">
        <v>30.275091</v>
      </c>
      <c r="X297">
        <v>23000</v>
      </c>
      <c r="Y297" t="s">
        <v>1574</v>
      </c>
      <c r="AA297" t="s">
        <v>45</v>
      </c>
      <c r="AB297" t="s">
        <v>39</v>
      </c>
      <c r="AC297" t="s">
        <v>480</v>
      </c>
      <c r="AD297" t="s">
        <v>46</v>
      </c>
      <c r="AE297" t="s">
        <v>196</v>
      </c>
      <c r="AF297" t="s">
        <v>1575</v>
      </c>
      <c r="AG297" t="s">
        <v>1576</v>
      </c>
      <c r="AH297">
        <v>80</v>
      </c>
      <c r="AI297" s="2" t="str">
        <f t="shared" si="20"/>
        <v>Independent</v>
      </c>
      <c r="AJ297" s="2" t="str">
        <f t="shared" si="21"/>
        <v>YES</v>
      </c>
      <c r="AK297" s="1" t="str">
        <f t="shared" si="22"/>
        <v>None</v>
      </c>
      <c r="AL297" s="1" t="str">
        <f t="shared" si="23"/>
        <v>1 Toilet</v>
      </c>
      <c r="AM297" s="1" t="str">
        <f t="shared" si="24"/>
        <v>NO</v>
      </c>
      <c r="AN297" s="1" t="str">
        <f>VLOOKUP(J297, 'Regions and Cities'!A:B, 2, FALSE)</f>
        <v>Pohjois-Karjala</v>
      </c>
    </row>
    <row r="298" spans="1:40" x14ac:dyDescent="0.3">
      <c r="A298" t="s">
        <v>9265</v>
      </c>
      <c r="B298" t="s">
        <v>9266</v>
      </c>
      <c r="C298" t="s">
        <v>9267</v>
      </c>
      <c r="D298" t="s">
        <v>142</v>
      </c>
      <c r="E298" t="s">
        <v>143</v>
      </c>
      <c r="F298" t="s">
        <v>144</v>
      </c>
      <c r="G298" t="s">
        <v>9268</v>
      </c>
      <c r="H298">
        <v>80</v>
      </c>
      <c r="I298" t="s">
        <v>227</v>
      </c>
      <c r="J298" t="s">
        <v>362</v>
      </c>
      <c r="K298" t="s">
        <v>9269</v>
      </c>
      <c r="L298" t="s">
        <v>9270</v>
      </c>
      <c r="M298" t="s">
        <v>37</v>
      </c>
      <c r="N298" t="s">
        <v>9271</v>
      </c>
      <c r="O298" t="s">
        <v>9272</v>
      </c>
      <c r="P298" t="s">
        <v>9273</v>
      </c>
      <c r="Q298" t="s">
        <v>9274</v>
      </c>
      <c r="R298" t="s">
        <v>37</v>
      </c>
      <c r="S298" t="s">
        <v>37</v>
      </c>
      <c r="T298">
        <v>61.523560000000003</v>
      </c>
      <c r="U298" t="s">
        <v>9275</v>
      </c>
      <c r="V298" t="s">
        <v>9276</v>
      </c>
      <c r="W298">
        <v>24.002320000000001</v>
      </c>
      <c r="X298">
        <v>179000</v>
      </c>
      <c r="Y298" t="s">
        <v>117</v>
      </c>
      <c r="AA298" t="s">
        <v>45</v>
      </c>
      <c r="AB298" t="s">
        <v>39</v>
      </c>
      <c r="AC298" t="s">
        <v>5845</v>
      </c>
      <c r="AD298" t="s">
        <v>46</v>
      </c>
      <c r="AE298" t="s">
        <v>9277</v>
      </c>
      <c r="AF298" t="s">
        <v>9278</v>
      </c>
      <c r="AG298" t="s">
        <v>9279</v>
      </c>
      <c r="AH298">
        <v>80</v>
      </c>
      <c r="AI298" s="2" t="str">
        <f t="shared" si="20"/>
        <v>Open</v>
      </c>
      <c r="AJ298" s="2" t="str">
        <f t="shared" si="21"/>
        <v>NO</v>
      </c>
      <c r="AK298" s="1" t="str">
        <f t="shared" si="22"/>
        <v>None</v>
      </c>
      <c r="AL298" s="1" t="str">
        <f t="shared" si="23"/>
        <v>1 Toilet</v>
      </c>
      <c r="AM298" s="1" t="str">
        <f t="shared" si="24"/>
        <v>YES</v>
      </c>
      <c r="AN298" s="1" t="str">
        <f>VLOOKUP(J298, 'Regions and Cities'!A:B, 2, FALSE)</f>
        <v>Pirkanmaa</v>
      </c>
    </row>
    <row r="299" spans="1:40" x14ac:dyDescent="0.3">
      <c r="A299" t="s">
        <v>8581</v>
      </c>
      <c r="B299" t="s">
        <v>8582</v>
      </c>
      <c r="C299" t="s">
        <v>8583</v>
      </c>
      <c r="D299" t="s">
        <v>8321</v>
      </c>
      <c r="E299" t="s">
        <v>8322</v>
      </c>
      <c r="H299">
        <v>84</v>
      </c>
      <c r="I299" t="s">
        <v>573</v>
      </c>
      <c r="J299" t="s">
        <v>432</v>
      </c>
      <c r="K299" t="s">
        <v>8584</v>
      </c>
      <c r="L299" t="s">
        <v>8585</v>
      </c>
      <c r="M299" t="s">
        <v>37</v>
      </c>
      <c r="N299" t="s">
        <v>8586</v>
      </c>
      <c r="O299" t="s">
        <v>8587</v>
      </c>
      <c r="R299" t="s">
        <v>37</v>
      </c>
      <c r="S299" t="s">
        <v>37</v>
      </c>
      <c r="T299">
        <v>61.345683999999999</v>
      </c>
      <c r="U299" t="s">
        <v>8588</v>
      </c>
      <c r="V299" t="s">
        <v>8589</v>
      </c>
      <c r="W299">
        <v>25.280832</v>
      </c>
      <c r="X299">
        <v>20000</v>
      </c>
      <c r="Y299" t="s">
        <v>2323</v>
      </c>
      <c r="AA299" t="s">
        <v>63</v>
      </c>
      <c r="AB299" t="s">
        <v>39</v>
      </c>
      <c r="AC299" t="s">
        <v>6510</v>
      </c>
      <c r="AD299" t="s">
        <v>46</v>
      </c>
      <c r="AE299" t="s">
        <v>2131</v>
      </c>
      <c r="AF299" t="s">
        <v>8590</v>
      </c>
      <c r="AG299" t="s">
        <v>8591</v>
      </c>
      <c r="AH299">
        <v>100</v>
      </c>
      <c r="AI299" s="2" t="str">
        <f t="shared" si="20"/>
        <v>Independent</v>
      </c>
      <c r="AJ299" s="2" t="str">
        <f t="shared" si="21"/>
        <v>NO</v>
      </c>
      <c r="AK299" s="1" t="str">
        <f t="shared" si="22"/>
        <v>None</v>
      </c>
      <c r="AL299" s="1" t="str">
        <f t="shared" si="23"/>
        <v>1 Toilet</v>
      </c>
      <c r="AM299" s="1" t="str">
        <f t="shared" si="24"/>
        <v>NO</v>
      </c>
      <c r="AN299" s="1" t="str">
        <f>VLOOKUP(J299, 'Regions and Cities'!A:B, 2, FALSE)</f>
        <v>Päijät-Häme</v>
      </c>
    </row>
    <row r="300" spans="1:40" x14ac:dyDescent="0.3">
      <c r="A300" t="s">
        <v>1714</v>
      </c>
      <c r="B300" t="s">
        <v>1715</v>
      </c>
      <c r="C300" t="s">
        <v>1716</v>
      </c>
      <c r="D300" t="s">
        <v>1717</v>
      </c>
      <c r="E300" t="s">
        <v>1718</v>
      </c>
      <c r="F300" t="s">
        <v>1719</v>
      </c>
      <c r="H300">
        <v>60</v>
      </c>
      <c r="I300" t="s">
        <v>1720</v>
      </c>
      <c r="J300" t="s">
        <v>370</v>
      </c>
      <c r="K300" t="s">
        <v>1721</v>
      </c>
      <c r="L300" t="s">
        <v>1722</v>
      </c>
      <c r="M300" t="s">
        <v>37</v>
      </c>
      <c r="N300" t="s">
        <v>1723</v>
      </c>
      <c r="O300" t="s">
        <v>1724</v>
      </c>
      <c r="R300" t="s">
        <v>37</v>
      </c>
      <c r="S300" t="s">
        <v>37</v>
      </c>
      <c r="T300">
        <v>60.397545999999998</v>
      </c>
      <c r="U300" t="s">
        <v>1725</v>
      </c>
      <c r="V300" t="s">
        <v>1726</v>
      </c>
      <c r="W300">
        <v>24.979099999999999</v>
      </c>
      <c r="X300">
        <v>20772.14</v>
      </c>
      <c r="Y300" t="s">
        <v>1727</v>
      </c>
      <c r="AA300" t="s">
        <v>45</v>
      </c>
      <c r="AB300" t="s">
        <v>39</v>
      </c>
      <c r="AC300" t="s">
        <v>480</v>
      </c>
      <c r="AD300" t="s">
        <v>40</v>
      </c>
      <c r="AE300" t="s">
        <v>1728</v>
      </c>
      <c r="AF300" t="s">
        <v>1729</v>
      </c>
      <c r="AG300" t="s">
        <v>1730</v>
      </c>
      <c r="AH300"/>
      <c r="AI300" s="2" t="str">
        <f t="shared" si="20"/>
        <v>Independent</v>
      </c>
      <c r="AJ300" s="2" t="str">
        <f t="shared" si="21"/>
        <v>YES</v>
      </c>
      <c r="AK300" s="1" t="str">
        <f t="shared" si="22"/>
        <v>None</v>
      </c>
      <c r="AL300" s="1" t="str">
        <f t="shared" si="23"/>
        <v>1 Toilet</v>
      </c>
      <c r="AM300" s="1" t="str">
        <f t="shared" si="24"/>
        <v>NO</v>
      </c>
      <c r="AN300" s="1" t="str">
        <f>VLOOKUP(J300, 'Regions and Cities'!A:B, 2, FALSE)</f>
        <v>Uusimaa</v>
      </c>
    </row>
    <row r="301" spans="1:40" x14ac:dyDescent="0.3">
      <c r="A301" t="s">
        <v>5181</v>
      </c>
      <c r="B301" t="s">
        <v>5182</v>
      </c>
      <c r="C301" t="s">
        <v>5069</v>
      </c>
      <c r="D301" t="s">
        <v>5070</v>
      </c>
      <c r="E301" t="s">
        <v>5071</v>
      </c>
      <c r="F301" t="s">
        <v>105</v>
      </c>
      <c r="H301">
        <v>47</v>
      </c>
      <c r="I301" t="s">
        <v>237</v>
      </c>
      <c r="J301" t="s">
        <v>409</v>
      </c>
      <c r="K301" t="s">
        <v>5072</v>
      </c>
      <c r="L301" t="s">
        <v>5183</v>
      </c>
      <c r="M301" t="s">
        <v>37</v>
      </c>
      <c r="N301" t="s">
        <v>5184</v>
      </c>
      <c r="O301" t="s">
        <v>5185</v>
      </c>
      <c r="R301" t="s">
        <v>37</v>
      </c>
      <c r="S301" t="s">
        <v>37</v>
      </c>
      <c r="T301">
        <v>59.975397999999998</v>
      </c>
      <c r="U301" t="s">
        <v>5186</v>
      </c>
      <c r="V301" t="s">
        <v>5187</v>
      </c>
      <c r="W301">
        <v>23.436755000000002</v>
      </c>
      <c r="X301">
        <v>149000</v>
      </c>
      <c r="Y301" t="s">
        <v>261</v>
      </c>
      <c r="AA301" t="s">
        <v>38</v>
      </c>
      <c r="AB301" t="s">
        <v>39</v>
      </c>
      <c r="AC301" t="s">
        <v>3393</v>
      </c>
      <c r="AD301" t="s">
        <v>40</v>
      </c>
      <c r="AE301" t="s">
        <v>5188</v>
      </c>
      <c r="AF301" t="s">
        <v>5189</v>
      </c>
      <c r="AG301" t="s">
        <v>5190</v>
      </c>
      <c r="AH301">
        <v>47</v>
      </c>
      <c r="AI301" s="2" t="str">
        <f t="shared" si="20"/>
        <v>Independent</v>
      </c>
      <c r="AJ301" s="2" t="str">
        <f t="shared" si="21"/>
        <v>NO</v>
      </c>
      <c r="AK301" s="1" t="str">
        <f t="shared" si="22"/>
        <v>None</v>
      </c>
      <c r="AL301" s="1" t="str">
        <f t="shared" si="23"/>
        <v>1 Toilet</v>
      </c>
      <c r="AM301" s="1" t="str">
        <f t="shared" si="24"/>
        <v>YES</v>
      </c>
      <c r="AN301" s="1" t="str">
        <f>VLOOKUP(J301, 'Regions and Cities'!A:B, 2, FALSE)</f>
        <v>Uusimaa</v>
      </c>
    </row>
    <row r="302" spans="1:40" x14ac:dyDescent="0.3">
      <c r="A302" t="s">
        <v>3545</v>
      </c>
      <c r="B302" t="s">
        <v>3546</v>
      </c>
      <c r="C302" t="s">
        <v>3547</v>
      </c>
      <c r="D302" t="s">
        <v>3548</v>
      </c>
      <c r="E302" t="s">
        <v>3549</v>
      </c>
      <c r="F302" t="s">
        <v>79</v>
      </c>
      <c r="G302" t="s">
        <v>3550</v>
      </c>
      <c r="H302">
        <v>112</v>
      </c>
      <c r="I302" t="s">
        <v>272</v>
      </c>
      <c r="J302" t="s">
        <v>36</v>
      </c>
      <c r="K302" t="s">
        <v>3551</v>
      </c>
      <c r="L302" t="s">
        <v>3552</v>
      </c>
      <c r="M302" t="s">
        <v>37</v>
      </c>
      <c r="N302" t="s">
        <v>3553</v>
      </c>
      <c r="O302" t="s">
        <v>3554</v>
      </c>
      <c r="P302" t="s">
        <v>3555</v>
      </c>
      <c r="Q302" t="s">
        <v>3556</v>
      </c>
      <c r="R302" t="s">
        <v>37</v>
      </c>
      <c r="S302" t="s">
        <v>37</v>
      </c>
      <c r="T302">
        <v>60.392434000000002</v>
      </c>
      <c r="U302" t="s">
        <v>3557</v>
      </c>
      <c r="V302" t="s">
        <v>3558</v>
      </c>
      <c r="W302">
        <v>25.600546999999999</v>
      </c>
      <c r="X302">
        <v>215000</v>
      </c>
      <c r="Y302" t="s">
        <v>3559</v>
      </c>
      <c r="AA302" t="s">
        <v>63</v>
      </c>
      <c r="AB302" t="s">
        <v>39</v>
      </c>
      <c r="AC302" t="s">
        <v>480</v>
      </c>
      <c r="AD302" t="s">
        <v>46</v>
      </c>
      <c r="AE302" t="s">
        <v>3560</v>
      </c>
      <c r="AF302" t="s">
        <v>3561</v>
      </c>
      <c r="AG302" t="s">
        <v>3562</v>
      </c>
      <c r="AH302">
        <v>130</v>
      </c>
      <c r="AI302" s="2" t="str">
        <f t="shared" si="20"/>
        <v>Independent</v>
      </c>
      <c r="AJ302" s="2" t="str">
        <f t="shared" si="21"/>
        <v>NO</v>
      </c>
      <c r="AK302" s="1" t="str">
        <f t="shared" si="22"/>
        <v>None</v>
      </c>
      <c r="AL302" s="1" t="str">
        <f t="shared" si="23"/>
        <v>1 Toilet</v>
      </c>
      <c r="AM302" s="1" t="str">
        <f t="shared" si="24"/>
        <v>YES</v>
      </c>
      <c r="AN302" s="1" t="str">
        <f>VLOOKUP(J302, 'Regions and Cities'!A:B, 2, FALSE)</f>
        <v>Uusimaa</v>
      </c>
    </row>
    <row r="303" spans="1:40" x14ac:dyDescent="0.3">
      <c r="A303" t="s">
        <v>1809</v>
      </c>
      <c r="B303" t="s">
        <v>1810</v>
      </c>
      <c r="C303" t="s">
        <v>1811</v>
      </c>
      <c r="D303" t="s">
        <v>1812</v>
      </c>
      <c r="E303" t="s">
        <v>1813</v>
      </c>
      <c r="F303" t="s">
        <v>1814</v>
      </c>
      <c r="H303">
        <v>157</v>
      </c>
      <c r="I303" t="s">
        <v>272</v>
      </c>
      <c r="J303" t="s">
        <v>130</v>
      </c>
      <c r="K303" t="s">
        <v>1815</v>
      </c>
      <c r="L303" t="s">
        <v>1816</v>
      </c>
      <c r="M303" t="s">
        <v>37</v>
      </c>
      <c r="N303" t="s">
        <v>1817</v>
      </c>
      <c r="O303" t="s">
        <v>1818</v>
      </c>
      <c r="R303" t="s">
        <v>37</v>
      </c>
      <c r="S303" t="s">
        <v>37</v>
      </c>
      <c r="T303">
        <v>62.901932000000002</v>
      </c>
      <c r="U303" t="s">
        <v>1819</v>
      </c>
      <c r="V303" t="s">
        <v>1820</v>
      </c>
      <c r="W303">
        <v>27.631098999999999</v>
      </c>
      <c r="X303">
        <v>210000</v>
      </c>
      <c r="Y303" t="s">
        <v>1821</v>
      </c>
      <c r="AA303" t="s">
        <v>45</v>
      </c>
      <c r="AB303" t="s">
        <v>39</v>
      </c>
      <c r="AC303" t="s">
        <v>480</v>
      </c>
      <c r="AD303" t="s">
        <v>64</v>
      </c>
      <c r="AE303" t="s">
        <v>1822</v>
      </c>
      <c r="AF303" t="s">
        <v>1823</v>
      </c>
      <c r="AG303" t="s">
        <v>1824</v>
      </c>
      <c r="AH303">
        <v>157</v>
      </c>
      <c r="AI303" s="2" t="str">
        <f t="shared" si="20"/>
        <v>Independent</v>
      </c>
      <c r="AJ303" s="2" t="str">
        <f t="shared" si="21"/>
        <v>YES</v>
      </c>
      <c r="AK303" s="1" t="str">
        <f t="shared" si="22"/>
        <v>None</v>
      </c>
      <c r="AL303" s="1" t="str">
        <f t="shared" si="23"/>
        <v>1 Toilet</v>
      </c>
      <c r="AM303" s="1" t="str">
        <f t="shared" si="24"/>
        <v>NO</v>
      </c>
      <c r="AN303" s="1" t="str">
        <f>VLOOKUP(J303, 'Regions and Cities'!A:B, 2, FALSE)</f>
        <v>Pohjois-Savo</v>
      </c>
    </row>
    <row r="304" spans="1:40" x14ac:dyDescent="0.3">
      <c r="A304" t="s">
        <v>9252</v>
      </c>
      <c r="B304" t="s">
        <v>9253</v>
      </c>
      <c r="C304" t="s">
        <v>9254</v>
      </c>
      <c r="D304" t="s">
        <v>9255</v>
      </c>
      <c r="E304" t="s">
        <v>9256</v>
      </c>
      <c r="F304" t="s">
        <v>79</v>
      </c>
      <c r="H304">
        <v>102.8</v>
      </c>
      <c r="I304" t="s">
        <v>190</v>
      </c>
      <c r="J304" t="s">
        <v>438</v>
      </c>
      <c r="K304" t="s">
        <v>131</v>
      </c>
      <c r="L304" t="s">
        <v>9257</v>
      </c>
      <c r="M304" t="s">
        <v>37</v>
      </c>
      <c r="N304" t="s">
        <v>9258</v>
      </c>
      <c r="O304" t="s">
        <v>9259</v>
      </c>
      <c r="R304" t="s">
        <v>37</v>
      </c>
      <c r="S304" t="s">
        <v>37</v>
      </c>
      <c r="T304">
        <v>64.459356</v>
      </c>
      <c r="U304" t="s">
        <v>9260</v>
      </c>
      <c r="V304" t="s">
        <v>9261</v>
      </c>
      <c r="W304">
        <v>24.261597999999999</v>
      </c>
      <c r="X304">
        <v>182000</v>
      </c>
      <c r="Y304" t="s">
        <v>2999</v>
      </c>
      <c r="AA304" t="s">
        <v>45</v>
      </c>
      <c r="AB304" t="s">
        <v>39</v>
      </c>
      <c r="AC304" t="s">
        <v>5621</v>
      </c>
      <c r="AD304" t="s">
        <v>75</v>
      </c>
      <c r="AE304" t="s">
        <v>9262</v>
      </c>
      <c r="AF304" t="s">
        <v>9263</v>
      </c>
      <c r="AG304" t="s">
        <v>9264</v>
      </c>
      <c r="AH304">
        <v>102.8</v>
      </c>
      <c r="AI304" s="2" t="str">
        <f t="shared" si="20"/>
        <v>Independent</v>
      </c>
      <c r="AJ304" s="2" t="str">
        <f t="shared" si="21"/>
        <v>YES</v>
      </c>
      <c r="AK304" s="1" t="str">
        <f t="shared" si="22"/>
        <v>None</v>
      </c>
      <c r="AL304" s="1" t="str">
        <f t="shared" si="23"/>
        <v>1 Toilet</v>
      </c>
      <c r="AM304" s="1" t="str">
        <f t="shared" si="24"/>
        <v>NO</v>
      </c>
      <c r="AN304" s="1" t="str">
        <f>VLOOKUP(J304, 'Regions and Cities'!A:B, 2, FALSE)</f>
        <v>Pohjois-Pohjanmaa</v>
      </c>
    </row>
    <row r="305" spans="1:40" x14ac:dyDescent="0.3">
      <c r="A305" t="s">
        <v>4448</v>
      </c>
      <c r="B305" t="s">
        <v>4449</v>
      </c>
      <c r="C305" t="s">
        <v>4450</v>
      </c>
      <c r="D305" t="s">
        <v>3679</v>
      </c>
      <c r="E305" t="s">
        <v>3680</v>
      </c>
      <c r="F305" t="s">
        <v>187</v>
      </c>
      <c r="G305" t="s">
        <v>4451</v>
      </c>
      <c r="H305">
        <v>27</v>
      </c>
      <c r="I305" t="s">
        <v>1654</v>
      </c>
      <c r="J305" t="s">
        <v>139</v>
      </c>
      <c r="K305" t="s">
        <v>4452</v>
      </c>
      <c r="L305" t="s">
        <v>4453</v>
      </c>
      <c r="M305" t="s">
        <v>37</v>
      </c>
      <c r="N305" t="s">
        <v>4454</v>
      </c>
      <c r="O305" t="s">
        <v>4455</v>
      </c>
      <c r="P305" t="s">
        <v>4456</v>
      </c>
      <c r="Q305" t="s">
        <v>4457</v>
      </c>
      <c r="R305" t="s">
        <v>37</v>
      </c>
      <c r="S305" t="s">
        <v>37</v>
      </c>
      <c r="T305">
        <v>61.47972</v>
      </c>
      <c r="U305" t="s">
        <v>4458</v>
      </c>
      <c r="V305" t="s">
        <v>4459</v>
      </c>
      <c r="W305">
        <v>23.790320000000001</v>
      </c>
      <c r="X305">
        <v>64000</v>
      </c>
      <c r="Y305" t="s">
        <v>4460</v>
      </c>
      <c r="AA305" t="s">
        <v>38</v>
      </c>
      <c r="AB305" t="s">
        <v>39</v>
      </c>
      <c r="AC305" t="s">
        <v>480</v>
      </c>
      <c r="AD305" t="s">
        <v>202</v>
      </c>
      <c r="AE305" t="s">
        <v>222</v>
      </c>
      <c r="AF305" t="s">
        <v>4461</v>
      </c>
      <c r="AG305" t="s">
        <v>4462</v>
      </c>
      <c r="AH305">
        <v>27</v>
      </c>
      <c r="AI305" s="2" t="str">
        <f t="shared" si="20"/>
        <v>Kitchenette</v>
      </c>
      <c r="AJ305" s="2" t="str">
        <f t="shared" si="21"/>
        <v>NO</v>
      </c>
      <c r="AK305" s="1" t="str">
        <f t="shared" si="22"/>
        <v>None</v>
      </c>
      <c r="AL305" s="1" t="str">
        <f t="shared" si="23"/>
        <v>1 Toilet</v>
      </c>
      <c r="AM305" s="1" t="str">
        <f t="shared" si="24"/>
        <v>NO</v>
      </c>
      <c r="AN305" s="1" t="str">
        <f>VLOOKUP(J305, 'Regions and Cities'!A:B, 2, FALSE)</f>
        <v>Pirkanmaa</v>
      </c>
    </row>
    <row r="306" spans="1:40" x14ac:dyDescent="0.3">
      <c r="A306" t="s">
        <v>5541</v>
      </c>
      <c r="B306" t="s">
        <v>5542</v>
      </c>
      <c r="C306" t="s">
        <v>4450</v>
      </c>
      <c r="D306" t="s">
        <v>5543</v>
      </c>
      <c r="E306" t="s">
        <v>5544</v>
      </c>
      <c r="F306" t="s">
        <v>5545</v>
      </c>
      <c r="H306">
        <v>66</v>
      </c>
      <c r="I306" t="s">
        <v>2538</v>
      </c>
      <c r="J306" t="s">
        <v>139</v>
      </c>
      <c r="K306" t="s">
        <v>4452</v>
      </c>
      <c r="L306" t="s">
        <v>5546</v>
      </c>
      <c r="M306" t="s">
        <v>37</v>
      </c>
      <c r="N306" t="s">
        <v>5547</v>
      </c>
      <c r="O306" t="s">
        <v>5548</v>
      </c>
      <c r="R306" t="s">
        <v>37</v>
      </c>
      <c r="S306" t="s">
        <v>37</v>
      </c>
      <c r="T306">
        <v>61.480240000000002</v>
      </c>
      <c r="U306" t="s">
        <v>5549</v>
      </c>
      <c r="V306" t="s">
        <v>5550</v>
      </c>
      <c r="W306">
        <v>23.807786</v>
      </c>
      <c r="X306">
        <v>132000</v>
      </c>
      <c r="Y306" t="s">
        <v>242</v>
      </c>
      <c r="AA306" t="s">
        <v>38</v>
      </c>
      <c r="AB306" t="s">
        <v>39</v>
      </c>
      <c r="AC306" t="s">
        <v>480</v>
      </c>
      <c r="AD306" t="s">
        <v>46</v>
      </c>
      <c r="AE306" t="s">
        <v>5551</v>
      </c>
      <c r="AF306" t="s">
        <v>5552</v>
      </c>
      <c r="AG306" t="s">
        <v>5553</v>
      </c>
      <c r="AH306">
        <v>66</v>
      </c>
      <c r="AI306" s="2" t="str">
        <f t="shared" si="20"/>
        <v>Independent</v>
      </c>
      <c r="AJ306" s="2" t="str">
        <f t="shared" si="21"/>
        <v>NO</v>
      </c>
      <c r="AK306" s="1" t="str">
        <f t="shared" si="22"/>
        <v>Standard Balcony</v>
      </c>
      <c r="AL306" s="1" t="str">
        <f t="shared" si="23"/>
        <v>1 Toilet</v>
      </c>
      <c r="AM306" s="1" t="str">
        <f t="shared" si="24"/>
        <v>NO</v>
      </c>
      <c r="AN306" s="1" t="str">
        <f>VLOOKUP(J306, 'Regions and Cities'!A:B, 2, FALSE)</f>
        <v>Pirkanmaa</v>
      </c>
    </row>
    <row r="307" spans="1:40" x14ac:dyDescent="0.3">
      <c r="A307" t="s">
        <v>9525</v>
      </c>
      <c r="B307" t="s">
        <v>9526</v>
      </c>
      <c r="C307" t="s">
        <v>9527</v>
      </c>
      <c r="D307" t="s">
        <v>9528</v>
      </c>
      <c r="E307" t="s">
        <v>9529</v>
      </c>
      <c r="F307" t="s">
        <v>58</v>
      </c>
      <c r="H307">
        <v>70</v>
      </c>
      <c r="I307" t="s">
        <v>154</v>
      </c>
      <c r="J307" t="s">
        <v>440</v>
      </c>
      <c r="K307" t="s">
        <v>9530</v>
      </c>
      <c r="L307" t="s">
        <v>9531</v>
      </c>
      <c r="M307" t="s">
        <v>37</v>
      </c>
      <c r="N307" t="s">
        <v>9532</v>
      </c>
      <c r="O307" t="s">
        <v>9533</v>
      </c>
      <c r="R307" t="s">
        <v>37</v>
      </c>
      <c r="S307" t="s">
        <v>37</v>
      </c>
      <c r="T307">
        <v>62.92407</v>
      </c>
      <c r="U307" t="s">
        <v>9534</v>
      </c>
      <c r="V307" t="s">
        <v>9535</v>
      </c>
      <c r="W307">
        <v>23.318919999999999</v>
      </c>
      <c r="X307">
        <v>115000</v>
      </c>
      <c r="Y307" t="s">
        <v>4787</v>
      </c>
      <c r="AA307" t="s">
        <v>63</v>
      </c>
      <c r="AB307" t="s">
        <v>39</v>
      </c>
      <c r="AC307" t="s">
        <v>6510</v>
      </c>
      <c r="AD307" t="s">
        <v>75</v>
      </c>
      <c r="AE307" t="s">
        <v>9536</v>
      </c>
      <c r="AF307" t="s">
        <v>9537</v>
      </c>
      <c r="AG307" t="s">
        <v>9538</v>
      </c>
      <c r="AH307">
        <v>72</v>
      </c>
      <c r="AI307" s="2" t="str">
        <f t="shared" si="20"/>
        <v>Independent</v>
      </c>
      <c r="AJ307" s="2" t="str">
        <f t="shared" si="21"/>
        <v>NO</v>
      </c>
      <c r="AK307" s="1" t="str">
        <f t="shared" si="22"/>
        <v>None</v>
      </c>
      <c r="AL307" s="1" t="str">
        <f t="shared" si="23"/>
        <v>1 Toilet</v>
      </c>
      <c r="AM307" s="1" t="str">
        <f t="shared" si="24"/>
        <v>NO</v>
      </c>
      <c r="AN307" s="1" t="str">
        <f>VLOOKUP(J307, 'Regions and Cities'!A:B, 2, FALSE)</f>
        <v>Etelä-Pohjanmaa</v>
      </c>
    </row>
    <row r="308" spans="1:40" x14ac:dyDescent="0.3">
      <c r="A308" t="s">
        <v>5990</v>
      </c>
      <c r="B308" t="s">
        <v>5991</v>
      </c>
      <c r="C308" t="s">
        <v>5992</v>
      </c>
      <c r="D308" t="s">
        <v>5811</v>
      </c>
      <c r="E308" t="s">
        <v>5812</v>
      </c>
      <c r="F308" t="s">
        <v>1948</v>
      </c>
      <c r="H308">
        <v>85</v>
      </c>
      <c r="I308" t="s">
        <v>2538</v>
      </c>
      <c r="J308" t="s">
        <v>101</v>
      </c>
      <c r="K308" t="s">
        <v>5993</v>
      </c>
      <c r="L308" t="s">
        <v>5994</v>
      </c>
      <c r="M308" t="s">
        <v>37</v>
      </c>
      <c r="N308" t="s">
        <v>5995</v>
      </c>
      <c r="O308" t="s">
        <v>5996</v>
      </c>
      <c r="R308" t="s">
        <v>37</v>
      </c>
      <c r="S308" t="s">
        <v>37</v>
      </c>
      <c r="T308">
        <v>60.958939999999998</v>
      </c>
      <c r="U308" t="s">
        <v>5997</v>
      </c>
      <c r="V308" t="s">
        <v>5998</v>
      </c>
      <c r="W308">
        <v>25.649480000000001</v>
      </c>
      <c r="X308">
        <v>58000</v>
      </c>
      <c r="Y308" t="s">
        <v>626</v>
      </c>
      <c r="AA308" t="s">
        <v>63</v>
      </c>
      <c r="AB308" t="s">
        <v>39</v>
      </c>
      <c r="AC308" t="s">
        <v>480</v>
      </c>
      <c r="AD308" t="s">
        <v>75</v>
      </c>
      <c r="AE308" t="s">
        <v>5999</v>
      </c>
      <c r="AF308" t="s">
        <v>6000</v>
      </c>
      <c r="AG308" t="s">
        <v>6001</v>
      </c>
      <c r="AH308">
        <v>85</v>
      </c>
      <c r="AI308" s="2" t="str">
        <f t="shared" si="20"/>
        <v>Independent</v>
      </c>
      <c r="AJ308" s="2" t="str">
        <f t="shared" si="21"/>
        <v>NO</v>
      </c>
      <c r="AK308" s="1" t="str">
        <f t="shared" si="22"/>
        <v>None</v>
      </c>
      <c r="AL308" s="1" t="str">
        <f t="shared" si="23"/>
        <v>1 Toilet</v>
      </c>
      <c r="AM308" s="1" t="str">
        <f t="shared" si="24"/>
        <v>YES</v>
      </c>
      <c r="AN308" s="1" t="str">
        <f>VLOOKUP(J308, 'Regions and Cities'!A:B, 2, FALSE)</f>
        <v>Päijät-Häme</v>
      </c>
    </row>
    <row r="309" spans="1:40" x14ac:dyDescent="0.3">
      <c r="A309" t="s">
        <v>5168</v>
      </c>
      <c r="B309" t="s">
        <v>5169</v>
      </c>
      <c r="C309" t="s">
        <v>5170</v>
      </c>
      <c r="D309" t="s">
        <v>4409</v>
      </c>
      <c r="E309" t="s">
        <v>4410</v>
      </c>
      <c r="F309" t="s">
        <v>105</v>
      </c>
      <c r="G309" t="s">
        <v>4411</v>
      </c>
      <c r="H309">
        <v>32.5</v>
      </c>
      <c r="I309" t="s">
        <v>286</v>
      </c>
      <c r="J309" t="s">
        <v>137</v>
      </c>
      <c r="K309" t="s">
        <v>5171</v>
      </c>
      <c r="L309" t="s">
        <v>5172</v>
      </c>
      <c r="M309" t="s">
        <v>37</v>
      </c>
      <c r="N309" t="s">
        <v>5173</v>
      </c>
      <c r="O309" t="s">
        <v>5174</v>
      </c>
      <c r="P309" t="s">
        <v>5175</v>
      </c>
      <c r="R309" t="s">
        <v>37</v>
      </c>
      <c r="S309" t="s">
        <v>37</v>
      </c>
      <c r="T309">
        <v>60.230809000000001</v>
      </c>
      <c r="U309" t="s">
        <v>5176</v>
      </c>
      <c r="V309" t="s">
        <v>5177</v>
      </c>
      <c r="W309">
        <v>24.886292999999998</v>
      </c>
      <c r="X309">
        <v>109000</v>
      </c>
      <c r="Y309" t="s">
        <v>976</v>
      </c>
      <c r="AA309" t="s">
        <v>38</v>
      </c>
      <c r="AB309" t="s">
        <v>39</v>
      </c>
      <c r="AC309" t="s">
        <v>480</v>
      </c>
      <c r="AD309" t="s">
        <v>202</v>
      </c>
      <c r="AE309" t="s">
        <v>5178</v>
      </c>
      <c r="AF309" t="s">
        <v>5179</v>
      </c>
      <c r="AG309" t="s">
        <v>5180</v>
      </c>
      <c r="AH309">
        <v>32.5</v>
      </c>
      <c r="AI309" s="2" t="str">
        <f t="shared" si="20"/>
        <v>Kitchenette</v>
      </c>
      <c r="AJ309" s="2" t="str">
        <f t="shared" si="21"/>
        <v>NO</v>
      </c>
      <c r="AK309" s="1" t="str">
        <f t="shared" si="22"/>
        <v>Glazed Balcony</v>
      </c>
      <c r="AL309" s="1" t="str">
        <f t="shared" si="23"/>
        <v>1 Toilet</v>
      </c>
      <c r="AM309" s="1" t="str">
        <f t="shared" si="24"/>
        <v>NO</v>
      </c>
      <c r="AN309" s="1" t="str">
        <f>VLOOKUP(J309, 'Regions and Cities'!A:B, 2, FALSE)</f>
        <v>Uusimaa</v>
      </c>
    </row>
    <row r="310" spans="1:40" x14ac:dyDescent="0.3">
      <c r="A310" t="s">
        <v>1682</v>
      </c>
      <c r="B310" t="s">
        <v>1683</v>
      </c>
      <c r="C310" t="s">
        <v>1684</v>
      </c>
      <c r="D310" t="s">
        <v>1685</v>
      </c>
      <c r="E310" t="s">
        <v>1686</v>
      </c>
      <c r="F310" t="s">
        <v>1687</v>
      </c>
      <c r="G310" t="s">
        <v>1688</v>
      </c>
      <c r="H310">
        <v>127.5</v>
      </c>
      <c r="I310" t="s">
        <v>51</v>
      </c>
      <c r="J310" t="s">
        <v>361</v>
      </c>
      <c r="K310" t="s">
        <v>1689</v>
      </c>
      <c r="L310" t="s">
        <v>1690</v>
      </c>
      <c r="M310" t="s">
        <v>37</v>
      </c>
      <c r="N310" t="s">
        <v>1691</v>
      </c>
      <c r="O310" t="s">
        <v>1692</v>
      </c>
      <c r="P310" t="s">
        <v>1693</v>
      </c>
      <c r="R310" t="s">
        <v>37</v>
      </c>
      <c r="S310" t="s">
        <v>37</v>
      </c>
      <c r="T310">
        <v>62.749051000000001</v>
      </c>
      <c r="U310" t="s">
        <v>1694</v>
      </c>
      <c r="V310" t="s">
        <v>1695</v>
      </c>
      <c r="W310">
        <v>22.873377000000001</v>
      </c>
      <c r="X310">
        <v>295000</v>
      </c>
      <c r="Y310" t="s">
        <v>1696</v>
      </c>
      <c r="AA310" t="s">
        <v>54</v>
      </c>
      <c r="AB310" t="s">
        <v>39</v>
      </c>
      <c r="AC310" t="s">
        <v>480</v>
      </c>
      <c r="AD310" t="s">
        <v>55</v>
      </c>
      <c r="AE310" t="s">
        <v>1697</v>
      </c>
      <c r="AF310" t="s">
        <v>1698</v>
      </c>
      <c r="AG310" t="s">
        <v>1699</v>
      </c>
      <c r="AH310"/>
      <c r="AI310" s="2" t="str">
        <f t="shared" si="20"/>
        <v>Independent</v>
      </c>
      <c r="AJ310" s="2" t="str">
        <f t="shared" si="21"/>
        <v>NO</v>
      </c>
      <c r="AK310" s="1" t="str">
        <f t="shared" si="22"/>
        <v>Glazed Balcony</v>
      </c>
      <c r="AL310" s="1" t="str">
        <f t="shared" si="23"/>
        <v>2 Toilets</v>
      </c>
      <c r="AM310" s="1" t="str">
        <f t="shared" si="24"/>
        <v>YES</v>
      </c>
      <c r="AN310" s="1" t="str">
        <f>VLOOKUP(J310, 'Regions and Cities'!A:B, 2, FALSE)</f>
        <v>Etelä-Pohjanmaa</v>
      </c>
    </row>
    <row r="311" spans="1:40" x14ac:dyDescent="0.3">
      <c r="A311" t="s">
        <v>3089</v>
      </c>
      <c r="B311" t="s">
        <v>3090</v>
      </c>
      <c r="C311" t="s">
        <v>3091</v>
      </c>
      <c r="D311" t="s">
        <v>3092</v>
      </c>
      <c r="E311" t="s">
        <v>3093</v>
      </c>
      <c r="F311" t="s">
        <v>1493</v>
      </c>
      <c r="H311">
        <v>100</v>
      </c>
      <c r="I311" t="s">
        <v>490</v>
      </c>
      <c r="J311" t="s">
        <v>389</v>
      </c>
      <c r="K311" t="s">
        <v>389</v>
      </c>
      <c r="L311" t="s">
        <v>3094</v>
      </c>
      <c r="M311" t="s">
        <v>37</v>
      </c>
      <c r="N311" t="s">
        <v>3095</v>
      </c>
      <c r="O311" t="s">
        <v>3096</v>
      </c>
      <c r="R311" t="s">
        <v>37</v>
      </c>
      <c r="S311" t="s">
        <v>37</v>
      </c>
      <c r="T311">
        <v>65.675702000000001</v>
      </c>
      <c r="U311" t="s">
        <v>3097</v>
      </c>
      <c r="V311" t="s">
        <v>3098</v>
      </c>
      <c r="W311">
        <v>25.072710000000001</v>
      </c>
      <c r="X311">
        <v>62000</v>
      </c>
      <c r="Y311" t="s">
        <v>3099</v>
      </c>
      <c r="AA311" t="s">
        <v>63</v>
      </c>
      <c r="AB311" t="s">
        <v>39</v>
      </c>
      <c r="AC311" t="s">
        <v>480</v>
      </c>
      <c r="AD311" t="s">
        <v>75</v>
      </c>
      <c r="AE311" t="s">
        <v>3100</v>
      </c>
      <c r="AF311" t="s">
        <v>3101</v>
      </c>
      <c r="AG311" t="s">
        <v>3102</v>
      </c>
      <c r="AH311">
        <v>123</v>
      </c>
      <c r="AI311" s="2" t="str">
        <f t="shared" si="20"/>
        <v>Independent</v>
      </c>
      <c r="AJ311" s="2" t="str">
        <f t="shared" si="21"/>
        <v>NO</v>
      </c>
      <c r="AK311" s="1" t="str">
        <f t="shared" si="22"/>
        <v>None</v>
      </c>
      <c r="AL311" s="1" t="str">
        <f t="shared" si="23"/>
        <v>1 Toilet</v>
      </c>
      <c r="AM311" s="1" t="str">
        <f t="shared" si="24"/>
        <v>YES</v>
      </c>
      <c r="AN311" s="1" t="str">
        <f>VLOOKUP(J311, 'Regions and Cities'!A:B, 2, FALSE)</f>
        <v>Lappi</v>
      </c>
    </row>
    <row r="312" spans="1:40" x14ac:dyDescent="0.3">
      <c r="A312" t="s">
        <v>7054</v>
      </c>
      <c r="B312" t="s">
        <v>7055</v>
      </c>
      <c r="C312" t="s">
        <v>7056</v>
      </c>
      <c r="D312" t="s">
        <v>7057</v>
      </c>
      <c r="E312" t="s">
        <v>7058</v>
      </c>
      <c r="H312">
        <v>102.7</v>
      </c>
      <c r="I312" t="s">
        <v>113</v>
      </c>
      <c r="J312" t="s">
        <v>423</v>
      </c>
      <c r="K312" t="s">
        <v>7059</v>
      </c>
      <c r="L312" t="s">
        <v>7060</v>
      </c>
      <c r="M312" t="s">
        <v>37</v>
      </c>
      <c r="N312" t="s">
        <v>7061</v>
      </c>
      <c r="O312" t="s">
        <v>7062</v>
      </c>
      <c r="R312" t="s">
        <v>37</v>
      </c>
      <c r="S312" t="s">
        <v>37</v>
      </c>
      <c r="T312">
        <v>60.914710999999997</v>
      </c>
      <c r="U312" t="s">
        <v>7063</v>
      </c>
      <c r="V312" t="s">
        <v>7064</v>
      </c>
      <c r="W312">
        <v>27.554413</v>
      </c>
      <c r="X312">
        <v>49000</v>
      </c>
      <c r="Y312" t="s">
        <v>4923</v>
      </c>
      <c r="AA312" t="s">
        <v>63</v>
      </c>
      <c r="AB312" t="s">
        <v>39</v>
      </c>
      <c r="AC312" t="s">
        <v>6510</v>
      </c>
      <c r="AD312" t="s">
        <v>75</v>
      </c>
      <c r="AE312" t="s">
        <v>7065</v>
      </c>
      <c r="AF312" t="s">
        <v>7066</v>
      </c>
      <c r="AG312" t="s">
        <v>7067</v>
      </c>
      <c r="AH312">
        <v>103.8</v>
      </c>
      <c r="AI312" s="2" t="str">
        <f t="shared" si="20"/>
        <v>Independent</v>
      </c>
      <c r="AJ312" s="2" t="str">
        <f t="shared" si="21"/>
        <v>NO</v>
      </c>
      <c r="AK312" s="1" t="str">
        <f t="shared" si="22"/>
        <v>None</v>
      </c>
      <c r="AL312" s="1" t="str">
        <f t="shared" si="23"/>
        <v>1 Toilet</v>
      </c>
      <c r="AM312" s="1" t="str">
        <f t="shared" si="24"/>
        <v>NO</v>
      </c>
      <c r="AN312" s="1" t="str">
        <f>VLOOKUP(J312, 'Regions and Cities'!A:B, 2, FALSE)</f>
        <v>Etelä-Karjala</v>
      </c>
    </row>
    <row r="313" spans="1:40" x14ac:dyDescent="0.3">
      <c r="A313" t="s">
        <v>6111</v>
      </c>
      <c r="B313" t="s">
        <v>6112</v>
      </c>
      <c r="C313" t="s">
        <v>6085</v>
      </c>
      <c r="D313" t="s">
        <v>88</v>
      </c>
      <c r="E313" t="s">
        <v>89</v>
      </c>
      <c r="F313" t="s">
        <v>79</v>
      </c>
      <c r="H313">
        <v>47.5</v>
      </c>
      <c r="I313" t="s">
        <v>237</v>
      </c>
      <c r="J313" t="s">
        <v>90</v>
      </c>
      <c r="K313" t="s">
        <v>1018</v>
      </c>
      <c r="L313" t="s">
        <v>6113</v>
      </c>
      <c r="M313" t="s">
        <v>37</v>
      </c>
      <c r="N313" t="s">
        <v>6114</v>
      </c>
      <c r="O313" t="s">
        <v>6115</v>
      </c>
      <c r="P313" t="s">
        <v>6116</v>
      </c>
      <c r="Q313" t="s">
        <v>6117</v>
      </c>
      <c r="R313" t="s">
        <v>37</v>
      </c>
      <c r="S313" t="s">
        <v>37</v>
      </c>
      <c r="T313">
        <v>63.561222999999998</v>
      </c>
      <c r="U313" t="s">
        <v>6118</v>
      </c>
      <c r="V313" t="s">
        <v>6119</v>
      </c>
      <c r="W313">
        <v>27.183094000000001</v>
      </c>
      <c r="X313">
        <v>59500</v>
      </c>
      <c r="Y313" t="s">
        <v>6120</v>
      </c>
      <c r="AA313" t="s">
        <v>38</v>
      </c>
      <c r="AB313" t="s">
        <v>39</v>
      </c>
      <c r="AC313" t="s">
        <v>868</v>
      </c>
      <c r="AD313" t="s">
        <v>40</v>
      </c>
      <c r="AE313" t="s">
        <v>209</v>
      </c>
      <c r="AF313" t="s">
        <v>6121</v>
      </c>
      <c r="AG313" t="s">
        <v>6122</v>
      </c>
      <c r="AH313">
        <v>47.5</v>
      </c>
      <c r="AI313" s="2" t="str">
        <f t="shared" si="20"/>
        <v>Independent</v>
      </c>
      <c r="AJ313" s="2" t="str">
        <f t="shared" si="21"/>
        <v>NO</v>
      </c>
      <c r="AK313" s="1" t="str">
        <f t="shared" si="22"/>
        <v>None</v>
      </c>
      <c r="AL313" s="1" t="str">
        <f t="shared" si="23"/>
        <v>1 Toilet</v>
      </c>
      <c r="AM313" s="1" t="str">
        <f t="shared" si="24"/>
        <v>NO</v>
      </c>
      <c r="AN313" s="1" t="str">
        <f>VLOOKUP(J313, 'Regions and Cities'!A:B, 2, FALSE)</f>
        <v>Pohjois-Savo</v>
      </c>
    </row>
    <row r="314" spans="1:40" x14ac:dyDescent="0.3">
      <c r="A314" t="s">
        <v>8505</v>
      </c>
      <c r="B314" t="s">
        <v>8506</v>
      </c>
      <c r="C314" t="s">
        <v>2298</v>
      </c>
      <c r="D314" t="s">
        <v>3566</v>
      </c>
      <c r="E314" t="s">
        <v>3567</v>
      </c>
      <c r="F314" t="s">
        <v>79</v>
      </c>
      <c r="G314" t="s">
        <v>3568</v>
      </c>
      <c r="H314">
        <v>39.5</v>
      </c>
      <c r="I314" t="s">
        <v>4114</v>
      </c>
      <c r="J314" t="s">
        <v>137</v>
      </c>
      <c r="K314" t="s">
        <v>2300</v>
      </c>
      <c r="L314" t="s">
        <v>8507</v>
      </c>
      <c r="M314" t="s">
        <v>37</v>
      </c>
      <c r="N314" t="s">
        <v>8508</v>
      </c>
      <c r="O314" t="s">
        <v>8509</v>
      </c>
      <c r="P314" t="s">
        <v>8510</v>
      </c>
      <c r="R314" t="s">
        <v>37</v>
      </c>
      <c r="S314" t="s">
        <v>37</v>
      </c>
      <c r="T314">
        <v>60.177491000000003</v>
      </c>
      <c r="U314" t="s">
        <v>8511</v>
      </c>
      <c r="V314" t="s">
        <v>8512</v>
      </c>
      <c r="W314">
        <v>25.05245</v>
      </c>
      <c r="X314">
        <v>127000</v>
      </c>
      <c r="Y314" t="s">
        <v>157</v>
      </c>
      <c r="AA314" t="s">
        <v>38</v>
      </c>
      <c r="AB314" t="s">
        <v>39</v>
      </c>
      <c r="AC314" t="s">
        <v>6510</v>
      </c>
      <c r="AD314" t="s">
        <v>40</v>
      </c>
      <c r="AE314" t="s">
        <v>8513</v>
      </c>
      <c r="AF314" t="s">
        <v>8514</v>
      </c>
      <c r="AG314" t="s">
        <v>8515</v>
      </c>
      <c r="AH314">
        <v>39.5</v>
      </c>
      <c r="AI314" s="2" t="str">
        <f t="shared" si="20"/>
        <v>Independent</v>
      </c>
      <c r="AJ314" s="2" t="str">
        <f t="shared" si="21"/>
        <v>NO</v>
      </c>
      <c r="AK314" s="1" t="str">
        <f t="shared" si="22"/>
        <v>Glazed Balcony</v>
      </c>
      <c r="AL314" s="1" t="str">
        <f t="shared" si="23"/>
        <v>1 Toilet</v>
      </c>
      <c r="AM314" s="1" t="str">
        <f t="shared" si="24"/>
        <v>NO</v>
      </c>
      <c r="AN314" s="1" t="str">
        <f>VLOOKUP(J314, 'Regions and Cities'!A:B, 2, FALSE)</f>
        <v>Uusimaa</v>
      </c>
    </row>
    <row r="315" spans="1:40" x14ac:dyDescent="0.3">
      <c r="A315" t="s">
        <v>6217</v>
      </c>
      <c r="B315" t="s">
        <v>6218</v>
      </c>
      <c r="C315" t="s">
        <v>6219</v>
      </c>
      <c r="D315" t="s">
        <v>178</v>
      </c>
      <c r="E315" t="s">
        <v>179</v>
      </c>
      <c r="F315" t="s">
        <v>180</v>
      </c>
      <c r="H315">
        <v>45</v>
      </c>
      <c r="I315" t="s">
        <v>2091</v>
      </c>
      <c r="J315" t="s">
        <v>340</v>
      </c>
      <c r="K315" t="s">
        <v>6220</v>
      </c>
      <c r="L315" t="s">
        <v>6221</v>
      </c>
      <c r="M315" t="s">
        <v>37</v>
      </c>
      <c r="N315" t="s">
        <v>6222</v>
      </c>
      <c r="O315" t="s">
        <v>6223</v>
      </c>
      <c r="R315" t="s">
        <v>37</v>
      </c>
      <c r="S315" t="s">
        <v>37</v>
      </c>
      <c r="T315">
        <v>60.2986</v>
      </c>
      <c r="U315" t="s">
        <v>6224</v>
      </c>
      <c r="V315" t="s">
        <v>6225</v>
      </c>
      <c r="W315">
        <v>25.3508</v>
      </c>
      <c r="X315">
        <v>26206.76</v>
      </c>
      <c r="Y315" t="s">
        <v>6226</v>
      </c>
      <c r="AA315" t="s">
        <v>38</v>
      </c>
      <c r="AB315" t="s">
        <v>39</v>
      </c>
      <c r="AC315" t="s">
        <v>480</v>
      </c>
      <c r="AD315" t="s">
        <v>40</v>
      </c>
      <c r="AE315" t="s">
        <v>145</v>
      </c>
      <c r="AF315" t="s">
        <v>6227</v>
      </c>
      <c r="AG315" t="s">
        <v>6228</v>
      </c>
      <c r="AH315"/>
      <c r="AI315" s="2" t="str">
        <f t="shared" si="20"/>
        <v>Open</v>
      </c>
      <c r="AJ315" s="2" t="str">
        <f t="shared" si="21"/>
        <v>NO</v>
      </c>
      <c r="AK315" s="1" t="str">
        <f t="shared" si="22"/>
        <v>None</v>
      </c>
      <c r="AL315" s="1" t="str">
        <f t="shared" si="23"/>
        <v>1 Toilet</v>
      </c>
      <c r="AM315" s="1" t="str">
        <f t="shared" si="24"/>
        <v>NO</v>
      </c>
      <c r="AN315" s="1" t="str">
        <f>VLOOKUP(J315, 'Regions and Cities'!A:B, 2, FALSE)</f>
        <v>Uusimaa</v>
      </c>
    </row>
    <row r="316" spans="1:40" x14ac:dyDescent="0.3">
      <c r="A316" t="s">
        <v>3433</v>
      </c>
      <c r="B316" t="s">
        <v>3434</v>
      </c>
      <c r="C316" t="s">
        <v>3435</v>
      </c>
      <c r="D316" t="s">
        <v>3436</v>
      </c>
      <c r="E316" t="s">
        <v>3437</v>
      </c>
      <c r="F316" t="s">
        <v>3438</v>
      </c>
      <c r="G316" t="s">
        <v>3439</v>
      </c>
      <c r="H316">
        <v>53.5</v>
      </c>
      <c r="I316" t="s">
        <v>252</v>
      </c>
      <c r="J316" t="s">
        <v>60</v>
      </c>
      <c r="K316" t="s">
        <v>3009</v>
      </c>
      <c r="L316" t="s">
        <v>3440</v>
      </c>
      <c r="M316" t="s">
        <v>37</v>
      </c>
      <c r="N316" t="s">
        <v>3441</v>
      </c>
      <c r="O316" t="s">
        <v>3442</v>
      </c>
      <c r="P316" t="s">
        <v>3443</v>
      </c>
      <c r="Q316" t="s">
        <v>3444</v>
      </c>
      <c r="R316" t="s">
        <v>37</v>
      </c>
      <c r="S316" t="s">
        <v>37</v>
      </c>
      <c r="T316">
        <v>60.983139999999999</v>
      </c>
      <c r="U316" t="s">
        <v>3445</v>
      </c>
      <c r="V316" t="s">
        <v>3446</v>
      </c>
      <c r="W316">
        <v>24.40765</v>
      </c>
      <c r="X316">
        <v>52500</v>
      </c>
      <c r="Y316" t="s">
        <v>3447</v>
      </c>
      <c r="AA316" t="s">
        <v>38</v>
      </c>
      <c r="AB316" t="s">
        <v>39</v>
      </c>
      <c r="AC316" t="s">
        <v>480</v>
      </c>
      <c r="AD316" t="s">
        <v>40</v>
      </c>
      <c r="AE316" t="s">
        <v>3448</v>
      </c>
      <c r="AF316" t="s">
        <v>3449</v>
      </c>
      <c r="AG316" t="s">
        <v>3450</v>
      </c>
      <c r="AH316">
        <v>53.5</v>
      </c>
      <c r="AI316" s="2" t="str">
        <f t="shared" si="20"/>
        <v>Kitchenette</v>
      </c>
      <c r="AJ316" s="2" t="str">
        <f t="shared" si="21"/>
        <v>NO</v>
      </c>
      <c r="AK316" s="1" t="str">
        <f t="shared" si="22"/>
        <v>None</v>
      </c>
      <c r="AL316" s="1" t="str">
        <f t="shared" si="23"/>
        <v>1 Toilet</v>
      </c>
      <c r="AM316" s="1" t="str">
        <f t="shared" si="24"/>
        <v>YES</v>
      </c>
      <c r="AN316" s="1" t="str">
        <f>VLOOKUP(J316, 'Regions and Cities'!A:B, 2, FALSE)</f>
        <v>Kanta-Häme</v>
      </c>
    </row>
    <row r="317" spans="1:40" x14ac:dyDescent="0.3">
      <c r="A317" t="s">
        <v>2705</v>
      </c>
      <c r="B317" t="s">
        <v>2706</v>
      </c>
      <c r="C317" t="s">
        <v>2707</v>
      </c>
      <c r="D317" t="s">
        <v>2664</v>
      </c>
      <c r="E317" t="s">
        <v>2665</v>
      </c>
      <c r="F317" t="s">
        <v>2666</v>
      </c>
      <c r="H317">
        <v>68</v>
      </c>
      <c r="I317" t="s">
        <v>1310</v>
      </c>
      <c r="J317" t="s">
        <v>137</v>
      </c>
      <c r="K317" t="s">
        <v>2708</v>
      </c>
      <c r="L317" t="s">
        <v>2709</v>
      </c>
      <c r="M317" t="s">
        <v>37</v>
      </c>
      <c r="N317" t="s">
        <v>2710</v>
      </c>
      <c r="O317" t="s">
        <v>2711</v>
      </c>
      <c r="R317" t="s">
        <v>111</v>
      </c>
      <c r="S317" t="s">
        <v>37</v>
      </c>
      <c r="T317">
        <v>60.212260000000001</v>
      </c>
      <c r="U317" t="s">
        <v>2712</v>
      </c>
      <c r="V317" t="s">
        <v>2713</v>
      </c>
      <c r="W317">
        <v>24.895389999999999</v>
      </c>
      <c r="X317">
        <v>469000</v>
      </c>
      <c r="Y317" t="s">
        <v>580</v>
      </c>
      <c r="AA317" t="s">
        <v>38</v>
      </c>
      <c r="AB317" t="s">
        <v>39</v>
      </c>
      <c r="AC317" t="s">
        <v>2673</v>
      </c>
      <c r="AD317" t="s">
        <v>40</v>
      </c>
      <c r="AE317" t="s">
        <v>151</v>
      </c>
      <c r="AF317" t="s">
        <v>2714</v>
      </c>
      <c r="AG317" t="s">
        <v>2715</v>
      </c>
      <c r="AH317"/>
      <c r="AI317" s="2" t="str">
        <f t="shared" si="20"/>
        <v>Open</v>
      </c>
      <c r="AJ317" s="2" t="str">
        <f t="shared" si="21"/>
        <v>NO</v>
      </c>
      <c r="AK317" s="1" t="str">
        <f t="shared" si="22"/>
        <v>None</v>
      </c>
      <c r="AL317" s="1" t="str">
        <f t="shared" si="23"/>
        <v>1 Toilet</v>
      </c>
      <c r="AM317" s="1" t="str">
        <f t="shared" si="24"/>
        <v>NO</v>
      </c>
      <c r="AN317" s="1" t="str">
        <f>VLOOKUP(J317, 'Regions and Cities'!A:B, 2, FALSE)</f>
        <v>Uusimaa</v>
      </c>
    </row>
    <row r="318" spans="1:40" x14ac:dyDescent="0.3">
      <c r="A318" t="s">
        <v>8440</v>
      </c>
      <c r="B318" t="s">
        <v>8441</v>
      </c>
      <c r="C318" t="s">
        <v>8442</v>
      </c>
      <c r="D318" t="s">
        <v>274</v>
      </c>
      <c r="E318" t="s">
        <v>275</v>
      </c>
      <c r="F318" t="s">
        <v>79</v>
      </c>
      <c r="G318" t="s">
        <v>276</v>
      </c>
      <c r="H318">
        <v>76.5</v>
      </c>
      <c r="I318" t="s">
        <v>286</v>
      </c>
      <c r="J318" t="s">
        <v>139</v>
      </c>
      <c r="K318" t="s">
        <v>8443</v>
      </c>
      <c r="L318" t="s">
        <v>8444</v>
      </c>
      <c r="M318" t="s">
        <v>37</v>
      </c>
      <c r="N318" t="s">
        <v>8445</v>
      </c>
      <c r="O318" t="s">
        <v>8446</v>
      </c>
      <c r="P318" t="s">
        <v>8447</v>
      </c>
      <c r="Q318" t="s">
        <v>8448</v>
      </c>
      <c r="R318" t="s">
        <v>37</v>
      </c>
      <c r="S318" t="s">
        <v>37</v>
      </c>
      <c r="T318">
        <v>61.504534999999997</v>
      </c>
      <c r="U318" t="s">
        <v>8449</v>
      </c>
      <c r="V318" t="s">
        <v>8450</v>
      </c>
      <c r="W318">
        <v>23.601419</v>
      </c>
      <c r="X318">
        <v>149000</v>
      </c>
      <c r="Y318" t="s">
        <v>261</v>
      </c>
      <c r="AA318" t="s">
        <v>45</v>
      </c>
      <c r="AB318" t="s">
        <v>39</v>
      </c>
      <c r="AC318" t="s">
        <v>6510</v>
      </c>
      <c r="AD318" t="s">
        <v>46</v>
      </c>
      <c r="AE318" t="s">
        <v>8451</v>
      </c>
      <c r="AF318" t="s">
        <v>8452</v>
      </c>
      <c r="AG318" t="s">
        <v>8453</v>
      </c>
      <c r="AH318">
        <v>76.5</v>
      </c>
      <c r="AI318" s="2" t="str">
        <f t="shared" si="20"/>
        <v>Independent</v>
      </c>
      <c r="AJ318" s="2" t="str">
        <f t="shared" si="21"/>
        <v>NO</v>
      </c>
      <c r="AK318" s="1" t="str">
        <f t="shared" si="22"/>
        <v>None</v>
      </c>
      <c r="AL318" s="1" t="str">
        <f t="shared" si="23"/>
        <v>1 Toilet</v>
      </c>
      <c r="AM318" s="1" t="str">
        <f t="shared" si="24"/>
        <v>YES</v>
      </c>
      <c r="AN318" s="1" t="str">
        <f>VLOOKUP(J318, 'Regions and Cities'!A:B, 2, FALSE)</f>
        <v>Pirkanmaa</v>
      </c>
    </row>
    <row r="319" spans="1:40" x14ac:dyDescent="0.3">
      <c r="A319" t="s">
        <v>2195</v>
      </c>
      <c r="B319" t="s">
        <v>2196</v>
      </c>
      <c r="C319" t="s">
        <v>2197</v>
      </c>
      <c r="D319" t="s">
        <v>84</v>
      </c>
      <c r="E319" t="s">
        <v>85</v>
      </c>
      <c r="F319" t="s">
        <v>79</v>
      </c>
      <c r="G319" t="s">
        <v>2198</v>
      </c>
      <c r="H319">
        <v>116</v>
      </c>
      <c r="I319" t="s">
        <v>216</v>
      </c>
      <c r="J319" t="s">
        <v>171</v>
      </c>
      <c r="K319" t="s">
        <v>2199</v>
      </c>
      <c r="L319" t="s">
        <v>2200</v>
      </c>
      <c r="M319" t="s">
        <v>37</v>
      </c>
      <c r="N319" t="s">
        <v>2201</v>
      </c>
      <c r="O319" t="s">
        <v>2202</v>
      </c>
      <c r="P319" t="s">
        <v>2203</v>
      </c>
      <c r="R319" t="s">
        <v>37</v>
      </c>
      <c r="S319" t="s">
        <v>37</v>
      </c>
      <c r="T319">
        <v>60.510201000000002</v>
      </c>
      <c r="U319" t="s">
        <v>2204</v>
      </c>
      <c r="V319" t="s">
        <v>2205</v>
      </c>
      <c r="W319">
        <v>22.466635</v>
      </c>
      <c r="X319">
        <v>175000</v>
      </c>
      <c r="Y319" t="s">
        <v>611</v>
      </c>
      <c r="AA319" t="s">
        <v>63</v>
      </c>
      <c r="AB319" t="s">
        <v>39</v>
      </c>
      <c r="AC319" t="s">
        <v>480</v>
      </c>
      <c r="AD319" t="s">
        <v>46</v>
      </c>
      <c r="AE319" t="s">
        <v>2206</v>
      </c>
      <c r="AF319" t="s">
        <v>2207</v>
      </c>
      <c r="AG319" t="s">
        <v>2208</v>
      </c>
      <c r="AH319">
        <v>149</v>
      </c>
      <c r="AI319" s="2" t="str">
        <f t="shared" si="20"/>
        <v>Independent</v>
      </c>
      <c r="AJ319" s="2" t="str">
        <f t="shared" si="21"/>
        <v>YES</v>
      </c>
      <c r="AK319" s="1" t="str">
        <f t="shared" si="22"/>
        <v>None</v>
      </c>
      <c r="AL319" s="1" t="str">
        <f t="shared" si="23"/>
        <v>1 Toilet</v>
      </c>
      <c r="AM319" s="1" t="str">
        <f t="shared" si="24"/>
        <v>YES</v>
      </c>
      <c r="AN319" s="1" t="str">
        <f>VLOOKUP(J319, 'Regions and Cities'!A:B, 2, FALSE)</f>
        <v>Varsinais-Suomi</v>
      </c>
    </row>
    <row r="320" spans="1:40" x14ac:dyDescent="0.3">
      <c r="A320" t="s">
        <v>9849</v>
      </c>
      <c r="B320" t="s">
        <v>9850</v>
      </c>
      <c r="C320" t="s">
        <v>9851</v>
      </c>
      <c r="D320" t="s">
        <v>48</v>
      </c>
      <c r="E320" t="s">
        <v>49</v>
      </c>
      <c r="F320" t="s">
        <v>50</v>
      </c>
      <c r="G320" t="s">
        <v>9852</v>
      </c>
      <c r="H320">
        <v>54</v>
      </c>
      <c r="J320" t="s">
        <v>101</v>
      </c>
      <c r="K320" t="s">
        <v>9853</v>
      </c>
      <c r="L320" t="s">
        <v>9854</v>
      </c>
      <c r="M320" t="s">
        <v>37</v>
      </c>
      <c r="N320" t="s">
        <v>9855</v>
      </c>
      <c r="O320" t="s">
        <v>9856</v>
      </c>
      <c r="P320" t="s">
        <v>9857</v>
      </c>
      <c r="Q320" t="s">
        <v>9858</v>
      </c>
      <c r="R320" t="s">
        <v>37</v>
      </c>
      <c r="S320" t="s">
        <v>37</v>
      </c>
      <c r="T320">
        <v>61.001420000000003</v>
      </c>
      <c r="U320" t="s">
        <v>9859</v>
      </c>
      <c r="V320" t="s">
        <v>9860</v>
      </c>
      <c r="W320">
        <v>25.68937</v>
      </c>
      <c r="X320">
        <v>54000</v>
      </c>
      <c r="Y320" t="s">
        <v>1912</v>
      </c>
      <c r="AA320" t="s">
        <v>38</v>
      </c>
      <c r="AB320" t="s">
        <v>39</v>
      </c>
      <c r="AC320" t="s">
        <v>6510</v>
      </c>
      <c r="AD320" t="s">
        <v>40</v>
      </c>
      <c r="AE320" t="s">
        <v>9861</v>
      </c>
      <c r="AF320" t="s">
        <v>9862</v>
      </c>
      <c r="AG320" t="s">
        <v>9863</v>
      </c>
      <c r="AH320">
        <v>54</v>
      </c>
      <c r="AI320" s="2" t="str">
        <f t="shared" si="20"/>
        <v>Independent</v>
      </c>
      <c r="AJ320" s="2" t="str">
        <f t="shared" si="21"/>
        <v>NO</v>
      </c>
      <c r="AK320" s="1" t="str">
        <f t="shared" si="22"/>
        <v>None</v>
      </c>
      <c r="AL320" s="1" t="str">
        <f t="shared" si="23"/>
        <v>1 Toilet</v>
      </c>
      <c r="AM320" s="1" t="str">
        <f t="shared" si="24"/>
        <v>NO</v>
      </c>
      <c r="AN320" s="1" t="str">
        <f>VLOOKUP(J320, 'Regions and Cities'!A:B, 2, FALSE)</f>
        <v>Päijät-Häme</v>
      </c>
    </row>
    <row r="321" spans="1:40" x14ac:dyDescent="0.3">
      <c r="A321" t="s">
        <v>2677</v>
      </c>
      <c r="B321" t="s">
        <v>2678</v>
      </c>
      <c r="C321" t="s">
        <v>2679</v>
      </c>
      <c r="D321" t="s">
        <v>2680</v>
      </c>
      <c r="E321" t="s">
        <v>2681</v>
      </c>
      <c r="F321" t="s">
        <v>2682</v>
      </c>
      <c r="H321">
        <v>111</v>
      </c>
      <c r="I321" t="s">
        <v>119</v>
      </c>
      <c r="J321" t="s">
        <v>383</v>
      </c>
      <c r="K321" t="s">
        <v>2683</v>
      </c>
      <c r="L321" t="s">
        <v>2684</v>
      </c>
      <c r="M321" t="s">
        <v>37</v>
      </c>
      <c r="N321" t="s">
        <v>2685</v>
      </c>
      <c r="O321" t="s">
        <v>2686</v>
      </c>
      <c r="R321" t="s">
        <v>37</v>
      </c>
      <c r="S321" t="s">
        <v>37</v>
      </c>
      <c r="T321">
        <v>61.217241000000001</v>
      </c>
      <c r="U321" t="s">
        <v>2687</v>
      </c>
      <c r="V321" t="s">
        <v>2688</v>
      </c>
      <c r="W321">
        <v>26.025722999999999</v>
      </c>
      <c r="X321">
        <v>118000</v>
      </c>
      <c r="Y321" t="s">
        <v>92</v>
      </c>
      <c r="AA321" t="s">
        <v>63</v>
      </c>
      <c r="AB321" t="s">
        <v>39</v>
      </c>
      <c r="AC321" t="s">
        <v>2689</v>
      </c>
      <c r="AD321" t="s">
        <v>75</v>
      </c>
      <c r="AE321" t="s">
        <v>2690</v>
      </c>
      <c r="AF321" t="s">
        <v>2691</v>
      </c>
      <c r="AG321" t="s">
        <v>2692</v>
      </c>
      <c r="AH321">
        <v>164.5</v>
      </c>
      <c r="AI321" s="2" t="str">
        <f t="shared" si="20"/>
        <v>Independent</v>
      </c>
      <c r="AJ321" s="2" t="str">
        <f t="shared" si="21"/>
        <v>NO</v>
      </c>
      <c r="AK321" s="1" t="str">
        <f t="shared" si="22"/>
        <v>None</v>
      </c>
      <c r="AL321" s="1" t="str">
        <f t="shared" si="23"/>
        <v>1 Toilet</v>
      </c>
      <c r="AM321" s="1" t="str">
        <f t="shared" si="24"/>
        <v>YES</v>
      </c>
      <c r="AN321" s="1" t="str">
        <f>VLOOKUP(J321, 'Regions and Cities'!A:B, 2, FALSE)</f>
        <v>Päijät-Häme</v>
      </c>
    </row>
    <row r="322" spans="1:40" x14ac:dyDescent="0.3">
      <c r="A322" t="s">
        <v>7025</v>
      </c>
      <c r="B322" t="s">
        <v>7026</v>
      </c>
      <c r="C322" t="s">
        <v>118</v>
      </c>
      <c r="D322" t="s">
        <v>7027</v>
      </c>
      <c r="E322" t="s">
        <v>7028</v>
      </c>
      <c r="F322" t="s">
        <v>7029</v>
      </c>
      <c r="H322">
        <v>52</v>
      </c>
      <c r="I322" t="s">
        <v>190</v>
      </c>
      <c r="J322" t="s">
        <v>116</v>
      </c>
      <c r="K322" t="s">
        <v>120</v>
      </c>
      <c r="L322" t="s">
        <v>7030</v>
      </c>
      <c r="M322" t="s">
        <v>37</v>
      </c>
      <c r="N322" t="s">
        <v>7031</v>
      </c>
      <c r="O322" t="s">
        <v>7032</v>
      </c>
      <c r="R322" t="s">
        <v>37</v>
      </c>
      <c r="S322" t="s">
        <v>37</v>
      </c>
      <c r="T322">
        <v>60.279440000000001</v>
      </c>
      <c r="U322" t="s">
        <v>7033</v>
      </c>
      <c r="V322" t="s">
        <v>7034</v>
      </c>
      <c r="W322">
        <v>24.84796</v>
      </c>
      <c r="X322">
        <v>225000</v>
      </c>
      <c r="Y322" t="s">
        <v>1647</v>
      </c>
      <c r="AA322" t="s">
        <v>38</v>
      </c>
      <c r="AB322" t="s">
        <v>39</v>
      </c>
      <c r="AC322" t="s">
        <v>6510</v>
      </c>
      <c r="AD322" t="s">
        <v>46</v>
      </c>
      <c r="AE322" t="s">
        <v>7035</v>
      </c>
      <c r="AF322" t="s">
        <v>7036</v>
      </c>
      <c r="AG322" t="s">
        <v>7037</v>
      </c>
      <c r="AH322">
        <v>52</v>
      </c>
      <c r="AI322" s="2" t="str">
        <f t="shared" ref="AI322:AI385" si="25">IF(AE322="", "no info", IF(OR(ISNUMBER(SEARCH("kt", AE322)), ISNUMBER(SEARCH("avokeittiö", AE322))), "Open", IF(ISNUMBER(SEARCH("kk", AE322)), "Kitchenette", "Independent")))</f>
        <v>Independent</v>
      </c>
      <c r="AJ322" s="2" t="str">
        <f t="shared" ref="AJ322:AJ385" si="26">IF(AE322="", "no info", IF(OR(ISNUMBER(SEARCH(" s ", AE322)), ISNUMBER(SEARCH("sauna", AE322)), ISNUMBER(SEARCH("+ s", AE322))), "YES", "NO"))</f>
        <v>NO</v>
      </c>
      <c r="AK322" s="1" t="str">
        <f t="shared" ref="AK322:AK385" si="27">IF(AE322="", "no info", IF(OR(ISNUMBER(SEARCH("las.p", AE322)), ISNUMBER(SEARCH("lasitettu", AE322))), "Glazed Balcony", IF(OR(ISNUMBER(SEARCH(" p ", AE322)), ISNUMBER(SEARCH("parveke", AE322))), "Standard Balcony", IF(OR(ISNUMBER(SEARCH("terassi", AE322)), ISNUMBER(SEARCH("kuisti", AE322))), "Terrace", "None"))))</f>
        <v>Glazed Balcony</v>
      </c>
      <c r="AL322" s="1" t="str">
        <f t="shared" ref="AL322:AL385" si="28">IF(AE322="", "no info", IF(OR(ISNUMBER(SEARCH("2wc", AE322)), ISNUMBER(SEARCH("2xwc", AE322))), "2 Toilets", "1 Toilet"))</f>
        <v>1 Toilet</v>
      </c>
      <c r="AM322" s="1" t="str">
        <f t="shared" ref="AM322:AM385" si="29">IF(AE322="", "no info", IF(OR(ISNUMBER(SEARCH("vh", AE322)), ISNUMBER(SEARCH("var", AE322))), "YES", "NO"))</f>
        <v>YES</v>
      </c>
      <c r="AN322" s="1" t="str">
        <f>VLOOKUP(J322, 'Regions and Cities'!A:B, 2, FALSE)</f>
        <v>Uusimaa</v>
      </c>
    </row>
    <row r="323" spans="1:40" x14ac:dyDescent="0.3">
      <c r="A323" t="s">
        <v>8692</v>
      </c>
      <c r="B323" t="s">
        <v>8693</v>
      </c>
      <c r="C323" t="s">
        <v>8694</v>
      </c>
      <c r="D323" t="s">
        <v>178</v>
      </c>
      <c r="E323" t="s">
        <v>179</v>
      </c>
      <c r="F323" t="s">
        <v>180</v>
      </c>
      <c r="H323">
        <v>71</v>
      </c>
      <c r="I323" t="s">
        <v>848</v>
      </c>
      <c r="J323" t="s">
        <v>73</v>
      </c>
      <c r="K323" t="s">
        <v>8695</v>
      </c>
      <c r="L323" t="s">
        <v>8696</v>
      </c>
      <c r="M323" t="s">
        <v>37</v>
      </c>
      <c r="N323" t="s">
        <v>8697</v>
      </c>
      <c r="O323" t="s">
        <v>8698</v>
      </c>
      <c r="R323" t="s">
        <v>37</v>
      </c>
      <c r="S323" t="s">
        <v>37</v>
      </c>
      <c r="T323">
        <v>62.244199999999999</v>
      </c>
      <c r="U323" t="s">
        <v>8699</v>
      </c>
      <c r="V323" t="s">
        <v>8700</v>
      </c>
      <c r="W323">
        <v>25.705400000000001</v>
      </c>
      <c r="X323">
        <v>36204.269999999997</v>
      </c>
      <c r="Y323" t="s">
        <v>8701</v>
      </c>
      <c r="AA323" t="s">
        <v>38</v>
      </c>
      <c r="AB323" t="s">
        <v>39</v>
      </c>
      <c r="AC323" t="s">
        <v>8702</v>
      </c>
      <c r="AD323" t="s">
        <v>46</v>
      </c>
      <c r="AE323" t="s">
        <v>196</v>
      </c>
      <c r="AF323" t="s">
        <v>8703</v>
      </c>
      <c r="AG323" t="s">
        <v>8704</v>
      </c>
      <c r="AH323"/>
      <c r="AI323" s="2" t="str">
        <f t="shared" si="25"/>
        <v>Independent</v>
      </c>
      <c r="AJ323" s="2" t="str">
        <f t="shared" si="26"/>
        <v>YES</v>
      </c>
      <c r="AK323" s="1" t="str">
        <f t="shared" si="27"/>
        <v>None</v>
      </c>
      <c r="AL323" s="1" t="str">
        <f t="shared" si="28"/>
        <v>1 Toilet</v>
      </c>
      <c r="AM323" s="1" t="str">
        <f t="shared" si="29"/>
        <v>NO</v>
      </c>
      <c r="AN323" s="1" t="str">
        <f>VLOOKUP(J323, 'Regions and Cities'!A:B, 2, FALSE)</f>
        <v>Keski-Suomi</v>
      </c>
    </row>
    <row r="324" spans="1:40" x14ac:dyDescent="0.3">
      <c r="A324" t="s">
        <v>920</v>
      </c>
      <c r="B324" t="s">
        <v>921</v>
      </c>
      <c r="C324" t="s">
        <v>922</v>
      </c>
      <c r="D324" t="s">
        <v>923</v>
      </c>
      <c r="E324" t="s">
        <v>924</v>
      </c>
      <c r="F324" t="s">
        <v>58</v>
      </c>
      <c r="H324">
        <v>142.1</v>
      </c>
      <c r="I324" t="s">
        <v>925</v>
      </c>
      <c r="J324" t="s">
        <v>351</v>
      </c>
      <c r="K324" t="s">
        <v>926</v>
      </c>
      <c r="L324" t="s">
        <v>927</v>
      </c>
      <c r="M324" t="s">
        <v>37</v>
      </c>
      <c r="N324" t="s">
        <v>928</v>
      </c>
      <c r="O324" t="s">
        <v>929</v>
      </c>
      <c r="R324" t="s">
        <v>37</v>
      </c>
      <c r="S324" t="s">
        <v>37</v>
      </c>
      <c r="T324">
        <v>63.813830000000003</v>
      </c>
      <c r="U324" t="s">
        <v>930</v>
      </c>
      <c r="V324" t="s">
        <v>931</v>
      </c>
      <c r="W324">
        <v>25.24774</v>
      </c>
      <c r="X324">
        <v>39000</v>
      </c>
      <c r="Y324" t="s">
        <v>122</v>
      </c>
      <c r="AA324" t="s">
        <v>63</v>
      </c>
      <c r="AB324" t="s">
        <v>39</v>
      </c>
      <c r="AC324" t="s">
        <v>480</v>
      </c>
      <c r="AD324" t="s">
        <v>46</v>
      </c>
      <c r="AE324" t="s">
        <v>932</v>
      </c>
      <c r="AF324" t="s">
        <v>933</v>
      </c>
      <c r="AG324" t="s">
        <v>934</v>
      </c>
      <c r="AH324">
        <v>142.1</v>
      </c>
      <c r="AI324" s="2" t="str">
        <f t="shared" si="25"/>
        <v>Independent</v>
      </c>
      <c r="AJ324" s="2" t="str">
        <f t="shared" si="26"/>
        <v>NO</v>
      </c>
      <c r="AK324" s="1" t="str">
        <f t="shared" si="27"/>
        <v>Terrace</v>
      </c>
      <c r="AL324" s="1" t="str">
        <f t="shared" si="28"/>
        <v>1 Toilet</v>
      </c>
      <c r="AM324" s="1" t="str">
        <f t="shared" si="29"/>
        <v>NO</v>
      </c>
      <c r="AN324" s="1" t="str">
        <f>VLOOKUP(J324, 'Regions and Cities'!A:B, 2, FALSE)</f>
        <v>Pohjois-Pohjanmaa</v>
      </c>
    </row>
    <row r="325" spans="1:40" x14ac:dyDescent="0.3">
      <c r="A325" t="s">
        <v>5485</v>
      </c>
      <c r="B325" t="s">
        <v>5486</v>
      </c>
      <c r="C325" t="s">
        <v>1595</v>
      </c>
      <c r="D325" t="s">
        <v>5487</v>
      </c>
      <c r="E325" t="s">
        <v>5488</v>
      </c>
      <c r="F325" t="s">
        <v>5489</v>
      </c>
      <c r="H325">
        <v>151</v>
      </c>
      <c r="I325" t="s">
        <v>556</v>
      </c>
      <c r="J325" t="s">
        <v>265</v>
      </c>
      <c r="K325" t="s">
        <v>1599</v>
      </c>
      <c r="L325" t="s">
        <v>5490</v>
      </c>
      <c r="M325" t="s">
        <v>37</v>
      </c>
      <c r="N325" t="s">
        <v>5491</v>
      </c>
      <c r="O325" t="s">
        <v>5492</v>
      </c>
      <c r="R325" t="s">
        <v>37</v>
      </c>
      <c r="S325" t="s">
        <v>37</v>
      </c>
      <c r="T325">
        <v>65.084344000000002</v>
      </c>
      <c r="U325" t="s">
        <v>5493</v>
      </c>
      <c r="V325" t="s">
        <v>5494</v>
      </c>
      <c r="W325">
        <v>25.415201</v>
      </c>
      <c r="X325">
        <v>235000</v>
      </c>
      <c r="Y325" t="s">
        <v>234</v>
      </c>
      <c r="AA325" t="s">
        <v>63</v>
      </c>
      <c r="AB325" t="s">
        <v>39</v>
      </c>
      <c r="AC325" t="s">
        <v>480</v>
      </c>
      <c r="AD325" t="s">
        <v>55</v>
      </c>
      <c r="AE325" t="s">
        <v>3404</v>
      </c>
      <c r="AF325" t="s">
        <v>5495</v>
      </c>
      <c r="AG325" t="s">
        <v>5496</v>
      </c>
      <c r="AH325">
        <v>197</v>
      </c>
      <c r="AI325" s="2" t="str">
        <f t="shared" si="25"/>
        <v>Independent</v>
      </c>
      <c r="AJ325" s="2" t="str">
        <f t="shared" si="26"/>
        <v>YES</v>
      </c>
      <c r="AK325" s="1" t="str">
        <f t="shared" si="27"/>
        <v>None</v>
      </c>
      <c r="AL325" s="1" t="str">
        <f t="shared" si="28"/>
        <v>1 Toilet</v>
      </c>
      <c r="AM325" s="1" t="str">
        <f t="shared" si="29"/>
        <v>NO</v>
      </c>
      <c r="AN325" s="1" t="str">
        <f>VLOOKUP(J325, 'Regions and Cities'!A:B, 2, FALSE)</f>
        <v>Pohjois-Pohjanmaa</v>
      </c>
    </row>
    <row r="326" spans="1:40" x14ac:dyDescent="0.3">
      <c r="A326" t="s">
        <v>8333</v>
      </c>
      <c r="B326" t="s">
        <v>8334</v>
      </c>
      <c r="C326" t="s">
        <v>8335</v>
      </c>
      <c r="D326" t="s">
        <v>8336</v>
      </c>
      <c r="E326" t="s">
        <v>8337</v>
      </c>
      <c r="F326" t="s">
        <v>8338</v>
      </c>
      <c r="H326">
        <v>65</v>
      </c>
      <c r="I326" t="s">
        <v>2283</v>
      </c>
      <c r="J326" t="s">
        <v>260</v>
      </c>
      <c r="K326" t="s">
        <v>8339</v>
      </c>
      <c r="L326" t="s">
        <v>8340</v>
      </c>
      <c r="M326" t="s">
        <v>37</v>
      </c>
      <c r="N326" t="s">
        <v>8341</v>
      </c>
      <c r="O326" t="s">
        <v>8342</v>
      </c>
      <c r="R326" t="s">
        <v>37</v>
      </c>
      <c r="S326" t="s">
        <v>37</v>
      </c>
      <c r="T326">
        <v>60.470390999999999</v>
      </c>
      <c r="U326" t="s">
        <v>8343</v>
      </c>
      <c r="V326" t="s">
        <v>8344</v>
      </c>
      <c r="W326">
        <v>22.185925000000001</v>
      </c>
      <c r="X326">
        <v>18051.900000000001</v>
      </c>
      <c r="Y326" t="s">
        <v>8345</v>
      </c>
      <c r="AA326" t="s">
        <v>38</v>
      </c>
      <c r="AB326" t="s">
        <v>39</v>
      </c>
      <c r="AC326" t="s">
        <v>6510</v>
      </c>
      <c r="AD326" t="s">
        <v>40</v>
      </c>
      <c r="AE326" t="s">
        <v>165</v>
      </c>
      <c r="AF326" t="s">
        <v>8346</v>
      </c>
      <c r="AG326" t="s">
        <v>8347</v>
      </c>
      <c r="AH326"/>
      <c r="AI326" s="2" t="str">
        <f t="shared" si="25"/>
        <v>Independent</v>
      </c>
      <c r="AJ326" s="2" t="str">
        <f t="shared" si="26"/>
        <v>YES</v>
      </c>
      <c r="AK326" s="1" t="str">
        <f t="shared" si="27"/>
        <v>None</v>
      </c>
      <c r="AL326" s="1" t="str">
        <f t="shared" si="28"/>
        <v>1 Toilet</v>
      </c>
      <c r="AM326" s="1" t="str">
        <f t="shared" si="29"/>
        <v>NO</v>
      </c>
      <c r="AN326" s="1" t="str">
        <f>VLOOKUP(J326, 'Regions and Cities'!A:B, 2, FALSE)</f>
        <v>Varsinais-Suomi</v>
      </c>
    </row>
    <row r="327" spans="1:40" x14ac:dyDescent="0.3">
      <c r="A327" t="s">
        <v>7659</v>
      </c>
      <c r="B327" t="s">
        <v>7660</v>
      </c>
      <c r="C327" t="s">
        <v>3666</v>
      </c>
      <c r="H327">
        <v>51</v>
      </c>
      <c r="I327" t="s">
        <v>490</v>
      </c>
      <c r="J327" t="s">
        <v>114</v>
      </c>
      <c r="K327" t="s">
        <v>131</v>
      </c>
      <c r="L327" t="s">
        <v>7661</v>
      </c>
      <c r="M327" t="s">
        <v>37</v>
      </c>
      <c r="N327" t="s">
        <v>7662</v>
      </c>
      <c r="O327" t="s">
        <v>7663</v>
      </c>
      <c r="R327" t="s">
        <v>37</v>
      </c>
      <c r="S327" t="s">
        <v>111</v>
      </c>
      <c r="T327">
        <v>60.247635000000002</v>
      </c>
      <c r="U327" t="s">
        <v>7664</v>
      </c>
      <c r="V327" t="s">
        <v>7665</v>
      </c>
      <c r="W327">
        <v>24.059170000000002</v>
      </c>
      <c r="X327">
        <v>149500</v>
      </c>
      <c r="Y327" t="s">
        <v>7325</v>
      </c>
      <c r="Z327" t="s">
        <v>7666</v>
      </c>
      <c r="AA327" t="s">
        <v>38</v>
      </c>
      <c r="AB327" t="s">
        <v>39</v>
      </c>
      <c r="AC327" t="s">
        <v>6510</v>
      </c>
      <c r="AD327" t="s">
        <v>40</v>
      </c>
      <c r="AE327" t="s">
        <v>165</v>
      </c>
      <c r="AF327" t="s">
        <v>7667</v>
      </c>
      <c r="AG327" t="s">
        <v>7668</v>
      </c>
      <c r="AH327">
        <v>51</v>
      </c>
      <c r="AI327" s="2" t="str">
        <f t="shared" si="25"/>
        <v>Independent</v>
      </c>
      <c r="AJ327" s="2" t="str">
        <f t="shared" si="26"/>
        <v>YES</v>
      </c>
      <c r="AK327" s="1" t="str">
        <f t="shared" si="27"/>
        <v>None</v>
      </c>
      <c r="AL327" s="1" t="str">
        <f t="shared" si="28"/>
        <v>1 Toilet</v>
      </c>
      <c r="AM327" s="1" t="str">
        <f t="shared" si="29"/>
        <v>NO</v>
      </c>
      <c r="AN327" s="1" t="str">
        <f>VLOOKUP(J327, 'Regions and Cities'!A:B, 2, FALSE)</f>
        <v>Uusimaa</v>
      </c>
    </row>
    <row r="328" spans="1:40" x14ac:dyDescent="0.3">
      <c r="A328" t="s">
        <v>2762</v>
      </c>
      <c r="B328" t="s">
        <v>2763</v>
      </c>
      <c r="C328" t="s">
        <v>2764</v>
      </c>
      <c r="D328" t="s">
        <v>1717</v>
      </c>
      <c r="E328" t="s">
        <v>1718</v>
      </c>
      <c r="F328" t="s">
        <v>1719</v>
      </c>
      <c r="H328">
        <v>75.5</v>
      </c>
      <c r="I328" t="s">
        <v>1310</v>
      </c>
      <c r="J328" t="s">
        <v>137</v>
      </c>
      <c r="K328" t="s">
        <v>2765</v>
      </c>
      <c r="L328" t="s">
        <v>2766</v>
      </c>
      <c r="M328" t="s">
        <v>37</v>
      </c>
      <c r="N328" t="s">
        <v>2767</v>
      </c>
      <c r="O328" t="s">
        <v>2768</v>
      </c>
      <c r="R328" t="s">
        <v>111</v>
      </c>
      <c r="S328" t="s">
        <v>37</v>
      </c>
      <c r="T328">
        <v>60.196362999999998</v>
      </c>
      <c r="U328" t="s">
        <v>2769</v>
      </c>
      <c r="V328" t="s">
        <v>2770</v>
      </c>
      <c r="W328">
        <v>25.038833</v>
      </c>
      <c r="X328">
        <v>58258.03</v>
      </c>
      <c r="Y328" t="s">
        <v>2771</v>
      </c>
      <c r="AA328" t="s">
        <v>38</v>
      </c>
      <c r="AB328" t="s">
        <v>39</v>
      </c>
      <c r="AC328" t="s">
        <v>2772</v>
      </c>
      <c r="AD328" t="s">
        <v>46</v>
      </c>
      <c r="AE328" t="s">
        <v>2773</v>
      </c>
      <c r="AF328" t="s">
        <v>2774</v>
      </c>
      <c r="AG328" t="s">
        <v>2775</v>
      </c>
      <c r="AH328"/>
      <c r="AI328" s="2" t="str">
        <f t="shared" si="25"/>
        <v>Open</v>
      </c>
      <c r="AJ328" s="2" t="str">
        <f t="shared" si="26"/>
        <v>NO</v>
      </c>
      <c r="AK328" s="1" t="str">
        <f t="shared" si="27"/>
        <v>None</v>
      </c>
      <c r="AL328" s="1" t="str">
        <f t="shared" si="28"/>
        <v>1 Toilet</v>
      </c>
      <c r="AM328" s="1" t="str">
        <f t="shared" si="29"/>
        <v>NO</v>
      </c>
      <c r="AN328" s="1" t="str">
        <f>VLOOKUP(J328, 'Regions and Cities'!A:B, 2, FALSE)</f>
        <v>Uusimaa</v>
      </c>
    </row>
    <row r="329" spans="1:40" x14ac:dyDescent="0.3">
      <c r="A329" t="s">
        <v>7395</v>
      </c>
      <c r="B329" t="s">
        <v>7396</v>
      </c>
      <c r="C329" t="s">
        <v>7397</v>
      </c>
      <c r="D329" t="s">
        <v>7398</v>
      </c>
      <c r="E329" t="s">
        <v>7399</v>
      </c>
      <c r="F329" t="s">
        <v>1493</v>
      </c>
      <c r="H329">
        <v>110</v>
      </c>
      <c r="I329" t="s">
        <v>309</v>
      </c>
      <c r="J329" t="s">
        <v>425</v>
      </c>
      <c r="K329" t="s">
        <v>7400</v>
      </c>
      <c r="L329" t="s">
        <v>7401</v>
      </c>
      <c r="M329" t="s">
        <v>37</v>
      </c>
      <c r="N329" t="s">
        <v>7402</v>
      </c>
      <c r="O329" t="s">
        <v>7403</v>
      </c>
      <c r="R329" t="s">
        <v>37</v>
      </c>
      <c r="S329" t="s">
        <v>37</v>
      </c>
      <c r="T329">
        <v>65.786975999999996</v>
      </c>
      <c r="U329" t="s">
        <v>7404</v>
      </c>
      <c r="V329" t="s">
        <v>7405</v>
      </c>
      <c r="W329">
        <v>24.436108000000001</v>
      </c>
      <c r="X329">
        <v>129000</v>
      </c>
      <c r="Y329" t="s">
        <v>177</v>
      </c>
      <c r="AA329" t="s">
        <v>63</v>
      </c>
      <c r="AB329" t="s">
        <v>39</v>
      </c>
      <c r="AC329" t="s">
        <v>6510</v>
      </c>
      <c r="AD329" t="s">
        <v>55</v>
      </c>
      <c r="AE329" t="s">
        <v>3404</v>
      </c>
      <c r="AF329" t="s">
        <v>7406</v>
      </c>
      <c r="AG329" t="s">
        <v>7407</v>
      </c>
      <c r="AH329">
        <v>110</v>
      </c>
      <c r="AI329" s="2" t="str">
        <f t="shared" si="25"/>
        <v>Independent</v>
      </c>
      <c r="AJ329" s="2" t="str">
        <f t="shared" si="26"/>
        <v>YES</v>
      </c>
      <c r="AK329" s="1" t="str">
        <f t="shared" si="27"/>
        <v>None</v>
      </c>
      <c r="AL329" s="1" t="str">
        <f t="shared" si="28"/>
        <v>1 Toilet</v>
      </c>
      <c r="AM329" s="1" t="str">
        <f t="shared" si="29"/>
        <v>NO</v>
      </c>
      <c r="AN329" s="1" t="str">
        <f>VLOOKUP(J329, 'Regions and Cities'!A:B, 2, FALSE)</f>
        <v>Lappi</v>
      </c>
    </row>
    <row r="330" spans="1:40" x14ac:dyDescent="0.3">
      <c r="A330" t="s">
        <v>2747</v>
      </c>
      <c r="B330" t="s">
        <v>2748</v>
      </c>
      <c r="C330" t="s">
        <v>2749</v>
      </c>
      <c r="D330" t="s">
        <v>2578</v>
      </c>
      <c r="E330" t="s">
        <v>2579</v>
      </c>
      <c r="F330" t="s">
        <v>2580</v>
      </c>
      <c r="G330" t="s">
        <v>2750</v>
      </c>
      <c r="H330">
        <v>112.6</v>
      </c>
      <c r="I330" t="s">
        <v>129</v>
      </c>
      <c r="J330" t="s">
        <v>384</v>
      </c>
      <c r="K330" t="s">
        <v>2751</v>
      </c>
      <c r="L330" t="s">
        <v>2752</v>
      </c>
      <c r="M330" t="s">
        <v>37</v>
      </c>
      <c r="N330" t="s">
        <v>2753</v>
      </c>
      <c r="O330" t="s">
        <v>2754</v>
      </c>
      <c r="P330" t="s">
        <v>2755</v>
      </c>
      <c r="Q330" t="s">
        <v>2756</v>
      </c>
      <c r="R330" t="s">
        <v>37</v>
      </c>
      <c r="S330" t="s">
        <v>37</v>
      </c>
      <c r="T330">
        <v>60.757860000000001</v>
      </c>
      <c r="U330" t="s">
        <v>2757</v>
      </c>
      <c r="V330" t="s">
        <v>2758</v>
      </c>
      <c r="W330">
        <v>22.427569999999999</v>
      </c>
      <c r="X330">
        <v>118000</v>
      </c>
      <c r="Y330" t="s">
        <v>92</v>
      </c>
      <c r="AA330" t="s">
        <v>63</v>
      </c>
      <c r="AB330" t="s">
        <v>39</v>
      </c>
      <c r="AC330" t="s">
        <v>480</v>
      </c>
      <c r="AD330" t="s">
        <v>75</v>
      </c>
      <c r="AE330" t="s">
        <v>2759</v>
      </c>
      <c r="AF330" t="s">
        <v>2760</v>
      </c>
      <c r="AG330" t="s">
        <v>2761</v>
      </c>
      <c r="AH330">
        <v>173.1</v>
      </c>
      <c r="AI330" s="2" t="str">
        <f t="shared" si="25"/>
        <v>Open</v>
      </c>
      <c r="AJ330" s="2" t="str">
        <f t="shared" si="26"/>
        <v>YES</v>
      </c>
      <c r="AK330" s="1" t="str">
        <f t="shared" si="27"/>
        <v>None</v>
      </c>
      <c r="AL330" s="1" t="str">
        <f t="shared" si="28"/>
        <v>2 Toilets</v>
      </c>
      <c r="AM330" s="1" t="str">
        <f t="shared" si="29"/>
        <v>NO</v>
      </c>
      <c r="AN330" s="1" t="str">
        <f>VLOOKUP(J330, 'Regions and Cities'!A:B, 2, FALSE)</f>
        <v>Varsinais-Suomi</v>
      </c>
    </row>
    <row r="331" spans="1:40" x14ac:dyDescent="0.3">
      <c r="A331" t="s">
        <v>7765</v>
      </c>
      <c r="B331" t="s">
        <v>7766</v>
      </c>
      <c r="C331" t="s">
        <v>428</v>
      </c>
      <c r="D331" t="s">
        <v>7532</v>
      </c>
      <c r="E331" t="s">
        <v>7533</v>
      </c>
      <c r="F331" t="s">
        <v>752</v>
      </c>
      <c r="H331">
        <v>70</v>
      </c>
      <c r="I331" t="s">
        <v>1654</v>
      </c>
      <c r="J331" t="s">
        <v>428</v>
      </c>
      <c r="L331" t="s">
        <v>7767</v>
      </c>
      <c r="M331" t="s">
        <v>37</v>
      </c>
      <c r="N331" t="s">
        <v>7768</v>
      </c>
      <c r="O331" t="s">
        <v>7769</v>
      </c>
      <c r="R331" t="s">
        <v>37</v>
      </c>
      <c r="S331" t="s">
        <v>37</v>
      </c>
      <c r="T331">
        <v>63.636839999999999</v>
      </c>
      <c r="U331" t="s">
        <v>7770</v>
      </c>
      <c r="V331" t="s">
        <v>7771</v>
      </c>
      <c r="W331">
        <v>25.836369999999999</v>
      </c>
      <c r="X331">
        <v>38000</v>
      </c>
      <c r="Y331" t="s">
        <v>2642</v>
      </c>
      <c r="AA331" t="s">
        <v>63</v>
      </c>
      <c r="AB331" t="s">
        <v>39</v>
      </c>
      <c r="AC331" t="s">
        <v>6510</v>
      </c>
      <c r="AD331" t="s">
        <v>46</v>
      </c>
      <c r="AE331" t="s">
        <v>7772</v>
      </c>
      <c r="AF331" t="s">
        <v>7773</v>
      </c>
      <c r="AG331" t="s">
        <v>7774</v>
      </c>
      <c r="AH331">
        <v>70</v>
      </c>
      <c r="AI331" s="2" t="str">
        <f t="shared" si="25"/>
        <v>Independent</v>
      </c>
      <c r="AJ331" s="2" t="str">
        <f t="shared" si="26"/>
        <v>YES</v>
      </c>
      <c r="AK331" s="1" t="str">
        <f t="shared" si="27"/>
        <v>None</v>
      </c>
      <c r="AL331" s="1" t="str">
        <f t="shared" si="28"/>
        <v>1 Toilet</v>
      </c>
      <c r="AM331" s="1" t="str">
        <f t="shared" si="29"/>
        <v>NO</v>
      </c>
      <c r="AN331" s="1" t="str">
        <f>VLOOKUP(J331, 'Regions and Cities'!A:B, 2, FALSE)</f>
        <v>Pohjois-Pohjanmaa</v>
      </c>
    </row>
    <row r="332" spans="1:40" x14ac:dyDescent="0.3">
      <c r="A332" t="s">
        <v>701</v>
      </c>
      <c r="B332" t="s">
        <v>702</v>
      </c>
      <c r="C332" t="s">
        <v>703</v>
      </c>
      <c r="D332" t="s">
        <v>704</v>
      </c>
      <c r="E332" t="s">
        <v>705</v>
      </c>
      <c r="H332">
        <v>100</v>
      </c>
      <c r="I332" t="s">
        <v>490</v>
      </c>
      <c r="J332" t="s">
        <v>345</v>
      </c>
      <c r="K332" t="s">
        <v>706</v>
      </c>
      <c r="L332" t="s">
        <v>707</v>
      </c>
      <c r="M332" t="s">
        <v>37</v>
      </c>
      <c r="N332" t="s">
        <v>708</v>
      </c>
      <c r="O332" t="s">
        <v>709</v>
      </c>
      <c r="R332" t="s">
        <v>37</v>
      </c>
      <c r="S332" t="s">
        <v>37</v>
      </c>
      <c r="T332">
        <v>63.153390000000002</v>
      </c>
      <c r="U332" t="s">
        <v>710</v>
      </c>
      <c r="V332" t="s">
        <v>711</v>
      </c>
      <c r="W332">
        <v>23.011735000000002</v>
      </c>
      <c r="X332">
        <v>69000</v>
      </c>
      <c r="Y332" t="s">
        <v>712</v>
      </c>
      <c r="AA332" t="s">
        <v>63</v>
      </c>
      <c r="AB332" t="s">
        <v>39</v>
      </c>
      <c r="AC332" t="s">
        <v>480</v>
      </c>
      <c r="AD332">
        <v>1</v>
      </c>
      <c r="AE332" t="s">
        <v>713</v>
      </c>
      <c r="AF332" t="s">
        <v>714</v>
      </c>
      <c r="AG332" t="s">
        <v>715</v>
      </c>
      <c r="AH332">
        <v>138</v>
      </c>
      <c r="AI332" s="2" t="str">
        <f t="shared" si="25"/>
        <v>Independent</v>
      </c>
      <c r="AJ332" s="2" t="str">
        <f t="shared" si="26"/>
        <v>NO</v>
      </c>
      <c r="AK332" s="1" t="str">
        <f t="shared" si="27"/>
        <v>None</v>
      </c>
      <c r="AL332" s="1" t="str">
        <f t="shared" si="28"/>
        <v>1 Toilet</v>
      </c>
      <c r="AM332" s="1" t="str">
        <f t="shared" si="29"/>
        <v>NO</v>
      </c>
      <c r="AN332" s="1" t="str">
        <f>VLOOKUP(J332, 'Regions and Cities'!A:B, 2, FALSE)</f>
        <v>Etelä-Pohjanmaa</v>
      </c>
    </row>
    <row r="333" spans="1:40" x14ac:dyDescent="0.3">
      <c r="A333" t="s">
        <v>9321</v>
      </c>
      <c r="B333" t="s">
        <v>9322</v>
      </c>
      <c r="C333" t="s">
        <v>9323</v>
      </c>
      <c r="D333" t="s">
        <v>9324</v>
      </c>
      <c r="E333" t="s">
        <v>9325</v>
      </c>
      <c r="F333" t="s">
        <v>58</v>
      </c>
      <c r="H333">
        <v>189</v>
      </c>
      <c r="I333" t="s">
        <v>294</v>
      </c>
      <c r="J333" t="s">
        <v>116</v>
      </c>
      <c r="K333" t="s">
        <v>9326</v>
      </c>
      <c r="L333" t="s">
        <v>9327</v>
      </c>
      <c r="M333" t="s">
        <v>37</v>
      </c>
      <c r="N333" t="s">
        <v>9328</v>
      </c>
      <c r="O333" t="s">
        <v>9329</v>
      </c>
      <c r="R333" t="s">
        <v>37</v>
      </c>
      <c r="S333" t="s">
        <v>37</v>
      </c>
      <c r="T333">
        <v>60.334299999999999</v>
      </c>
      <c r="U333" t="s">
        <v>9330</v>
      </c>
      <c r="V333" t="s">
        <v>9331</v>
      </c>
      <c r="W333">
        <v>24.766259999999999</v>
      </c>
      <c r="X333">
        <v>520000</v>
      </c>
      <c r="Y333" t="s">
        <v>9332</v>
      </c>
      <c r="AA333" t="s">
        <v>63</v>
      </c>
      <c r="AB333" t="s">
        <v>39</v>
      </c>
      <c r="AC333" t="s">
        <v>6510</v>
      </c>
      <c r="AD333" t="s">
        <v>64</v>
      </c>
      <c r="AE333" t="s">
        <v>7848</v>
      </c>
      <c r="AF333" t="s">
        <v>9333</v>
      </c>
      <c r="AG333" t="s">
        <v>9334</v>
      </c>
      <c r="AH333">
        <v>285</v>
      </c>
      <c r="AI333" s="2" t="str">
        <f t="shared" si="25"/>
        <v>Independent</v>
      </c>
      <c r="AJ333" s="2" t="str">
        <f t="shared" si="26"/>
        <v>NO</v>
      </c>
      <c r="AK333" s="1" t="str">
        <f t="shared" si="27"/>
        <v>None</v>
      </c>
      <c r="AL333" s="1" t="str">
        <f t="shared" si="28"/>
        <v>1 Toilet</v>
      </c>
      <c r="AM333" s="1" t="str">
        <f t="shared" si="29"/>
        <v>NO</v>
      </c>
      <c r="AN333" s="1" t="str">
        <f>VLOOKUP(J333, 'Regions and Cities'!A:B, 2, FALSE)</f>
        <v>Uusimaa</v>
      </c>
    </row>
    <row r="334" spans="1:40" x14ac:dyDescent="0.3">
      <c r="A334" t="s">
        <v>2397</v>
      </c>
      <c r="B334" t="s">
        <v>2398</v>
      </c>
      <c r="C334" t="s">
        <v>534</v>
      </c>
      <c r="D334" t="s">
        <v>2399</v>
      </c>
      <c r="E334" t="s">
        <v>2400</v>
      </c>
      <c r="F334" t="s">
        <v>2401</v>
      </c>
      <c r="H334">
        <v>53</v>
      </c>
      <c r="I334" t="s">
        <v>1654</v>
      </c>
      <c r="J334" t="s">
        <v>341</v>
      </c>
      <c r="K334" t="s">
        <v>131</v>
      </c>
      <c r="L334" t="s">
        <v>2402</v>
      </c>
      <c r="M334" t="s">
        <v>37</v>
      </c>
      <c r="N334" t="s">
        <v>2403</v>
      </c>
      <c r="O334" t="s">
        <v>2404</v>
      </c>
      <c r="R334" t="s">
        <v>37</v>
      </c>
      <c r="S334" t="s">
        <v>37</v>
      </c>
      <c r="T334">
        <v>61.485860000000002</v>
      </c>
      <c r="U334" t="s">
        <v>2405</v>
      </c>
      <c r="V334" t="s">
        <v>2406</v>
      </c>
      <c r="W334">
        <v>21.789090000000002</v>
      </c>
      <c r="X334">
        <v>81000</v>
      </c>
      <c r="Y334" t="s">
        <v>2407</v>
      </c>
      <c r="AA334" t="s">
        <v>38</v>
      </c>
      <c r="AB334" t="s">
        <v>39</v>
      </c>
      <c r="AC334" t="s">
        <v>480</v>
      </c>
      <c r="AD334" t="s">
        <v>40</v>
      </c>
      <c r="AE334" t="s">
        <v>2408</v>
      </c>
      <c r="AF334" t="s">
        <v>2409</v>
      </c>
      <c r="AG334" t="s">
        <v>2410</v>
      </c>
      <c r="AH334">
        <v>53</v>
      </c>
      <c r="AI334" s="2" t="str">
        <f t="shared" si="25"/>
        <v>Independent</v>
      </c>
      <c r="AJ334" s="2" t="str">
        <f t="shared" si="26"/>
        <v>NO</v>
      </c>
      <c r="AK334" s="1" t="str">
        <f t="shared" si="27"/>
        <v>Standard Balcony</v>
      </c>
      <c r="AL334" s="1" t="str">
        <f t="shared" si="28"/>
        <v>1 Toilet</v>
      </c>
      <c r="AM334" s="1" t="str">
        <f t="shared" si="29"/>
        <v>NO</v>
      </c>
      <c r="AN334" s="1" t="str">
        <f>VLOOKUP(J334, 'Regions and Cities'!A:B, 2, FALSE)</f>
        <v>Satakunta</v>
      </c>
    </row>
    <row r="335" spans="1:40" x14ac:dyDescent="0.3">
      <c r="A335" t="s">
        <v>3103</v>
      </c>
      <c r="B335" t="s">
        <v>3104</v>
      </c>
      <c r="C335" t="s">
        <v>3105</v>
      </c>
      <c r="D335" t="s">
        <v>3106</v>
      </c>
      <c r="E335" t="s">
        <v>3107</v>
      </c>
      <c r="F335" t="s">
        <v>3108</v>
      </c>
      <c r="H335">
        <v>116</v>
      </c>
      <c r="I335" t="s">
        <v>1221</v>
      </c>
      <c r="J335" t="s">
        <v>265</v>
      </c>
      <c r="K335" t="s">
        <v>3109</v>
      </c>
      <c r="L335" t="s">
        <v>3110</v>
      </c>
      <c r="M335" t="s">
        <v>37</v>
      </c>
      <c r="N335" t="s">
        <v>3111</v>
      </c>
      <c r="O335" t="s">
        <v>3112</v>
      </c>
      <c r="R335" t="s">
        <v>37</v>
      </c>
      <c r="S335" t="s">
        <v>37</v>
      </c>
      <c r="T335">
        <v>65.189564000000004</v>
      </c>
      <c r="U335" t="s">
        <v>3113</v>
      </c>
      <c r="V335" t="s">
        <v>3114</v>
      </c>
      <c r="W335">
        <v>25.320982999999998</v>
      </c>
      <c r="X335">
        <v>126000</v>
      </c>
      <c r="Y335" t="s">
        <v>3115</v>
      </c>
      <c r="AA335" t="s">
        <v>63</v>
      </c>
      <c r="AB335" t="s">
        <v>39</v>
      </c>
      <c r="AC335" t="s">
        <v>480</v>
      </c>
      <c r="AD335" t="s">
        <v>75</v>
      </c>
      <c r="AE335" t="s">
        <v>3116</v>
      </c>
      <c r="AF335" t="s">
        <v>3117</v>
      </c>
      <c r="AG335" t="s">
        <v>3118</v>
      </c>
      <c r="AH335">
        <v>116</v>
      </c>
      <c r="AI335" s="2" t="str">
        <f t="shared" si="25"/>
        <v>Independent</v>
      </c>
      <c r="AJ335" s="2" t="str">
        <f t="shared" si="26"/>
        <v>NO</v>
      </c>
      <c r="AK335" s="1" t="str">
        <f t="shared" si="27"/>
        <v>None</v>
      </c>
      <c r="AL335" s="1" t="str">
        <f t="shared" si="28"/>
        <v>1 Toilet</v>
      </c>
      <c r="AM335" s="1" t="str">
        <f t="shared" si="29"/>
        <v>NO</v>
      </c>
      <c r="AN335" s="1" t="str">
        <f>VLOOKUP(J335, 'Regions and Cities'!A:B, 2, FALSE)</f>
        <v>Pohjois-Pohjanmaa</v>
      </c>
    </row>
    <row r="336" spans="1:40" x14ac:dyDescent="0.3">
      <c r="A336" t="s">
        <v>1216</v>
      </c>
      <c r="B336" t="s">
        <v>1217</v>
      </c>
      <c r="C336" t="s">
        <v>1218</v>
      </c>
      <c r="D336" t="s">
        <v>1219</v>
      </c>
      <c r="E336" t="s">
        <v>1220</v>
      </c>
      <c r="H336">
        <v>165</v>
      </c>
      <c r="I336" t="s">
        <v>1221</v>
      </c>
      <c r="J336" t="s">
        <v>42</v>
      </c>
      <c r="K336" t="s">
        <v>1222</v>
      </c>
      <c r="L336" t="s">
        <v>1223</v>
      </c>
      <c r="M336" t="s">
        <v>37</v>
      </c>
      <c r="N336" t="s">
        <v>1224</v>
      </c>
      <c r="O336" t="s">
        <v>1225</v>
      </c>
      <c r="R336" t="s">
        <v>37</v>
      </c>
      <c r="S336" t="s">
        <v>37</v>
      </c>
      <c r="T336">
        <v>60.105849999999997</v>
      </c>
      <c r="U336" t="s">
        <v>1226</v>
      </c>
      <c r="V336" t="s">
        <v>1227</v>
      </c>
      <c r="W336">
        <v>24.27449</v>
      </c>
      <c r="X336">
        <v>339000</v>
      </c>
      <c r="Y336" t="s">
        <v>1228</v>
      </c>
      <c r="AA336" t="s">
        <v>63</v>
      </c>
      <c r="AB336" t="s">
        <v>39</v>
      </c>
      <c r="AC336" t="s">
        <v>480</v>
      </c>
      <c r="AD336" t="s">
        <v>64</v>
      </c>
      <c r="AE336" t="s">
        <v>1229</v>
      </c>
      <c r="AF336" t="s">
        <v>1230</v>
      </c>
      <c r="AG336" t="s">
        <v>1231</v>
      </c>
      <c r="AH336">
        <v>185</v>
      </c>
      <c r="AI336" s="2" t="str">
        <f t="shared" si="25"/>
        <v>Independent</v>
      </c>
      <c r="AJ336" s="2" t="str">
        <f t="shared" si="26"/>
        <v>NO</v>
      </c>
      <c r="AK336" s="1" t="str">
        <f t="shared" si="27"/>
        <v>Standard Balcony</v>
      </c>
      <c r="AL336" s="1" t="str">
        <f t="shared" si="28"/>
        <v>1 Toilet</v>
      </c>
      <c r="AM336" s="1" t="str">
        <f t="shared" si="29"/>
        <v>YES</v>
      </c>
      <c r="AN336" s="1" t="str">
        <f>VLOOKUP(J336, 'Regions and Cities'!A:B, 2, FALSE)</f>
        <v>Uusimaa</v>
      </c>
    </row>
    <row r="337" spans="1:40" x14ac:dyDescent="0.3">
      <c r="A337" t="s">
        <v>8404</v>
      </c>
      <c r="B337" t="s">
        <v>8405</v>
      </c>
      <c r="C337" t="s">
        <v>8406</v>
      </c>
      <c r="D337" t="s">
        <v>535</v>
      </c>
      <c r="E337" t="s">
        <v>536</v>
      </c>
      <c r="F337" t="s">
        <v>79</v>
      </c>
      <c r="G337" t="s">
        <v>4794</v>
      </c>
      <c r="H337">
        <v>244</v>
      </c>
      <c r="I337" t="s">
        <v>2283</v>
      </c>
      <c r="J337" t="s">
        <v>375</v>
      </c>
      <c r="K337" t="s">
        <v>8407</v>
      </c>
      <c r="L337" t="s">
        <v>8408</v>
      </c>
      <c r="M337" t="s">
        <v>37</v>
      </c>
      <c r="N337" t="s">
        <v>8409</v>
      </c>
      <c r="O337" t="s">
        <v>8410</v>
      </c>
      <c r="P337" t="s">
        <v>8411</v>
      </c>
      <c r="Q337" t="s">
        <v>8412</v>
      </c>
      <c r="R337" t="s">
        <v>37</v>
      </c>
      <c r="S337" t="s">
        <v>37</v>
      </c>
      <c r="T337">
        <v>61.414268999999997</v>
      </c>
      <c r="U337" t="s">
        <v>8413</v>
      </c>
      <c r="V337" t="s">
        <v>8414</v>
      </c>
      <c r="W337">
        <v>21.839559999999999</v>
      </c>
      <c r="X337">
        <v>245000</v>
      </c>
      <c r="Y337" t="s">
        <v>1661</v>
      </c>
      <c r="AA337" t="s">
        <v>63</v>
      </c>
      <c r="AB337" t="s">
        <v>39</v>
      </c>
      <c r="AC337" t="s">
        <v>6510</v>
      </c>
      <c r="AD337" t="s">
        <v>64</v>
      </c>
      <c r="AE337" t="s">
        <v>8415</v>
      </c>
      <c r="AF337" t="s">
        <v>8416</v>
      </c>
      <c r="AG337" t="s">
        <v>8417</v>
      </c>
      <c r="AH337">
        <v>380</v>
      </c>
      <c r="AI337" s="2" t="str">
        <f t="shared" si="25"/>
        <v>Independent</v>
      </c>
      <c r="AJ337" s="2" t="str">
        <f t="shared" si="26"/>
        <v>YES</v>
      </c>
      <c r="AK337" s="1" t="str">
        <f t="shared" si="27"/>
        <v>None</v>
      </c>
      <c r="AL337" s="1" t="str">
        <f t="shared" si="28"/>
        <v>1 Toilet</v>
      </c>
      <c r="AM337" s="1" t="str">
        <f t="shared" si="29"/>
        <v>YES</v>
      </c>
      <c r="AN337" s="1" t="str">
        <f>VLOOKUP(J337, 'Regions and Cities'!A:B, 2, FALSE)</f>
        <v>Satakunta</v>
      </c>
    </row>
    <row r="338" spans="1:40" x14ac:dyDescent="0.3">
      <c r="A338" t="s">
        <v>3147</v>
      </c>
      <c r="B338" t="s">
        <v>3148</v>
      </c>
      <c r="C338" t="s">
        <v>3149</v>
      </c>
      <c r="D338" t="s">
        <v>3150</v>
      </c>
      <c r="E338" t="s">
        <v>3151</v>
      </c>
      <c r="F338" t="s">
        <v>105</v>
      </c>
      <c r="G338" t="s">
        <v>3152</v>
      </c>
      <c r="H338">
        <v>235</v>
      </c>
      <c r="I338" t="s">
        <v>1670</v>
      </c>
      <c r="J338" t="s">
        <v>114</v>
      </c>
      <c r="K338" t="s">
        <v>3153</v>
      </c>
      <c r="L338" t="s">
        <v>3154</v>
      </c>
      <c r="M338" t="s">
        <v>37</v>
      </c>
      <c r="N338" t="s">
        <v>3155</v>
      </c>
      <c r="O338" t="s">
        <v>3156</v>
      </c>
      <c r="P338" t="s">
        <v>3157</v>
      </c>
      <c r="R338" t="s">
        <v>37</v>
      </c>
      <c r="S338" t="s">
        <v>37</v>
      </c>
      <c r="T338">
        <v>60.308028</v>
      </c>
      <c r="U338" t="s">
        <v>3158</v>
      </c>
      <c r="V338" t="s">
        <v>3159</v>
      </c>
      <c r="W338">
        <v>24.157039999999999</v>
      </c>
      <c r="X338">
        <v>395000</v>
      </c>
      <c r="Y338" t="s">
        <v>3160</v>
      </c>
      <c r="AA338" t="s">
        <v>63</v>
      </c>
      <c r="AB338" t="s">
        <v>39</v>
      </c>
      <c r="AC338" t="s">
        <v>3161</v>
      </c>
      <c r="AD338" t="s">
        <v>64</v>
      </c>
      <c r="AE338" t="s">
        <v>3162</v>
      </c>
      <c r="AF338" t="s">
        <v>3163</v>
      </c>
      <c r="AG338" t="s">
        <v>3164</v>
      </c>
      <c r="AH338">
        <v>256</v>
      </c>
      <c r="AI338" s="2" t="str">
        <f t="shared" si="25"/>
        <v>Independent</v>
      </c>
      <c r="AJ338" s="2" t="str">
        <f t="shared" si="26"/>
        <v>NO</v>
      </c>
      <c r="AK338" s="1" t="str">
        <f t="shared" si="27"/>
        <v>None</v>
      </c>
      <c r="AL338" s="1" t="str">
        <f t="shared" si="28"/>
        <v>1 Toilet</v>
      </c>
      <c r="AM338" s="1" t="str">
        <f t="shared" si="29"/>
        <v>YES</v>
      </c>
      <c r="AN338" s="1" t="str">
        <f>VLOOKUP(J338, 'Regions and Cities'!A:B, 2, FALSE)</f>
        <v>Uusimaa</v>
      </c>
    </row>
    <row r="339" spans="1:40" x14ac:dyDescent="0.3">
      <c r="A339" t="s">
        <v>3247</v>
      </c>
      <c r="B339" t="s">
        <v>3248</v>
      </c>
      <c r="C339" t="s">
        <v>3249</v>
      </c>
      <c r="D339" t="s">
        <v>3250</v>
      </c>
      <c r="E339" t="s">
        <v>3251</v>
      </c>
      <c r="F339" t="s">
        <v>3252</v>
      </c>
      <c r="H339">
        <v>62.5</v>
      </c>
      <c r="I339" t="s">
        <v>81</v>
      </c>
      <c r="J339" t="s">
        <v>301</v>
      </c>
      <c r="K339" t="s">
        <v>3253</v>
      </c>
      <c r="L339" t="s">
        <v>3254</v>
      </c>
      <c r="M339" t="s">
        <v>37</v>
      </c>
      <c r="N339" t="s">
        <v>3255</v>
      </c>
      <c r="O339" t="s">
        <v>3256</v>
      </c>
      <c r="R339" t="s">
        <v>37</v>
      </c>
      <c r="S339" t="s">
        <v>37</v>
      </c>
      <c r="T339">
        <v>61.465089999999996</v>
      </c>
      <c r="U339" t="s">
        <v>3257</v>
      </c>
      <c r="V339" t="s">
        <v>3258</v>
      </c>
      <c r="W339">
        <v>23.618960000000001</v>
      </c>
      <c r="X339">
        <v>145000</v>
      </c>
      <c r="Y339" t="s">
        <v>3259</v>
      </c>
      <c r="AA339" t="s">
        <v>45</v>
      </c>
      <c r="AB339" t="s">
        <v>39</v>
      </c>
      <c r="AC339" t="s">
        <v>480</v>
      </c>
      <c r="AD339" t="s">
        <v>40</v>
      </c>
      <c r="AE339" t="s">
        <v>3260</v>
      </c>
      <c r="AF339" t="s">
        <v>3261</v>
      </c>
      <c r="AG339" t="s">
        <v>3262</v>
      </c>
      <c r="AH339">
        <v>62.5</v>
      </c>
      <c r="AI339" s="2" t="str">
        <f t="shared" si="25"/>
        <v>Independent</v>
      </c>
      <c r="AJ339" s="2" t="str">
        <f t="shared" si="26"/>
        <v>YES</v>
      </c>
      <c r="AK339" s="1" t="str">
        <f t="shared" si="27"/>
        <v>None</v>
      </c>
      <c r="AL339" s="1" t="str">
        <f t="shared" si="28"/>
        <v>1 Toilet</v>
      </c>
      <c r="AM339" s="1" t="str">
        <f t="shared" si="29"/>
        <v>NO</v>
      </c>
      <c r="AN339" s="1" t="str">
        <f>VLOOKUP(J339, 'Regions and Cities'!A:B, 2, FALSE)</f>
        <v>Pirkanmaa</v>
      </c>
    </row>
    <row r="340" spans="1:40" x14ac:dyDescent="0.3">
      <c r="A340" t="s">
        <v>1974</v>
      </c>
      <c r="B340" t="s">
        <v>1975</v>
      </c>
      <c r="C340" t="s">
        <v>1505</v>
      </c>
      <c r="D340" t="s">
        <v>1976</v>
      </c>
      <c r="E340" t="s">
        <v>1977</v>
      </c>
      <c r="H340">
        <v>66.5</v>
      </c>
      <c r="I340" t="s">
        <v>247</v>
      </c>
      <c r="J340" t="s">
        <v>137</v>
      </c>
      <c r="K340" t="s">
        <v>1508</v>
      </c>
      <c r="L340" t="s">
        <v>1978</v>
      </c>
      <c r="M340" t="s">
        <v>37</v>
      </c>
      <c r="N340" t="s">
        <v>1979</v>
      </c>
      <c r="O340" t="s">
        <v>1980</v>
      </c>
      <c r="R340" t="s">
        <v>37</v>
      </c>
      <c r="S340" t="s">
        <v>37</v>
      </c>
      <c r="T340">
        <v>60.204410000000003</v>
      </c>
      <c r="U340" t="s">
        <v>1981</v>
      </c>
      <c r="V340" t="s">
        <v>1982</v>
      </c>
      <c r="W340">
        <v>25.151430000000001</v>
      </c>
      <c r="X340">
        <v>279000</v>
      </c>
      <c r="Y340" t="s">
        <v>1455</v>
      </c>
      <c r="AA340" t="s">
        <v>38</v>
      </c>
      <c r="AB340" t="s">
        <v>39</v>
      </c>
      <c r="AC340" t="s">
        <v>480</v>
      </c>
      <c r="AD340" t="s">
        <v>46</v>
      </c>
      <c r="AE340" t="s">
        <v>1983</v>
      </c>
      <c r="AF340" t="s">
        <v>1984</v>
      </c>
      <c r="AG340" t="s">
        <v>1985</v>
      </c>
      <c r="AH340">
        <v>66.5</v>
      </c>
      <c r="AI340" s="2" t="str">
        <f t="shared" si="25"/>
        <v>Independent</v>
      </c>
      <c r="AJ340" s="2" t="str">
        <f t="shared" si="26"/>
        <v>YES</v>
      </c>
      <c r="AK340" s="1" t="str">
        <f t="shared" si="27"/>
        <v>None</v>
      </c>
      <c r="AL340" s="1" t="str">
        <f t="shared" si="28"/>
        <v>1 Toilet</v>
      </c>
      <c r="AM340" s="1" t="str">
        <f t="shared" si="29"/>
        <v>NO</v>
      </c>
      <c r="AN340" s="1" t="str">
        <f>VLOOKUP(J340, 'Regions and Cities'!A:B, 2, FALSE)</f>
        <v>Uusimaa</v>
      </c>
    </row>
    <row r="341" spans="1:40" x14ac:dyDescent="0.3">
      <c r="A341" t="s">
        <v>5593</v>
      </c>
      <c r="B341" t="s">
        <v>5594</v>
      </c>
      <c r="C341" t="s">
        <v>4226</v>
      </c>
      <c r="D341" t="s">
        <v>5595</v>
      </c>
      <c r="E341" t="s">
        <v>5596</v>
      </c>
      <c r="F341" t="s">
        <v>105</v>
      </c>
      <c r="G341" t="s">
        <v>5597</v>
      </c>
      <c r="H341">
        <v>239.9</v>
      </c>
      <c r="I341" t="s">
        <v>2091</v>
      </c>
      <c r="J341" t="s">
        <v>265</v>
      </c>
      <c r="K341" t="s">
        <v>4230</v>
      </c>
      <c r="L341" t="s">
        <v>5598</v>
      </c>
      <c r="M341" t="s">
        <v>37</v>
      </c>
      <c r="N341" t="s">
        <v>5599</v>
      </c>
      <c r="O341" t="s">
        <v>5600</v>
      </c>
      <c r="P341" t="s">
        <v>5601</v>
      </c>
      <c r="R341" t="s">
        <v>37</v>
      </c>
      <c r="S341" t="s">
        <v>37</v>
      </c>
      <c r="T341">
        <v>64.949366999999995</v>
      </c>
      <c r="U341" t="s">
        <v>5602</v>
      </c>
      <c r="V341" t="s">
        <v>5603</v>
      </c>
      <c r="W341">
        <v>25.588134</v>
      </c>
      <c r="X341">
        <v>1390000</v>
      </c>
      <c r="Y341" t="s">
        <v>5604</v>
      </c>
      <c r="AA341" t="s">
        <v>63</v>
      </c>
      <c r="AB341" t="s">
        <v>39</v>
      </c>
      <c r="AC341" t="s">
        <v>5605</v>
      </c>
      <c r="AD341" t="s">
        <v>55</v>
      </c>
      <c r="AE341" t="s">
        <v>5606</v>
      </c>
      <c r="AF341" t="s">
        <v>5607</v>
      </c>
      <c r="AG341" t="s">
        <v>5608</v>
      </c>
      <c r="AH341">
        <v>323.39999999999998</v>
      </c>
      <c r="AI341" s="2" t="str">
        <f t="shared" si="25"/>
        <v>Independent</v>
      </c>
      <c r="AJ341" s="2" t="str">
        <f t="shared" si="26"/>
        <v>YES</v>
      </c>
      <c r="AK341" s="1" t="str">
        <f t="shared" si="27"/>
        <v>None</v>
      </c>
      <c r="AL341" s="1" t="str">
        <f t="shared" si="28"/>
        <v>1 Toilet</v>
      </c>
      <c r="AM341" s="1" t="str">
        <f t="shared" si="29"/>
        <v>NO</v>
      </c>
      <c r="AN341" s="1" t="str">
        <f>VLOOKUP(J341, 'Regions and Cities'!A:B, 2, FALSE)</f>
        <v>Pohjois-Pohjanmaa</v>
      </c>
    </row>
    <row r="342" spans="1:40" x14ac:dyDescent="0.3">
      <c r="A342" t="s">
        <v>6498</v>
      </c>
      <c r="B342" t="s">
        <v>6499</v>
      </c>
      <c r="C342" t="s">
        <v>6500</v>
      </c>
      <c r="D342" t="s">
        <v>258</v>
      </c>
      <c r="E342" t="s">
        <v>259</v>
      </c>
      <c r="F342" t="s">
        <v>50</v>
      </c>
      <c r="G342" t="s">
        <v>6501</v>
      </c>
      <c r="H342">
        <v>115</v>
      </c>
      <c r="I342" t="s">
        <v>298</v>
      </c>
      <c r="J342" t="s">
        <v>420</v>
      </c>
      <c r="K342" t="s">
        <v>6502</v>
      </c>
      <c r="L342" t="s">
        <v>6503</v>
      </c>
      <c r="M342" t="s">
        <v>37</v>
      </c>
      <c r="N342" t="s">
        <v>6504</v>
      </c>
      <c r="O342" t="s">
        <v>6505</v>
      </c>
      <c r="P342" t="s">
        <v>6506</v>
      </c>
      <c r="Q342" t="s">
        <v>6507</v>
      </c>
      <c r="R342" t="s">
        <v>37</v>
      </c>
      <c r="S342" t="s">
        <v>37</v>
      </c>
      <c r="T342">
        <v>60.64996</v>
      </c>
      <c r="U342" t="s">
        <v>6508</v>
      </c>
      <c r="V342" t="s">
        <v>6509</v>
      </c>
      <c r="W342">
        <v>22.572379999999999</v>
      </c>
      <c r="X342">
        <v>185000</v>
      </c>
      <c r="Y342" t="s">
        <v>230</v>
      </c>
      <c r="AA342" t="s">
        <v>63</v>
      </c>
      <c r="AB342" t="s">
        <v>39</v>
      </c>
      <c r="AC342" t="s">
        <v>6510</v>
      </c>
      <c r="AD342" t="s">
        <v>75</v>
      </c>
      <c r="AE342" t="s">
        <v>6511</v>
      </c>
      <c r="AF342" t="s">
        <v>6512</v>
      </c>
      <c r="AG342" t="s">
        <v>6513</v>
      </c>
      <c r="AH342">
        <v>163</v>
      </c>
      <c r="AI342" s="2" t="str">
        <f t="shared" si="25"/>
        <v>Independent</v>
      </c>
      <c r="AJ342" s="2" t="str">
        <f t="shared" si="26"/>
        <v>YES</v>
      </c>
      <c r="AK342" s="1" t="str">
        <f t="shared" si="27"/>
        <v>None</v>
      </c>
      <c r="AL342" s="1" t="str">
        <f t="shared" si="28"/>
        <v>2 Toilets</v>
      </c>
      <c r="AM342" s="1" t="str">
        <f t="shared" si="29"/>
        <v>YES</v>
      </c>
      <c r="AN342" s="1" t="str">
        <f>VLOOKUP(J342, 'Regions and Cities'!A:B, 2, FALSE)</f>
        <v>Varsinais-Suomi</v>
      </c>
    </row>
    <row r="343" spans="1:40" x14ac:dyDescent="0.3">
      <c r="A343" t="s">
        <v>6315</v>
      </c>
      <c r="B343" t="s">
        <v>6316</v>
      </c>
      <c r="C343" t="s">
        <v>160</v>
      </c>
      <c r="D343" t="s">
        <v>6317</v>
      </c>
      <c r="E343" t="s">
        <v>6318</v>
      </c>
      <c r="F343" t="s">
        <v>6319</v>
      </c>
      <c r="H343">
        <v>35</v>
      </c>
      <c r="I343" t="s">
        <v>190</v>
      </c>
      <c r="J343" t="s">
        <v>116</v>
      </c>
      <c r="K343" t="s">
        <v>163</v>
      </c>
      <c r="L343" t="s">
        <v>6320</v>
      </c>
      <c r="M343" t="s">
        <v>37</v>
      </c>
      <c r="N343" t="s">
        <v>6321</v>
      </c>
      <c r="O343" t="s">
        <v>6322</v>
      </c>
      <c r="R343" t="s">
        <v>37</v>
      </c>
      <c r="S343" t="s">
        <v>37</v>
      </c>
      <c r="T343">
        <v>60.262535</v>
      </c>
      <c r="U343" t="s">
        <v>6323</v>
      </c>
      <c r="V343" t="s">
        <v>6324</v>
      </c>
      <c r="W343">
        <v>24.851578</v>
      </c>
      <c r="X343">
        <v>32015.360000000001</v>
      </c>
      <c r="Y343" t="s">
        <v>6325</v>
      </c>
      <c r="AA343" t="s">
        <v>38</v>
      </c>
      <c r="AB343" t="s">
        <v>39</v>
      </c>
      <c r="AC343" t="s">
        <v>480</v>
      </c>
      <c r="AD343" t="s">
        <v>202</v>
      </c>
      <c r="AE343" t="s">
        <v>6326</v>
      </c>
      <c r="AF343" t="s">
        <v>6327</v>
      </c>
      <c r="AG343" t="s">
        <v>6328</v>
      </c>
      <c r="AH343"/>
      <c r="AI343" s="2" t="str">
        <f t="shared" si="25"/>
        <v>Open</v>
      </c>
      <c r="AJ343" s="2" t="str">
        <f t="shared" si="26"/>
        <v>NO</v>
      </c>
      <c r="AK343" s="1" t="str">
        <f t="shared" si="27"/>
        <v>None</v>
      </c>
      <c r="AL343" s="1" t="str">
        <f t="shared" si="28"/>
        <v>1 Toilet</v>
      </c>
      <c r="AM343" s="1" t="str">
        <f t="shared" si="29"/>
        <v>YES</v>
      </c>
      <c r="AN343" s="1" t="str">
        <f>VLOOKUP(J343, 'Regions and Cities'!A:B, 2, FALSE)</f>
        <v>Uusimaa</v>
      </c>
    </row>
    <row r="344" spans="1:40" x14ac:dyDescent="0.3">
      <c r="A344" t="s">
        <v>6935</v>
      </c>
      <c r="B344" t="s">
        <v>6936</v>
      </c>
      <c r="C344" t="s">
        <v>6937</v>
      </c>
      <c r="D344" t="s">
        <v>307</v>
      </c>
      <c r="E344" t="s">
        <v>308</v>
      </c>
      <c r="F344" t="s">
        <v>226</v>
      </c>
      <c r="H344">
        <v>97</v>
      </c>
      <c r="I344" t="s">
        <v>294</v>
      </c>
      <c r="J344" t="s">
        <v>367</v>
      </c>
      <c r="K344" t="s">
        <v>6938</v>
      </c>
      <c r="L344" t="s">
        <v>6939</v>
      </c>
      <c r="M344" t="s">
        <v>37</v>
      </c>
      <c r="N344" t="s">
        <v>6940</v>
      </c>
      <c r="O344" t="s">
        <v>6941</v>
      </c>
      <c r="R344" t="s">
        <v>37</v>
      </c>
      <c r="S344" t="s">
        <v>37</v>
      </c>
      <c r="T344">
        <v>60.414940000000001</v>
      </c>
      <c r="U344" t="s">
        <v>6942</v>
      </c>
      <c r="V344" t="s">
        <v>6943</v>
      </c>
      <c r="W344">
        <v>22.465589999999999</v>
      </c>
      <c r="X344">
        <v>343000</v>
      </c>
      <c r="Y344" t="s">
        <v>6944</v>
      </c>
      <c r="AA344" t="s">
        <v>45</v>
      </c>
      <c r="AB344" t="s">
        <v>39</v>
      </c>
      <c r="AC344" t="s">
        <v>6510</v>
      </c>
      <c r="AD344" t="s">
        <v>46</v>
      </c>
      <c r="AE344" t="s">
        <v>6945</v>
      </c>
      <c r="AF344" t="s">
        <v>6946</v>
      </c>
      <c r="AG344" t="s">
        <v>6947</v>
      </c>
      <c r="AH344">
        <v>106.5</v>
      </c>
      <c r="AI344" s="2" t="str">
        <f t="shared" si="25"/>
        <v>Independent</v>
      </c>
      <c r="AJ344" s="2" t="str">
        <f t="shared" si="26"/>
        <v>YES</v>
      </c>
      <c r="AK344" s="1" t="str">
        <f t="shared" si="27"/>
        <v>None</v>
      </c>
      <c r="AL344" s="1" t="str">
        <f t="shared" si="28"/>
        <v>2 Toilets</v>
      </c>
      <c r="AM344" s="1" t="str">
        <f t="shared" si="29"/>
        <v>YES</v>
      </c>
      <c r="AN344" s="1" t="str">
        <f>VLOOKUP(J344, 'Regions and Cities'!A:B, 2, FALSE)</f>
        <v>Varsinais-Suomi</v>
      </c>
    </row>
    <row r="345" spans="1:40" x14ac:dyDescent="0.3">
      <c r="A345" t="s">
        <v>1107</v>
      </c>
      <c r="B345" t="s">
        <v>1108</v>
      </c>
      <c r="C345" t="s">
        <v>1109</v>
      </c>
      <c r="D345" t="s">
        <v>277</v>
      </c>
      <c r="E345" t="s">
        <v>278</v>
      </c>
      <c r="F345" t="s">
        <v>279</v>
      </c>
      <c r="H345">
        <v>70</v>
      </c>
      <c r="I345" t="s">
        <v>119</v>
      </c>
      <c r="J345" t="s">
        <v>265</v>
      </c>
      <c r="K345" t="s">
        <v>1110</v>
      </c>
      <c r="L345" t="s">
        <v>1111</v>
      </c>
      <c r="M345" t="s">
        <v>37</v>
      </c>
      <c r="N345" t="s">
        <v>1112</v>
      </c>
      <c r="O345" t="s">
        <v>1113</v>
      </c>
      <c r="R345" t="s">
        <v>37</v>
      </c>
      <c r="S345" t="s">
        <v>37</v>
      </c>
      <c r="T345">
        <v>65.043499999999995</v>
      </c>
      <c r="U345" t="s">
        <v>1114</v>
      </c>
      <c r="V345" t="s">
        <v>1115</v>
      </c>
      <c r="W345">
        <v>25.454070000000002</v>
      </c>
      <c r="X345">
        <v>69000</v>
      </c>
      <c r="Y345" t="s">
        <v>712</v>
      </c>
      <c r="AA345" t="s">
        <v>38</v>
      </c>
      <c r="AB345" t="s">
        <v>39</v>
      </c>
      <c r="AC345" t="s">
        <v>1116</v>
      </c>
      <c r="AD345" t="s">
        <v>46</v>
      </c>
      <c r="AE345" t="s">
        <v>1117</v>
      </c>
      <c r="AF345" t="s">
        <v>1118</v>
      </c>
      <c r="AG345" t="s">
        <v>1119</v>
      </c>
      <c r="AH345">
        <v>70</v>
      </c>
      <c r="AI345" s="2" t="str">
        <f t="shared" si="25"/>
        <v>Independent</v>
      </c>
      <c r="AJ345" s="2" t="str">
        <f t="shared" si="26"/>
        <v>NO</v>
      </c>
      <c r="AK345" s="1" t="str">
        <f t="shared" si="27"/>
        <v>None</v>
      </c>
      <c r="AL345" s="1" t="str">
        <f t="shared" si="28"/>
        <v>1 Toilet</v>
      </c>
      <c r="AM345" s="1" t="str">
        <f t="shared" si="29"/>
        <v>YES</v>
      </c>
      <c r="AN345" s="1" t="str">
        <f>VLOOKUP(J345, 'Regions and Cities'!A:B, 2, FALSE)</f>
        <v>Pohjois-Pohjanmaa</v>
      </c>
    </row>
    <row r="346" spans="1:40" x14ac:dyDescent="0.3">
      <c r="A346" t="s">
        <v>600</v>
      </c>
      <c r="B346" t="s">
        <v>601</v>
      </c>
      <c r="C346" t="s">
        <v>602</v>
      </c>
      <c r="D346" t="s">
        <v>603</v>
      </c>
      <c r="E346" t="s">
        <v>604</v>
      </c>
      <c r="F346" t="s">
        <v>218</v>
      </c>
      <c r="H346">
        <v>100</v>
      </c>
      <c r="I346" t="s">
        <v>239</v>
      </c>
      <c r="J346" t="s">
        <v>342</v>
      </c>
      <c r="K346" t="s">
        <v>605</v>
      </c>
      <c r="L346" t="s">
        <v>606</v>
      </c>
      <c r="M346" t="s">
        <v>37</v>
      </c>
      <c r="N346" t="s">
        <v>607</v>
      </c>
      <c r="O346" t="s">
        <v>608</v>
      </c>
      <c r="R346" t="s">
        <v>37</v>
      </c>
      <c r="S346" t="s">
        <v>37</v>
      </c>
      <c r="T346">
        <v>59.835909999999998</v>
      </c>
      <c r="U346" t="s">
        <v>609</v>
      </c>
      <c r="V346" t="s">
        <v>610</v>
      </c>
      <c r="W346">
        <v>22.957041</v>
      </c>
      <c r="X346">
        <v>175000</v>
      </c>
      <c r="Y346" t="s">
        <v>611</v>
      </c>
      <c r="AA346" t="s">
        <v>63</v>
      </c>
      <c r="AB346" t="s">
        <v>39</v>
      </c>
      <c r="AC346" t="s">
        <v>480</v>
      </c>
      <c r="AD346" t="s">
        <v>55</v>
      </c>
      <c r="AE346" t="s">
        <v>612</v>
      </c>
      <c r="AF346" t="s">
        <v>613</v>
      </c>
      <c r="AG346" t="s">
        <v>614</v>
      </c>
      <c r="AH346">
        <v>200</v>
      </c>
      <c r="AI346" s="2" t="str">
        <f t="shared" si="25"/>
        <v>Independent</v>
      </c>
      <c r="AJ346" s="2" t="str">
        <f t="shared" si="26"/>
        <v>YES</v>
      </c>
      <c r="AK346" s="1" t="str">
        <f t="shared" si="27"/>
        <v>None</v>
      </c>
      <c r="AL346" s="1" t="str">
        <f t="shared" si="28"/>
        <v>1 Toilet</v>
      </c>
      <c r="AM346" s="1" t="str">
        <f t="shared" si="29"/>
        <v>NO</v>
      </c>
      <c r="AN346" s="1" t="str">
        <f>VLOOKUP(J346, 'Regions and Cities'!A:B, 2, FALSE)</f>
        <v>Uusimaa</v>
      </c>
    </row>
    <row r="347" spans="1:40" x14ac:dyDescent="0.3">
      <c r="A347" t="s">
        <v>6123</v>
      </c>
      <c r="B347" t="s">
        <v>6124</v>
      </c>
      <c r="C347" t="s">
        <v>6125</v>
      </c>
      <c r="D347" t="s">
        <v>88</v>
      </c>
      <c r="E347" t="s">
        <v>89</v>
      </c>
      <c r="F347" t="s">
        <v>79</v>
      </c>
      <c r="H347">
        <v>68</v>
      </c>
      <c r="I347" t="s">
        <v>237</v>
      </c>
      <c r="J347" t="s">
        <v>90</v>
      </c>
      <c r="K347" t="s">
        <v>6126</v>
      </c>
      <c r="L347" t="s">
        <v>6127</v>
      </c>
      <c r="M347" t="s">
        <v>37</v>
      </c>
      <c r="N347" t="s">
        <v>6128</v>
      </c>
      <c r="O347" t="s">
        <v>6129</v>
      </c>
      <c r="P347" t="s">
        <v>6130</v>
      </c>
      <c r="Q347" t="s">
        <v>6131</v>
      </c>
      <c r="R347" t="s">
        <v>37</v>
      </c>
      <c r="S347" t="s">
        <v>37</v>
      </c>
      <c r="T347">
        <v>63.562707000000003</v>
      </c>
      <c r="U347" t="s">
        <v>6132</v>
      </c>
      <c r="V347" t="s">
        <v>6133</v>
      </c>
      <c r="W347">
        <v>27.236426999999999</v>
      </c>
      <c r="X347">
        <v>98500</v>
      </c>
      <c r="Y347" t="s">
        <v>6134</v>
      </c>
      <c r="AA347" t="s">
        <v>808</v>
      </c>
      <c r="AB347" t="s">
        <v>39</v>
      </c>
      <c r="AC347" t="s">
        <v>596</v>
      </c>
      <c r="AD347" t="s">
        <v>46</v>
      </c>
      <c r="AE347" t="s">
        <v>47</v>
      </c>
      <c r="AF347" t="s">
        <v>6135</v>
      </c>
      <c r="AG347" t="s">
        <v>6136</v>
      </c>
      <c r="AH347">
        <v>68</v>
      </c>
      <c r="AI347" s="2" t="str">
        <f t="shared" si="25"/>
        <v>Independent</v>
      </c>
      <c r="AJ347" s="2" t="str">
        <f t="shared" si="26"/>
        <v>NO</v>
      </c>
      <c r="AK347" s="1" t="str">
        <f t="shared" si="27"/>
        <v>None</v>
      </c>
      <c r="AL347" s="1" t="str">
        <f t="shared" si="28"/>
        <v>1 Toilet</v>
      </c>
      <c r="AM347" s="1" t="str">
        <f t="shared" si="29"/>
        <v>NO</v>
      </c>
      <c r="AN347" s="1" t="str">
        <f>VLOOKUP(J347, 'Regions and Cities'!A:B, 2, FALSE)</f>
        <v>Pohjois-Savo</v>
      </c>
    </row>
    <row r="348" spans="1:40" x14ac:dyDescent="0.3">
      <c r="A348" t="s">
        <v>9031</v>
      </c>
      <c r="B348" t="s">
        <v>9032</v>
      </c>
      <c r="C348" t="s">
        <v>9033</v>
      </c>
      <c r="D348" t="s">
        <v>7208</v>
      </c>
      <c r="E348" t="s">
        <v>7209</v>
      </c>
      <c r="F348" t="s">
        <v>70</v>
      </c>
      <c r="G348" t="s">
        <v>9034</v>
      </c>
      <c r="H348">
        <v>72</v>
      </c>
      <c r="I348" t="s">
        <v>7211</v>
      </c>
      <c r="J348" t="s">
        <v>110</v>
      </c>
      <c r="K348" t="s">
        <v>9035</v>
      </c>
      <c r="L348" t="s">
        <v>9036</v>
      </c>
      <c r="M348" t="s">
        <v>37</v>
      </c>
      <c r="N348" t="s">
        <v>9037</v>
      </c>
      <c r="O348" t="s">
        <v>9038</v>
      </c>
      <c r="P348" t="s">
        <v>9039</v>
      </c>
      <c r="R348" t="s">
        <v>37</v>
      </c>
      <c r="S348" t="s">
        <v>37</v>
      </c>
      <c r="T348">
        <v>60.437120999999998</v>
      </c>
      <c r="U348" t="s">
        <v>9040</v>
      </c>
      <c r="V348" t="s">
        <v>9041</v>
      </c>
      <c r="W348">
        <v>22.233723999999999</v>
      </c>
      <c r="X348">
        <v>425000</v>
      </c>
      <c r="Y348" t="s">
        <v>153</v>
      </c>
      <c r="AA348" t="s">
        <v>38</v>
      </c>
      <c r="AB348" t="s">
        <v>39</v>
      </c>
      <c r="AC348" t="s">
        <v>6510</v>
      </c>
      <c r="AD348" t="s">
        <v>46</v>
      </c>
      <c r="AE348" t="s">
        <v>9042</v>
      </c>
      <c r="AF348" t="s">
        <v>9043</v>
      </c>
      <c r="AG348" t="s">
        <v>9044</v>
      </c>
      <c r="AH348">
        <v>123</v>
      </c>
      <c r="AI348" s="2" t="str">
        <f t="shared" si="25"/>
        <v>Independent</v>
      </c>
      <c r="AJ348" s="2" t="str">
        <f t="shared" si="26"/>
        <v>NO</v>
      </c>
      <c r="AK348" s="1" t="str">
        <f t="shared" si="27"/>
        <v>None</v>
      </c>
      <c r="AL348" s="1" t="str">
        <f t="shared" si="28"/>
        <v>1 Toilet</v>
      </c>
      <c r="AM348" s="1" t="str">
        <f t="shared" si="29"/>
        <v>NO</v>
      </c>
      <c r="AN348" s="1" t="str">
        <f>VLOOKUP(J348, 'Regions and Cities'!A:B, 2, FALSE)</f>
        <v>Varsinais-Suomi</v>
      </c>
    </row>
    <row r="349" spans="1:40" x14ac:dyDescent="0.3">
      <c r="A349" t="s">
        <v>7510</v>
      </c>
      <c r="B349" t="s">
        <v>7511</v>
      </c>
      <c r="C349" t="s">
        <v>4507</v>
      </c>
      <c r="D349" t="s">
        <v>1717</v>
      </c>
      <c r="E349" t="s">
        <v>1718</v>
      </c>
      <c r="F349" t="s">
        <v>1719</v>
      </c>
      <c r="H349">
        <v>44</v>
      </c>
      <c r="I349" t="s">
        <v>1720</v>
      </c>
      <c r="J349" t="s">
        <v>137</v>
      </c>
      <c r="K349" t="s">
        <v>4511</v>
      </c>
      <c r="L349" t="s">
        <v>7512</v>
      </c>
      <c r="M349" t="s">
        <v>37</v>
      </c>
      <c r="N349" t="s">
        <v>7513</v>
      </c>
      <c r="O349" t="s">
        <v>7514</v>
      </c>
      <c r="R349" t="s">
        <v>37</v>
      </c>
      <c r="S349" t="s">
        <v>37</v>
      </c>
      <c r="T349">
        <v>60.191291</v>
      </c>
      <c r="U349" t="s">
        <v>7515</v>
      </c>
      <c r="V349" t="s">
        <v>7516</v>
      </c>
      <c r="W349">
        <v>25.03829</v>
      </c>
      <c r="X349">
        <v>16093.3</v>
      </c>
      <c r="Y349" t="s">
        <v>7517</v>
      </c>
      <c r="AA349" t="s">
        <v>38</v>
      </c>
      <c r="AB349" t="s">
        <v>39</v>
      </c>
      <c r="AC349" t="s">
        <v>6510</v>
      </c>
      <c r="AD349" t="s">
        <v>40</v>
      </c>
      <c r="AE349" t="s">
        <v>1741</v>
      </c>
      <c r="AF349" t="s">
        <v>7518</v>
      </c>
      <c r="AG349" t="s">
        <v>7519</v>
      </c>
      <c r="AH349"/>
      <c r="AI349" s="2" t="str">
        <f t="shared" si="25"/>
        <v>Kitchenette</v>
      </c>
      <c r="AJ349" s="2" t="str">
        <f t="shared" si="26"/>
        <v>YES</v>
      </c>
      <c r="AK349" s="1" t="str">
        <f t="shared" si="27"/>
        <v>None</v>
      </c>
      <c r="AL349" s="1" t="str">
        <f t="shared" si="28"/>
        <v>1 Toilet</v>
      </c>
      <c r="AM349" s="1" t="str">
        <f t="shared" si="29"/>
        <v>NO</v>
      </c>
      <c r="AN349" s="1" t="str">
        <f>VLOOKUP(J349, 'Regions and Cities'!A:B, 2, FALSE)</f>
        <v>Uusimaa</v>
      </c>
    </row>
    <row r="350" spans="1:40" x14ac:dyDescent="0.3">
      <c r="A350" t="s">
        <v>5645</v>
      </c>
      <c r="B350" t="s">
        <v>5646</v>
      </c>
      <c r="C350" t="s">
        <v>5647</v>
      </c>
      <c r="H350">
        <v>77</v>
      </c>
      <c r="I350" t="s">
        <v>2001</v>
      </c>
      <c r="J350" t="s">
        <v>116</v>
      </c>
      <c r="K350" t="s">
        <v>5648</v>
      </c>
      <c r="L350" t="s">
        <v>5649</v>
      </c>
      <c r="M350" t="s">
        <v>37</v>
      </c>
      <c r="N350" t="s">
        <v>5650</v>
      </c>
      <c r="O350" t="s">
        <v>5651</v>
      </c>
      <c r="R350" t="s">
        <v>37</v>
      </c>
      <c r="S350" t="s">
        <v>111</v>
      </c>
      <c r="T350">
        <v>60.248089999999998</v>
      </c>
      <c r="U350" t="s">
        <v>5652</v>
      </c>
      <c r="V350" t="s">
        <v>5653</v>
      </c>
      <c r="W350">
        <v>25.118773999999998</v>
      </c>
      <c r="X350">
        <v>198591.48</v>
      </c>
      <c r="Y350" t="s">
        <v>5654</v>
      </c>
      <c r="Z350" t="s">
        <v>5655</v>
      </c>
      <c r="AA350" t="s">
        <v>45</v>
      </c>
      <c r="AB350" t="s">
        <v>39</v>
      </c>
      <c r="AC350" t="s">
        <v>480</v>
      </c>
      <c r="AD350" t="s">
        <v>46</v>
      </c>
      <c r="AE350" t="s">
        <v>5656</v>
      </c>
      <c r="AF350" t="s">
        <v>5657</v>
      </c>
      <c r="AG350" t="s">
        <v>5658</v>
      </c>
      <c r="AH350">
        <v>77</v>
      </c>
      <c r="AI350" s="2" t="str">
        <f t="shared" si="25"/>
        <v>Independent</v>
      </c>
      <c r="AJ350" s="2" t="str">
        <f t="shared" si="26"/>
        <v>YES</v>
      </c>
      <c r="AK350" s="1" t="str">
        <f t="shared" si="27"/>
        <v>None</v>
      </c>
      <c r="AL350" s="1" t="str">
        <f t="shared" si="28"/>
        <v>1 Toilet</v>
      </c>
      <c r="AM350" s="1" t="str">
        <f t="shared" si="29"/>
        <v>YES</v>
      </c>
      <c r="AN350" s="1" t="str">
        <f>VLOOKUP(J350, 'Regions and Cities'!A:B, 2, FALSE)</f>
        <v>Uusimaa</v>
      </c>
    </row>
    <row r="351" spans="1:40" x14ac:dyDescent="0.3">
      <c r="A351" t="s">
        <v>8069</v>
      </c>
      <c r="B351" t="s">
        <v>8070</v>
      </c>
      <c r="C351" t="s">
        <v>262</v>
      </c>
      <c r="D351" t="s">
        <v>8071</v>
      </c>
      <c r="E351" t="s">
        <v>8072</v>
      </c>
      <c r="F351" t="s">
        <v>8073</v>
      </c>
      <c r="H351">
        <v>22</v>
      </c>
      <c r="I351" t="s">
        <v>190</v>
      </c>
      <c r="J351" t="s">
        <v>265</v>
      </c>
      <c r="K351" t="s">
        <v>266</v>
      </c>
      <c r="L351" t="s">
        <v>8074</v>
      </c>
      <c r="M351" t="s">
        <v>37</v>
      </c>
      <c r="N351" t="s">
        <v>8075</v>
      </c>
      <c r="O351" t="s">
        <v>8076</v>
      </c>
      <c r="R351" t="s">
        <v>37</v>
      </c>
      <c r="S351" t="s">
        <v>37</v>
      </c>
      <c r="T351">
        <v>65.029886000000005</v>
      </c>
      <c r="U351" t="s">
        <v>8077</v>
      </c>
      <c r="V351" t="s">
        <v>8078</v>
      </c>
      <c r="W351">
        <v>25.453334999999999</v>
      </c>
      <c r="X351">
        <v>84900</v>
      </c>
      <c r="Y351" t="s">
        <v>8079</v>
      </c>
      <c r="AA351" t="s">
        <v>38</v>
      </c>
      <c r="AB351" t="s">
        <v>39</v>
      </c>
      <c r="AC351" t="s">
        <v>6510</v>
      </c>
      <c r="AD351" t="s">
        <v>202</v>
      </c>
      <c r="AE351" t="s">
        <v>8080</v>
      </c>
      <c r="AF351" t="s">
        <v>8081</v>
      </c>
      <c r="AG351" t="s">
        <v>8082</v>
      </c>
      <c r="AH351">
        <v>22</v>
      </c>
      <c r="AI351" s="2" t="str">
        <f t="shared" si="25"/>
        <v>Open</v>
      </c>
      <c r="AJ351" s="2" t="str">
        <f t="shared" si="26"/>
        <v>NO</v>
      </c>
      <c r="AK351" s="1" t="str">
        <f t="shared" si="27"/>
        <v>None</v>
      </c>
      <c r="AL351" s="1" t="str">
        <f t="shared" si="28"/>
        <v>1 Toilet</v>
      </c>
      <c r="AM351" s="1" t="str">
        <f t="shared" si="29"/>
        <v>NO</v>
      </c>
      <c r="AN351" s="1" t="str">
        <f>VLOOKUP(J351, 'Regions and Cities'!A:B, 2, FALSE)</f>
        <v>Pohjois-Pohjanmaa</v>
      </c>
    </row>
    <row r="352" spans="1:40" x14ac:dyDescent="0.3">
      <c r="A352" t="s">
        <v>1202</v>
      </c>
      <c r="B352" t="s">
        <v>1203</v>
      </c>
      <c r="C352" t="s">
        <v>1204</v>
      </c>
      <c r="D352" t="s">
        <v>1205</v>
      </c>
      <c r="E352" t="s">
        <v>1206</v>
      </c>
      <c r="F352" t="s">
        <v>58</v>
      </c>
      <c r="H352">
        <v>96</v>
      </c>
      <c r="J352" t="s">
        <v>347</v>
      </c>
      <c r="K352" t="s">
        <v>1207</v>
      </c>
      <c r="L352" t="s">
        <v>1208</v>
      </c>
      <c r="M352" t="s">
        <v>37</v>
      </c>
      <c r="N352" t="s">
        <v>1209</v>
      </c>
      <c r="O352" t="s">
        <v>1210</v>
      </c>
      <c r="R352" t="s">
        <v>37</v>
      </c>
      <c r="S352" t="s">
        <v>37</v>
      </c>
      <c r="T352">
        <v>61.24841</v>
      </c>
      <c r="U352" t="s">
        <v>1211</v>
      </c>
      <c r="V352" t="s">
        <v>1212</v>
      </c>
      <c r="W352">
        <v>28.88034</v>
      </c>
      <c r="X352">
        <v>78000</v>
      </c>
      <c r="Y352" t="s">
        <v>807</v>
      </c>
      <c r="AA352" t="s">
        <v>63</v>
      </c>
      <c r="AB352" t="s">
        <v>39</v>
      </c>
      <c r="AC352" t="s">
        <v>480</v>
      </c>
      <c r="AD352" t="s">
        <v>55</v>
      </c>
      <c r="AE352" t="s">
        <v>1213</v>
      </c>
      <c r="AF352" t="s">
        <v>1214</v>
      </c>
      <c r="AG352" t="s">
        <v>1215</v>
      </c>
      <c r="AH352">
        <v>102</v>
      </c>
      <c r="AI352" s="2" t="str">
        <f t="shared" si="25"/>
        <v>Independent</v>
      </c>
      <c r="AJ352" s="2" t="str">
        <f t="shared" si="26"/>
        <v>YES</v>
      </c>
      <c r="AK352" s="1" t="str">
        <f t="shared" si="27"/>
        <v>None</v>
      </c>
      <c r="AL352" s="1" t="str">
        <f t="shared" si="28"/>
        <v>2 Toilets</v>
      </c>
      <c r="AM352" s="1" t="str">
        <f t="shared" si="29"/>
        <v>YES</v>
      </c>
      <c r="AN352" s="1" t="str">
        <f>VLOOKUP(J352, 'Regions and Cities'!A:B, 2, FALSE)</f>
        <v>Etelä-Karjala</v>
      </c>
    </row>
    <row r="353" spans="1:40" x14ac:dyDescent="0.3">
      <c r="A353" t="s">
        <v>4138</v>
      </c>
      <c r="B353" t="s">
        <v>4139</v>
      </c>
      <c r="C353" t="s">
        <v>4140</v>
      </c>
      <c r="D353" t="s">
        <v>142</v>
      </c>
      <c r="E353" t="s">
        <v>143</v>
      </c>
      <c r="F353" t="s">
        <v>144</v>
      </c>
      <c r="G353" t="s">
        <v>4141</v>
      </c>
      <c r="H353">
        <v>164</v>
      </c>
      <c r="I353" t="s">
        <v>66</v>
      </c>
      <c r="J353" t="s">
        <v>348</v>
      </c>
      <c r="K353" t="s">
        <v>4142</v>
      </c>
      <c r="L353" t="s">
        <v>4143</v>
      </c>
      <c r="M353" t="s">
        <v>37</v>
      </c>
      <c r="N353" t="s">
        <v>4144</v>
      </c>
      <c r="O353" t="s">
        <v>4145</v>
      </c>
      <c r="P353" t="s">
        <v>4146</v>
      </c>
      <c r="Q353" t="s">
        <v>4147</v>
      </c>
      <c r="R353" t="s">
        <v>37</v>
      </c>
      <c r="S353" t="s">
        <v>37</v>
      </c>
      <c r="T353">
        <v>61.341839999999998</v>
      </c>
      <c r="U353" t="s">
        <v>4148</v>
      </c>
      <c r="V353" t="s">
        <v>4149</v>
      </c>
      <c r="W353">
        <v>23.868130000000001</v>
      </c>
      <c r="X353">
        <v>519000</v>
      </c>
      <c r="Y353" t="s">
        <v>4150</v>
      </c>
      <c r="AA353" t="s">
        <v>63</v>
      </c>
      <c r="AB353" t="s">
        <v>39</v>
      </c>
      <c r="AC353" t="s">
        <v>480</v>
      </c>
      <c r="AD353" t="s">
        <v>64</v>
      </c>
      <c r="AE353" t="s">
        <v>4151</v>
      </c>
      <c r="AF353" t="s">
        <v>4152</v>
      </c>
      <c r="AG353" t="s">
        <v>4153</v>
      </c>
      <c r="AH353">
        <v>188</v>
      </c>
      <c r="AI353" s="2" t="str">
        <f t="shared" si="25"/>
        <v>Independent</v>
      </c>
      <c r="AJ353" s="2" t="str">
        <f t="shared" si="26"/>
        <v>NO</v>
      </c>
      <c r="AK353" s="1" t="str">
        <f t="shared" si="27"/>
        <v>None</v>
      </c>
      <c r="AL353" s="1" t="str">
        <f t="shared" si="28"/>
        <v>1 Toilet</v>
      </c>
      <c r="AM353" s="1" t="str">
        <f t="shared" si="29"/>
        <v>YES</v>
      </c>
      <c r="AN353" s="1" t="str">
        <f>VLOOKUP(J353, 'Regions and Cities'!A:B, 2, FALSE)</f>
        <v>Pirkanmaa</v>
      </c>
    </row>
    <row r="354" spans="1:40" x14ac:dyDescent="0.3">
      <c r="A354" t="s">
        <v>935</v>
      </c>
      <c r="B354" t="s">
        <v>936</v>
      </c>
      <c r="C354" t="s">
        <v>937</v>
      </c>
      <c r="D354" t="s">
        <v>938</v>
      </c>
      <c r="E354" t="s">
        <v>939</v>
      </c>
      <c r="F354" t="s">
        <v>187</v>
      </c>
      <c r="H354">
        <v>78.5</v>
      </c>
      <c r="I354" t="s">
        <v>174</v>
      </c>
      <c r="J354" t="s">
        <v>130</v>
      </c>
      <c r="K354" t="s">
        <v>940</v>
      </c>
      <c r="L354" t="s">
        <v>941</v>
      </c>
      <c r="M354" t="s">
        <v>37</v>
      </c>
      <c r="N354" t="s">
        <v>942</v>
      </c>
      <c r="O354" t="s">
        <v>943</v>
      </c>
      <c r="R354" t="s">
        <v>37</v>
      </c>
      <c r="S354" t="s">
        <v>37</v>
      </c>
      <c r="T354">
        <v>62.880200000000002</v>
      </c>
      <c r="U354" t="s">
        <v>944</v>
      </c>
      <c r="V354" t="s">
        <v>945</v>
      </c>
      <c r="W354">
        <v>27.636340000000001</v>
      </c>
      <c r="X354">
        <v>99700</v>
      </c>
      <c r="Y354" t="s">
        <v>946</v>
      </c>
      <c r="AA354" t="s">
        <v>38</v>
      </c>
      <c r="AB354" t="s">
        <v>39</v>
      </c>
      <c r="AC354" t="s">
        <v>480</v>
      </c>
      <c r="AD354" t="s">
        <v>46</v>
      </c>
      <c r="AE354" t="s">
        <v>947</v>
      </c>
      <c r="AF354" t="s">
        <v>948</v>
      </c>
      <c r="AG354" t="s">
        <v>949</v>
      </c>
      <c r="AH354">
        <v>78.5</v>
      </c>
      <c r="AI354" s="2" t="str">
        <f t="shared" si="25"/>
        <v>Independent</v>
      </c>
      <c r="AJ354" s="2" t="str">
        <f t="shared" si="26"/>
        <v>NO</v>
      </c>
      <c r="AK354" s="1" t="str">
        <f t="shared" si="27"/>
        <v>None</v>
      </c>
      <c r="AL354" s="1" t="str">
        <f t="shared" si="28"/>
        <v>1 Toilet</v>
      </c>
      <c r="AM354" s="1" t="str">
        <f t="shared" si="29"/>
        <v>NO</v>
      </c>
      <c r="AN354" s="1" t="str">
        <f>VLOOKUP(J354, 'Regions and Cities'!A:B, 2, FALSE)</f>
        <v>Pohjois-Savo</v>
      </c>
    </row>
    <row r="355" spans="1:40" x14ac:dyDescent="0.3">
      <c r="A355" t="s">
        <v>8144</v>
      </c>
      <c r="B355" t="s">
        <v>8145</v>
      </c>
      <c r="C355" t="s">
        <v>937</v>
      </c>
      <c r="D355" t="s">
        <v>8113</v>
      </c>
      <c r="E355" t="s">
        <v>8114</v>
      </c>
      <c r="F355" t="s">
        <v>1493</v>
      </c>
      <c r="H355">
        <v>100</v>
      </c>
      <c r="I355" t="s">
        <v>296</v>
      </c>
      <c r="J355" t="s">
        <v>130</v>
      </c>
      <c r="K355" t="s">
        <v>940</v>
      </c>
      <c r="L355" t="s">
        <v>8146</v>
      </c>
      <c r="M355" t="s">
        <v>37</v>
      </c>
      <c r="N355" t="s">
        <v>8147</v>
      </c>
      <c r="O355" t="s">
        <v>8148</v>
      </c>
      <c r="R355" t="s">
        <v>37</v>
      </c>
      <c r="S355" t="s">
        <v>37</v>
      </c>
      <c r="T355">
        <v>62.880662000000001</v>
      </c>
      <c r="U355" t="s">
        <v>8149</v>
      </c>
      <c r="V355" t="s">
        <v>8150</v>
      </c>
      <c r="W355">
        <v>27.641067</v>
      </c>
      <c r="X355">
        <v>98000</v>
      </c>
      <c r="Y355" t="s">
        <v>1559</v>
      </c>
      <c r="AA355" t="s">
        <v>38</v>
      </c>
      <c r="AB355" t="s">
        <v>39</v>
      </c>
      <c r="AC355" t="s">
        <v>6510</v>
      </c>
      <c r="AD355" t="s">
        <v>75</v>
      </c>
      <c r="AE355" t="s">
        <v>8151</v>
      </c>
      <c r="AF355" t="s">
        <v>8152</v>
      </c>
      <c r="AG355" t="s">
        <v>8153</v>
      </c>
      <c r="AH355">
        <v>100</v>
      </c>
      <c r="AI355" s="2" t="str">
        <f t="shared" si="25"/>
        <v>Open</v>
      </c>
      <c r="AJ355" s="2" t="str">
        <f t="shared" si="26"/>
        <v>NO</v>
      </c>
      <c r="AK355" s="1" t="str">
        <f t="shared" si="27"/>
        <v>None</v>
      </c>
      <c r="AL355" s="1" t="str">
        <f t="shared" si="28"/>
        <v>1 Toilet</v>
      </c>
      <c r="AM355" s="1" t="str">
        <f t="shared" si="29"/>
        <v>NO</v>
      </c>
      <c r="AN355" s="1" t="str">
        <f>VLOOKUP(J355, 'Regions and Cities'!A:B, 2, FALSE)</f>
        <v>Pohjois-Savo</v>
      </c>
    </row>
    <row r="356" spans="1:40" x14ac:dyDescent="0.3">
      <c r="A356" t="s">
        <v>1546</v>
      </c>
      <c r="B356" t="s">
        <v>1547</v>
      </c>
      <c r="C356" t="s">
        <v>1548</v>
      </c>
      <c r="D356" t="s">
        <v>1549</v>
      </c>
      <c r="E356" t="s">
        <v>1550</v>
      </c>
      <c r="F356" t="s">
        <v>1551</v>
      </c>
      <c r="H356">
        <v>100</v>
      </c>
      <c r="I356" t="s">
        <v>1552</v>
      </c>
      <c r="J356" t="s">
        <v>366</v>
      </c>
      <c r="K356" t="s">
        <v>1553</v>
      </c>
      <c r="L356" t="s">
        <v>1554</v>
      </c>
      <c r="M356" t="s">
        <v>37</v>
      </c>
      <c r="N356" t="s">
        <v>1555</v>
      </c>
      <c r="O356" t="s">
        <v>1556</v>
      </c>
      <c r="R356" t="s">
        <v>37</v>
      </c>
      <c r="S356" t="s">
        <v>37</v>
      </c>
      <c r="T356">
        <v>64.023562999999996</v>
      </c>
      <c r="U356" t="s">
        <v>1557</v>
      </c>
      <c r="V356" t="s">
        <v>1558</v>
      </c>
      <c r="W356">
        <v>23.506224</v>
      </c>
      <c r="X356">
        <v>98000</v>
      </c>
      <c r="Y356" t="s">
        <v>1559</v>
      </c>
      <c r="AA356" t="s">
        <v>63</v>
      </c>
      <c r="AB356" t="s">
        <v>39</v>
      </c>
      <c r="AC356" t="s">
        <v>225</v>
      </c>
      <c r="AD356" t="s">
        <v>46</v>
      </c>
      <c r="AE356" t="s">
        <v>1560</v>
      </c>
      <c r="AF356" t="s">
        <v>1561</v>
      </c>
      <c r="AG356" t="s">
        <v>1562</v>
      </c>
      <c r="AH356">
        <v>140</v>
      </c>
      <c r="AI356" s="2" t="str">
        <f t="shared" si="25"/>
        <v>Independent</v>
      </c>
      <c r="AJ356" s="2" t="str">
        <f t="shared" si="26"/>
        <v>YES</v>
      </c>
      <c r="AK356" s="1" t="str">
        <f t="shared" si="27"/>
        <v>Standard Balcony</v>
      </c>
      <c r="AL356" s="1" t="str">
        <f t="shared" si="28"/>
        <v>1 Toilet</v>
      </c>
      <c r="AM356" s="1" t="str">
        <f t="shared" si="29"/>
        <v>YES</v>
      </c>
      <c r="AN356" s="1" t="str">
        <f>VLOOKUP(J356, 'Regions and Cities'!A:B, 2, FALSE)</f>
        <v>Keski-Pohjanmaa</v>
      </c>
    </row>
    <row r="357" spans="1:40" x14ac:dyDescent="0.3">
      <c r="A357" t="s">
        <v>7262</v>
      </c>
      <c r="B357" t="s">
        <v>7263</v>
      </c>
      <c r="C357" t="s">
        <v>3917</v>
      </c>
      <c r="D357" t="s">
        <v>1917</v>
      </c>
      <c r="E357" t="s">
        <v>1918</v>
      </c>
      <c r="F357" t="s">
        <v>226</v>
      </c>
      <c r="H357">
        <v>86</v>
      </c>
      <c r="I357" t="s">
        <v>2091</v>
      </c>
      <c r="J357" t="s">
        <v>137</v>
      </c>
      <c r="K357" t="s">
        <v>3921</v>
      </c>
      <c r="L357" t="s">
        <v>7264</v>
      </c>
      <c r="M357" t="s">
        <v>37</v>
      </c>
      <c r="N357" t="s">
        <v>7265</v>
      </c>
      <c r="O357" t="s">
        <v>7266</v>
      </c>
      <c r="R357" t="s">
        <v>37</v>
      </c>
      <c r="S357" t="s">
        <v>37</v>
      </c>
      <c r="T357">
        <v>60.170090000000002</v>
      </c>
      <c r="U357" t="s">
        <v>7267</v>
      </c>
      <c r="V357" t="s">
        <v>7268</v>
      </c>
      <c r="W357">
        <v>25.03462</v>
      </c>
      <c r="X357">
        <v>360000</v>
      </c>
      <c r="Y357" t="s">
        <v>236</v>
      </c>
      <c r="AA357" t="s">
        <v>38</v>
      </c>
      <c r="AB357" t="s">
        <v>39</v>
      </c>
      <c r="AC357" t="s">
        <v>6510</v>
      </c>
      <c r="AD357" t="s">
        <v>75</v>
      </c>
      <c r="AE357" t="s">
        <v>7269</v>
      </c>
      <c r="AF357" t="s">
        <v>7270</v>
      </c>
      <c r="AG357" t="s">
        <v>7271</v>
      </c>
      <c r="AH357">
        <v>86</v>
      </c>
      <c r="AI357" s="2" t="str">
        <f t="shared" si="25"/>
        <v>Open</v>
      </c>
      <c r="AJ357" s="2" t="str">
        <f t="shared" si="26"/>
        <v>NO</v>
      </c>
      <c r="AK357" s="1" t="str">
        <f t="shared" si="27"/>
        <v>Glazed Balcony</v>
      </c>
      <c r="AL357" s="1" t="str">
        <f t="shared" si="28"/>
        <v>1 Toilet</v>
      </c>
      <c r="AM357" s="1" t="str">
        <f t="shared" si="29"/>
        <v>YES</v>
      </c>
      <c r="AN357" s="1" t="str">
        <f>VLOOKUP(J357, 'Regions and Cities'!A:B, 2, FALSE)</f>
        <v>Uusimaa</v>
      </c>
    </row>
    <row r="358" spans="1:40" x14ac:dyDescent="0.3">
      <c r="A358" t="s">
        <v>9864</v>
      </c>
      <c r="B358" t="s">
        <v>9865</v>
      </c>
      <c r="C358" t="s">
        <v>9866</v>
      </c>
      <c r="D358" t="s">
        <v>2151</v>
      </c>
      <c r="E358" t="s">
        <v>2152</v>
      </c>
      <c r="F358" t="s">
        <v>79</v>
      </c>
      <c r="G358" t="s">
        <v>2299</v>
      </c>
      <c r="H358">
        <v>70</v>
      </c>
      <c r="I358" t="s">
        <v>181</v>
      </c>
      <c r="J358" t="s">
        <v>126</v>
      </c>
      <c r="K358" t="s">
        <v>9867</v>
      </c>
      <c r="L358" t="s">
        <v>9868</v>
      </c>
      <c r="M358" t="s">
        <v>37</v>
      </c>
      <c r="N358" t="s">
        <v>9869</v>
      </c>
      <c r="O358" t="s">
        <v>9870</v>
      </c>
      <c r="P358" t="s">
        <v>9871</v>
      </c>
      <c r="R358" t="s">
        <v>37</v>
      </c>
      <c r="S358" t="s">
        <v>37</v>
      </c>
      <c r="T358">
        <v>60.235647999999998</v>
      </c>
      <c r="U358" t="s">
        <v>9872</v>
      </c>
      <c r="V358" t="s">
        <v>9873</v>
      </c>
      <c r="W358">
        <v>24.829063999999999</v>
      </c>
      <c r="X358">
        <v>329000</v>
      </c>
      <c r="Y358" t="s">
        <v>112</v>
      </c>
      <c r="AA358" t="s">
        <v>38</v>
      </c>
      <c r="AB358" t="s">
        <v>39</v>
      </c>
      <c r="AC358" t="s">
        <v>9874</v>
      </c>
      <c r="AD358" t="s">
        <v>46</v>
      </c>
      <c r="AE358" t="s">
        <v>9875</v>
      </c>
      <c r="AF358" t="s">
        <v>9876</v>
      </c>
      <c r="AG358" t="s">
        <v>9877</v>
      </c>
      <c r="AH358">
        <v>70</v>
      </c>
      <c r="AI358" s="2" t="str">
        <f t="shared" si="25"/>
        <v>Independent</v>
      </c>
      <c r="AJ358" s="2" t="str">
        <f t="shared" si="26"/>
        <v>YES</v>
      </c>
      <c r="AK358" s="1" t="str">
        <f t="shared" si="27"/>
        <v>Glazed Balcony</v>
      </c>
      <c r="AL358" s="1" t="str">
        <f t="shared" si="28"/>
        <v>1 Toilet</v>
      </c>
      <c r="AM358" s="1" t="str">
        <f t="shared" si="29"/>
        <v>NO</v>
      </c>
      <c r="AN358" s="1" t="str">
        <f>VLOOKUP(J358, 'Regions and Cities'!A:B, 2, FALSE)</f>
        <v>Uusimaa</v>
      </c>
    </row>
    <row r="359" spans="1:40" x14ac:dyDescent="0.3">
      <c r="A359" t="s">
        <v>4265</v>
      </c>
      <c r="B359" t="s">
        <v>4266</v>
      </c>
      <c r="C359" t="s">
        <v>4267</v>
      </c>
      <c r="D359" t="s">
        <v>4268</v>
      </c>
      <c r="E359" t="s">
        <v>4269</v>
      </c>
      <c r="F359" t="s">
        <v>58</v>
      </c>
      <c r="H359">
        <v>106.5</v>
      </c>
      <c r="I359" t="s">
        <v>1180</v>
      </c>
      <c r="J359" t="s">
        <v>385</v>
      </c>
      <c r="K359" t="s">
        <v>4270</v>
      </c>
      <c r="L359" t="s">
        <v>4271</v>
      </c>
      <c r="M359" t="s">
        <v>37</v>
      </c>
      <c r="N359" t="s">
        <v>4272</v>
      </c>
      <c r="O359" t="s">
        <v>4273</v>
      </c>
      <c r="R359" t="s">
        <v>37</v>
      </c>
      <c r="S359" t="s">
        <v>37</v>
      </c>
      <c r="T359">
        <v>60.331290000000003</v>
      </c>
      <c r="U359" t="s">
        <v>4274</v>
      </c>
      <c r="V359" t="s">
        <v>4275</v>
      </c>
      <c r="W359">
        <v>24.442730000000001</v>
      </c>
      <c r="X359">
        <v>369000</v>
      </c>
      <c r="Y359" t="s">
        <v>4276</v>
      </c>
      <c r="AA359" t="s">
        <v>63</v>
      </c>
      <c r="AB359" t="s">
        <v>39</v>
      </c>
      <c r="AC359" t="s">
        <v>480</v>
      </c>
      <c r="AD359" t="s">
        <v>40</v>
      </c>
      <c r="AE359" t="s">
        <v>4277</v>
      </c>
      <c r="AF359" t="s">
        <v>4278</v>
      </c>
      <c r="AG359" t="s">
        <v>4279</v>
      </c>
      <c r="AH359">
        <v>126</v>
      </c>
      <c r="AI359" s="2" t="str">
        <f t="shared" si="25"/>
        <v>Kitchenette</v>
      </c>
      <c r="AJ359" s="2" t="str">
        <f t="shared" si="26"/>
        <v>NO</v>
      </c>
      <c r="AK359" s="1" t="str">
        <f t="shared" si="27"/>
        <v>None</v>
      </c>
      <c r="AL359" s="1" t="str">
        <f t="shared" si="28"/>
        <v>1 Toilet</v>
      </c>
      <c r="AM359" s="1" t="str">
        <f t="shared" si="29"/>
        <v>NO</v>
      </c>
      <c r="AN359" s="1" t="str">
        <f>VLOOKUP(J359, 'Regions and Cities'!A:B, 2, FALSE)</f>
        <v>Uusimaa</v>
      </c>
    </row>
    <row r="360" spans="1:40" x14ac:dyDescent="0.3">
      <c r="A360" t="s">
        <v>731</v>
      </c>
      <c r="B360" t="s">
        <v>732</v>
      </c>
      <c r="C360" t="s">
        <v>139</v>
      </c>
      <c r="D360" t="s">
        <v>733</v>
      </c>
      <c r="E360" t="s">
        <v>734</v>
      </c>
      <c r="F360" t="s">
        <v>58</v>
      </c>
      <c r="G360" t="s">
        <v>735</v>
      </c>
      <c r="H360">
        <v>180</v>
      </c>
      <c r="I360" t="s">
        <v>96</v>
      </c>
      <c r="J360" t="s">
        <v>139</v>
      </c>
      <c r="L360" t="s">
        <v>736</v>
      </c>
      <c r="M360" t="s">
        <v>37</v>
      </c>
      <c r="N360" t="s">
        <v>737</v>
      </c>
      <c r="O360" t="s">
        <v>738</v>
      </c>
      <c r="P360" t="s">
        <v>739</v>
      </c>
      <c r="Q360" t="s">
        <v>740</v>
      </c>
      <c r="R360" t="s">
        <v>37</v>
      </c>
      <c r="S360" t="s">
        <v>37</v>
      </c>
      <c r="T360">
        <v>61.495759999999997</v>
      </c>
      <c r="U360" t="s">
        <v>741</v>
      </c>
      <c r="V360" t="s">
        <v>742</v>
      </c>
      <c r="W360">
        <v>23.716010000000001</v>
      </c>
      <c r="X360">
        <v>298000</v>
      </c>
      <c r="Y360" t="s">
        <v>743</v>
      </c>
      <c r="AA360" t="s">
        <v>54</v>
      </c>
      <c r="AB360" t="s">
        <v>39</v>
      </c>
      <c r="AC360" t="s">
        <v>480</v>
      </c>
      <c r="AD360" t="s">
        <v>64</v>
      </c>
      <c r="AE360" t="s">
        <v>744</v>
      </c>
      <c r="AF360" t="s">
        <v>745</v>
      </c>
      <c r="AG360" t="s">
        <v>746</v>
      </c>
      <c r="AH360">
        <v>270</v>
      </c>
      <c r="AI360" s="2" t="str">
        <f t="shared" si="25"/>
        <v>Independent</v>
      </c>
      <c r="AJ360" s="2" t="str">
        <f t="shared" si="26"/>
        <v>NO</v>
      </c>
      <c r="AK360" s="1" t="str">
        <f t="shared" si="27"/>
        <v>None</v>
      </c>
      <c r="AL360" s="1" t="str">
        <f t="shared" si="28"/>
        <v>1 Toilet</v>
      </c>
      <c r="AM360" s="1" t="str">
        <f t="shared" si="29"/>
        <v>NO</v>
      </c>
      <c r="AN360" s="1" t="str">
        <f>VLOOKUP(J360, 'Regions and Cities'!A:B, 2, FALSE)</f>
        <v>Pirkanmaa</v>
      </c>
    </row>
    <row r="361" spans="1:40" x14ac:dyDescent="0.3">
      <c r="A361" t="s">
        <v>4154</v>
      </c>
      <c r="B361" t="s">
        <v>4155</v>
      </c>
      <c r="C361" t="s">
        <v>4156</v>
      </c>
      <c r="D361" t="s">
        <v>142</v>
      </c>
      <c r="E361" t="s">
        <v>143</v>
      </c>
      <c r="F361" t="s">
        <v>144</v>
      </c>
      <c r="G361" t="s">
        <v>967</v>
      </c>
      <c r="H361">
        <v>50</v>
      </c>
      <c r="I361" t="s">
        <v>35</v>
      </c>
      <c r="J361" t="s">
        <v>362</v>
      </c>
      <c r="K361" t="s">
        <v>4157</v>
      </c>
      <c r="L361" t="s">
        <v>4158</v>
      </c>
      <c r="M361" t="s">
        <v>37</v>
      </c>
      <c r="N361" t="s">
        <v>4159</v>
      </c>
      <c r="O361" t="s">
        <v>4160</v>
      </c>
      <c r="P361" t="s">
        <v>4161</v>
      </c>
      <c r="Q361" t="s">
        <v>4162</v>
      </c>
      <c r="R361" t="s">
        <v>37</v>
      </c>
      <c r="S361" t="s">
        <v>37</v>
      </c>
      <c r="T361">
        <v>61.491459999999996</v>
      </c>
      <c r="U361" t="s">
        <v>4163</v>
      </c>
      <c r="V361" t="s">
        <v>4164</v>
      </c>
      <c r="W361">
        <v>24.08426</v>
      </c>
      <c r="X361">
        <v>189000</v>
      </c>
      <c r="Y361" t="s">
        <v>995</v>
      </c>
      <c r="AA361" t="s">
        <v>45</v>
      </c>
      <c r="AB361" t="s">
        <v>39</v>
      </c>
      <c r="AC361" t="s">
        <v>480</v>
      </c>
      <c r="AD361" t="s">
        <v>40</v>
      </c>
      <c r="AE361" t="s">
        <v>4165</v>
      </c>
      <c r="AF361" t="s">
        <v>4166</v>
      </c>
      <c r="AG361" t="s">
        <v>4167</v>
      </c>
      <c r="AH361">
        <v>50</v>
      </c>
      <c r="AI361" s="2" t="str">
        <f t="shared" si="25"/>
        <v>Independent</v>
      </c>
      <c r="AJ361" s="2" t="str">
        <f t="shared" si="26"/>
        <v>NO</v>
      </c>
      <c r="AK361" s="1" t="str">
        <f t="shared" si="27"/>
        <v>Terrace</v>
      </c>
      <c r="AL361" s="1" t="str">
        <f t="shared" si="28"/>
        <v>1 Toilet</v>
      </c>
      <c r="AM361" s="1" t="str">
        <f t="shared" si="29"/>
        <v>YES</v>
      </c>
      <c r="AN361" s="1" t="str">
        <f>VLOOKUP(J361, 'Regions and Cities'!A:B, 2, FALSE)</f>
        <v>Pirkanmaa</v>
      </c>
    </row>
    <row r="362" spans="1:40" x14ac:dyDescent="0.3">
      <c r="A362" t="s">
        <v>9878</v>
      </c>
      <c r="B362" t="s">
        <v>9879</v>
      </c>
      <c r="C362" t="s">
        <v>9880</v>
      </c>
      <c r="D362" t="s">
        <v>9881</v>
      </c>
      <c r="E362" t="s">
        <v>9882</v>
      </c>
      <c r="F362" t="s">
        <v>9883</v>
      </c>
      <c r="H362">
        <v>180</v>
      </c>
      <c r="I362" t="s">
        <v>2538</v>
      </c>
      <c r="J362" t="s">
        <v>283</v>
      </c>
      <c r="K362" t="s">
        <v>98</v>
      </c>
      <c r="L362" t="s">
        <v>9884</v>
      </c>
      <c r="M362" t="s">
        <v>37</v>
      </c>
      <c r="N362" t="s">
        <v>9885</v>
      </c>
      <c r="O362" t="s">
        <v>9886</v>
      </c>
      <c r="R362" t="s">
        <v>37</v>
      </c>
      <c r="S362" t="s">
        <v>37</v>
      </c>
      <c r="T362">
        <v>60.461452000000001</v>
      </c>
      <c r="U362" t="s">
        <v>9887</v>
      </c>
      <c r="V362" t="s">
        <v>9888</v>
      </c>
      <c r="W362">
        <v>24.817492999999999</v>
      </c>
      <c r="X362">
        <v>248000</v>
      </c>
      <c r="Y362" t="s">
        <v>3202</v>
      </c>
      <c r="AA362" t="s">
        <v>63</v>
      </c>
      <c r="AB362" t="s">
        <v>39</v>
      </c>
      <c r="AC362" t="s">
        <v>6510</v>
      </c>
      <c r="AD362" t="s">
        <v>55</v>
      </c>
      <c r="AE362" t="s">
        <v>9889</v>
      </c>
      <c r="AF362" t="s">
        <v>9890</v>
      </c>
      <c r="AG362" t="s">
        <v>9891</v>
      </c>
      <c r="AH362">
        <v>274</v>
      </c>
      <c r="AI362" s="2" t="str">
        <f t="shared" si="25"/>
        <v>Independent</v>
      </c>
      <c r="AJ362" s="2" t="str">
        <f t="shared" si="26"/>
        <v>NO</v>
      </c>
      <c r="AK362" s="1" t="str">
        <f t="shared" si="27"/>
        <v>None</v>
      </c>
      <c r="AL362" s="1" t="str">
        <f t="shared" si="28"/>
        <v>1 Toilet</v>
      </c>
      <c r="AM362" s="1" t="str">
        <f t="shared" si="29"/>
        <v>YES</v>
      </c>
      <c r="AN362" s="1" t="str">
        <f>VLOOKUP(J362, 'Regions and Cities'!A:B, 2, FALSE)</f>
        <v>Uusimaa</v>
      </c>
    </row>
    <row r="363" spans="1:40" x14ac:dyDescent="0.3">
      <c r="A363" t="s">
        <v>4379</v>
      </c>
      <c r="B363" t="s">
        <v>4380</v>
      </c>
      <c r="C363" t="s">
        <v>4381</v>
      </c>
      <c r="D363" t="s">
        <v>4382</v>
      </c>
      <c r="E363" t="s">
        <v>4383</v>
      </c>
      <c r="F363" t="s">
        <v>105</v>
      </c>
      <c r="H363">
        <v>145</v>
      </c>
      <c r="I363" t="s">
        <v>216</v>
      </c>
      <c r="J363" t="s">
        <v>385</v>
      </c>
      <c r="K363" t="s">
        <v>4384</v>
      </c>
      <c r="L363" t="s">
        <v>4385</v>
      </c>
      <c r="M363" t="s">
        <v>37</v>
      </c>
      <c r="N363" t="s">
        <v>4386</v>
      </c>
      <c r="O363" t="s">
        <v>4387</v>
      </c>
      <c r="R363" t="s">
        <v>37</v>
      </c>
      <c r="S363" t="s">
        <v>37</v>
      </c>
      <c r="T363">
        <v>60.355414000000003</v>
      </c>
      <c r="U363" t="s">
        <v>4388</v>
      </c>
      <c r="V363" t="s">
        <v>4389</v>
      </c>
      <c r="W363">
        <v>24.341892999999999</v>
      </c>
      <c r="X363">
        <v>179000</v>
      </c>
      <c r="Y363" t="s">
        <v>117</v>
      </c>
      <c r="AA363" t="s">
        <v>63</v>
      </c>
      <c r="AB363" t="s">
        <v>39</v>
      </c>
      <c r="AC363" t="s">
        <v>480</v>
      </c>
      <c r="AD363" t="s">
        <v>75</v>
      </c>
      <c r="AE363" t="s">
        <v>4390</v>
      </c>
      <c r="AF363" t="s">
        <v>4391</v>
      </c>
      <c r="AG363" t="s">
        <v>4392</v>
      </c>
      <c r="AH363">
        <v>186</v>
      </c>
      <c r="AI363" s="2" t="str">
        <f t="shared" si="25"/>
        <v>Kitchenette</v>
      </c>
      <c r="AJ363" s="2" t="str">
        <f t="shared" si="26"/>
        <v>NO</v>
      </c>
      <c r="AK363" s="1" t="str">
        <f t="shared" si="27"/>
        <v>None</v>
      </c>
      <c r="AL363" s="1" t="str">
        <f t="shared" si="28"/>
        <v>1 Toilet</v>
      </c>
      <c r="AM363" s="1" t="str">
        <f t="shared" si="29"/>
        <v>YES</v>
      </c>
      <c r="AN363" s="1" t="str">
        <f>VLOOKUP(J363, 'Regions and Cities'!A:B, 2, FALSE)</f>
        <v>Uusimaa</v>
      </c>
    </row>
    <row r="364" spans="1:40" x14ac:dyDescent="0.3">
      <c r="A364" t="s">
        <v>5686</v>
      </c>
      <c r="B364" t="s">
        <v>5687</v>
      </c>
      <c r="C364" t="s">
        <v>5688</v>
      </c>
      <c r="D364" t="s">
        <v>77</v>
      </c>
      <c r="E364" t="s">
        <v>78</v>
      </c>
      <c r="F364" t="s">
        <v>79</v>
      </c>
      <c r="G364" t="s">
        <v>5689</v>
      </c>
      <c r="H364">
        <v>104</v>
      </c>
      <c r="I364" t="s">
        <v>294</v>
      </c>
      <c r="J364" t="s">
        <v>73</v>
      </c>
      <c r="K364" t="s">
        <v>131</v>
      </c>
      <c r="L364" t="s">
        <v>5690</v>
      </c>
      <c r="M364" t="s">
        <v>37</v>
      </c>
      <c r="N364" t="s">
        <v>5691</v>
      </c>
      <c r="O364" t="s">
        <v>5692</v>
      </c>
      <c r="P364" t="s">
        <v>5693</v>
      </c>
      <c r="R364" t="s">
        <v>37</v>
      </c>
      <c r="S364" t="s">
        <v>37</v>
      </c>
      <c r="T364">
        <v>62.244843000000003</v>
      </c>
      <c r="U364" t="s">
        <v>5694</v>
      </c>
      <c r="V364" t="s">
        <v>5695</v>
      </c>
      <c r="W364">
        <v>25.744425</v>
      </c>
      <c r="X364">
        <v>349000</v>
      </c>
      <c r="Y364" t="s">
        <v>284</v>
      </c>
      <c r="AA364" t="s">
        <v>38</v>
      </c>
      <c r="AB364" t="s">
        <v>39</v>
      </c>
      <c r="AC364" t="s">
        <v>5696</v>
      </c>
      <c r="AD364" t="s">
        <v>75</v>
      </c>
      <c r="AE364" t="s">
        <v>869</v>
      </c>
      <c r="AF364" t="s">
        <v>5697</v>
      </c>
      <c r="AG364" t="s">
        <v>5698</v>
      </c>
      <c r="AH364">
        <v>104</v>
      </c>
      <c r="AI364" s="2" t="str">
        <f t="shared" si="25"/>
        <v>Independent</v>
      </c>
      <c r="AJ364" s="2" t="str">
        <f t="shared" si="26"/>
        <v>YES</v>
      </c>
      <c r="AK364" s="1" t="str">
        <f t="shared" si="27"/>
        <v>None</v>
      </c>
      <c r="AL364" s="1" t="str">
        <f t="shared" si="28"/>
        <v>1 Toilet</v>
      </c>
      <c r="AM364" s="1" t="str">
        <f t="shared" si="29"/>
        <v>NO</v>
      </c>
      <c r="AN364" s="1" t="str">
        <f>VLOOKUP(J364, 'Regions and Cities'!A:B, 2, FALSE)</f>
        <v>Keski-Suomi</v>
      </c>
    </row>
    <row r="365" spans="1:40" x14ac:dyDescent="0.3">
      <c r="A365" t="s">
        <v>2257</v>
      </c>
      <c r="B365" t="s">
        <v>2258</v>
      </c>
      <c r="C365" t="s">
        <v>128</v>
      </c>
      <c r="D365" t="s">
        <v>211</v>
      </c>
      <c r="E365" t="s">
        <v>212</v>
      </c>
      <c r="F365" t="s">
        <v>79</v>
      </c>
      <c r="G365" t="s">
        <v>2137</v>
      </c>
      <c r="H365">
        <v>35</v>
      </c>
      <c r="I365" t="s">
        <v>81</v>
      </c>
      <c r="J365" t="s">
        <v>130</v>
      </c>
      <c r="K365" t="s">
        <v>131</v>
      </c>
      <c r="L365" t="s">
        <v>2259</v>
      </c>
      <c r="M365" t="s">
        <v>37</v>
      </c>
      <c r="N365" t="s">
        <v>2260</v>
      </c>
      <c r="O365" t="s">
        <v>2261</v>
      </c>
      <c r="P365" t="s">
        <v>2262</v>
      </c>
      <c r="R365" t="s">
        <v>37</v>
      </c>
      <c r="S365" t="s">
        <v>37</v>
      </c>
      <c r="T365">
        <v>62.894841999999997</v>
      </c>
      <c r="U365" t="s">
        <v>2263</v>
      </c>
      <c r="V365" t="s">
        <v>2264</v>
      </c>
      <c r="W365">
        <v>27.688123000000001</v>
      </c>
      <c r="X365">
        <v>117000</v>
      </c>
      <c r="Y365" t="s">
        <v>1103</v>
      </c>
      <c r="AA365" t="s">
        <v>38</v>
      </c>
      <c r="AB365" t="s">
        <v>39</v>
      </c>
      <c r="AC365" t="s">
        <v>480</v>
      </c>
      <c r="AD365" t="s">
        <v>202</v>
      </c>
      <c r="AE365" t="s">
        <v>2265</v>
      </c>
      <c r="AF365" t="s">
        <v>2266</v>
      </c>
      <c r="AG365" t="s">
        <v>2267</v>
      </c>
      <c r="AH365">
        <v>35</v>
      </c>
      <c r="AI365" s="2" t="str">
        <f t="shared" si="25"/>
        <v>Independent</v>
      </c>
      <c r="AJ365" s="2" t="str">
        <f t="shared" si="26"/>
        <v>NO</v>
      </c>
      <c r="AK365" s="1" t="str">
        <f t="shared" si="27"/>
        <v>None</v>
      </c>
      <c r="AL365" s="1" t="str">
        <f t="shared" si="28"/>
        <v>1 Toilet</v>
      </c>
      <c r="AM365" s="1" t="str">
        <f t="shared" si="29"/>
        <v>NO</v>
      </c>
      <c r="AN365" s="1" t="str">
        <f>VLOOKUP(J365, 'Regions and Cities'!A:B, 2, FALSE)</f>
        <v>Pohjois-Savo</v>
      </c>
    </row>
    <row r="366" spans="1:40" x14ac:dyDescent="0.3">
      <c r="A366" t="s">
        <v>8057</v>
      </c>
      <c r="B366" t="s">
        <v>8058</v>
      </c>
      <c r="C366" t="s">
        <v>306</v>
      </c>
      <c r="D366" t="s">
        <v>4992</v>
      </c>
      <c r="E366" t="s">
        <v>4993</v>
      </c>
      <c r="F366" t="s">
        <v>4994</v>
      </c>
      <c r="G366" t="s">
        <v>8059</v>
      </c>
      <c r="H366">
        <v>68.5</v>
      </c>
      <c r="I366" t="s">
        <v>8060</v>
      </c>
      <c r="J366" t="s">
        <v>110</v>
      </c>
      <c r="K366" t="s">
        <v>131</v>
      </c>
      <c r="L366" t="s">
        <v>8061</v>
      </c>
      <c r="M366" t="s">
        <v>37</v>
      </c>
      <c r="N366" t="s">
        <v>8062</v>
      </c>
      <c r="O366" t="s">
        <v>8063</v>
      </c>
      <c r="P366" t="s">
        <v>8064</v>
      </c>
      <c r="R366" t="s">
        <v>37</v>
      </c>
      <c r="S366" t="s">
        <v>37</v>
      </c>
      <c r="T366">
        <v>60.452919999999999</v>
      </c>
      <c r="U366" t="s">
        <v>8065</v>
      </c>
      <c r="V366" t="s">
        <v>8066</v>
      </c>
      <c r="W366">
        <v>22.2639</v>
      </c>
      <c r="X366">
        <v>219000</v>
      </c>
      <c r="Y366" t="s">
        <v>115</v>
      </c>
      <c r="AA366" t="s">
        <v>38</v>
      </c>
      <c r="AB366" t="s">
        <v>39</v>
      </c>
      <c r="AC366" t="s">
        <v>6510</v>
      </c>
      <c r="AD366" t="s">
        <v>46</v>
      </c>
      <c r="AE366" t="s">
        <v>7259</v>
      </c>
      <c r="AF366" t="s">
        <v>8067</v>
      </c>
      <c r="AG366" t="s">
        <v>8068</v>
      </c>
      <c r="AH366">
        <v>68.5</v>
      </c>
      <c r="AI366" s="2" t="str">
        <f t="shared" si="25"/>
        <v>Independent</v>
      </c>
      <c r="AJ366" s="2" t="str">
        <f t="shared" si="26"/>
        <v>NO</v>
      </c>
      <c r="AK366" s="1" t="str">
        <f t="shared" si="27"/>
        <v>Glazed Balcony</v>
      </c>
      <c r="AL366" s="1" t="str">
        <f t="shared" si="28"/>
        <v>1 Toilet</v>
      </c>
      <c r="AM366" s="1" t="str">
        <f t="shared" si="29"/>
        <v>NO</v>
      </c>
      <c r="AN366" s="1" t="str">
        <f>VLOOKUP(J366, 'Regions and Cities'!A:B, 2, FALSE)</f>
        <v>Varsinais-Suomi</v>
      </c>
    </row>
    <row r="367" spans="1:40" x14ac:dyDescent="0.3">
      <c r="A367" t="s">
        <v>1636</v>
      </c>
      <c r="B367" t="s">
        <v>1637</v>
      </c>
      <c r="C367" t="s">
        <v>1638</v>
      </c>
      <c r="D367" t="s">
        <v>1235</v>
      </c>
      <c r="E367" t="s">
        <v>1236</v>
      </c>
      <c r="F367" t="s">
        <v>50</v>
      </c>
      <c r="G367" t="s">
        <v>1639</v>
      </c>
      <c r="H367">
        <v>53</v>
      </c>
      <c r="I367" t="s">
        <v>35</v>
      </c>
      <c r="J367" t="s">
        <v>116</v>
      </c>
      <c r="K367" t="s">
        <v>1640</v>
      </c>
      <c r="L367" t="s">
        <v>1641</v>
      </c>
      <c r="M367" t="s">
        <v>37</v>
      </c>
      <c r="N367" t="s">
        <v>1642</v>
      </c>
      <c r="O367" t="s">
        <v>1643</v>
      </c>
      <c r="P367" t="s">
        <v>1644</v>
      </c>
      <c r="R367" t="s">
        <v>37</v>
      </c>
      <c r="S367" t="s">
        <v>37</v>
      </c>
      <c r="T367">
        <v>60.292740000000002</v>
      </c>
      <c r="U367" t="s">
        <v>1645</v>
      </c>
      <c r="V367" t="s">
        <v>1646</v>
      </c>
      <c r="W367">
        <v>25.068960000000001</v>
      </c>
      <c r="X367">
        <v>225000</v>
      </c>
      <c r="Y367" t="s">
        <v>1647</v>
      </c>
      <c r="AA367" t="s">
        <v>808</v>
      </c>
      <c r="AB367" t="s">
        <v>39</v>
      </c>
      <c r="AC367" t="s">
        <v>480</v>
      </c>
      <c r="AD367" t="s">
        <v>40</v>
      </c>
      <c r="AE367" t="s">
        <v>1648</v>
      </c>
      <c r="AF367" t="s">
        <v>1649</v>
      </c>
      <c r="AG367" t="s">
        <v>1650</v>
      </c>
      <c r="AH367">
        <v>53</v>
      </c>
      <c r="AI367" s="2" t="str">
        <f t="shared" si="25"/>
        <v>Independent</v>
      </c>
      <c r="AJ367" s="2" t="str">
        <f t="shared" si="26"/>
        <v>YES</v>
      </c>
      <c r="AK367" s="1" t="str">
        <f t="shared" si="27"/>
        <v>Glazed Balcony</v>
      </c>
      <c r="AL367" s="1" t="str">
        <f t="shared" si="28"/>
        <v>1 Toilet</v>
      </c>
      <c r="AM367" s="1" t="str">
        <f t="shared" si="29"/>
        <v>NO</v>
      </c>
      <c r="AN367" s="1" t="str">
        <f>VLOOKUP(J367, 'Regions and Cities'!A:B, 2, FALSE)</f>
        <v>Uusimaa</v>
      </c>
    </row>
    <row r="368" spans="1:40" x14ac:dyDescent="0.3">
      <c r="A368" t="s">
        <v>7999</v>
      </c>
      <c r="B368" t="s">
        <v>8000</v>
      </c>
      <c r="C368" t="s">
        <v>8001</v>
      </c>
      <c r="D368" t="s">
        <v>129</v>
      </c>
      <c r="E368" t="s">
        <v>5096</v>
      </c>
      <c r="F368" t="s">
        <v>105</v>
      </c>
      <c r="G368" t="s">
        <v>8002</v>
      </c>
      <c r="H368">
        <v>152</v>
      </c>
      <c r="I368" t="s">
        <v>109</v>
      </c>
      <c r="J368" t="s">
        <v>370</v>
      </c>
      <c r="K368" t="s">
        <v>8003</v>
      </c>
      <c r="L368" t="s">
        <v>8004</v>
      </c>
      <c r="M368" t="s">
        <v>37</v>
      </c>
      <c r="N368" t="s">
        <v>8005</v>
      </c>
      <c r="O368" t="s">
        <v>8006</v>
      </c>
      <c r="P368" t="s">
        <v>8007</v>
      </c>
      <c r="Q368" t="s">
        <v>8008</v>
      </c>
      <c r="R368" t="s">
        <v>37</v>
      </c>
      <c r="S368" t="s">
        <v>37</v>
      </c>
      <c r="T368">
        <v>60.384117000000003</v>
      </c>
      <c r="U368" t="s">
        <v>8009</v>
      </c>
      <c r="V368" t="s">
        <v>8010</v>
      </c>
      <c r="W368">
        <v>24.988648999999999</v>
      </c>
      <c r="X368">
        <v>585000</v>
      </c>
      <c r="Y368" t="s">
        <v>3779</v>
      </c>
      <c r="AA368" t="s">
        <v>63</v>
      </c>
      <c r="AB368" t="s">
        <v>39</v>
      </c>
      <c r="AC368" t="s">
        <v>6510</v>
      </c>
      <c r="AD368" t="s">
        <v>64</v>
      </c>
      <c r="AE368" t="s">
        <v>8011</v>
      </c>
      <c r="AF368" t="s">
        <v>8012</v>
      </c>
      <c r="AG368" t="s">
        <v>8013</v>
      </c>
      <c r="AH368">
        <v>174</v>
      </c>
      <c r="AI368" s="2" t="str">
        <f t="shared" si="25"/>
        <v>Independent</v>
      </c>
      <c r="AJ368" s="2" t="str">
        <f t="shared" si="26"/>
        <v>NO</v>
      </c>
      <c r="AK368" s="1" t="str">
        <f t="shared" si="27"/>
        <v>Terrace</v>
      </c>
      <c r="AL368" s="1" t="str">
        <f t="shared" si="28"/>
        <v>1 Toilet</v>
      </c>
      <c r="AM368" s="1" t="str">
        <f t="shared" si="29"/>
        <v>YES</v>
      </c>
      <c r="AN368" s="1" t="str">
        <f>VLOOKUP(J368, 'Regions and Cities'!A:B, 2, FALSE)</f>
        <v>Uusimaa</v>
      </c>
    </row>
    <row r="369" spans="1:40" x14ac:dyDescent="0.3">
      <c r="A369" t="s">
        <v>3530</v>
      </c>
      <c r="B369" t="s">
        <v>3531</v>
      </c>
      <c r="C369" t="s">
        <v>3532</v>
      </c>
      <c r="D369" t="s">
        <v>274</v>
      </c>
      <c r="E369" t="s">
        <v>275</v>
      </c>
      <c r="F369" t="s">
        <v>79</v>
      </c>
      <c r="G369" t="s">
        <v>3533</v>
      </c>
      <c r="H369">
        <v>61.5</v>
      </c>
      <c r="I369" t="s">
        <v>3534</v>
      </c>
      <c r="J369" t="s">
        <v>139</v>
      </c>
      <c r="K369" t="s">
        <v>3535</v>
      </c>
      <c r="L369" t="s">
        <v>3536</v>
      </c>
      <c r="M369" t="s">
        <v>37</v>
      </c>
      <c r="N369" t="s">
        <v>3537</v>
      </c>
      <c r="O369" t="s">
        <v>3538</v>
      </c>
      <c r="P369" t="s">
        <v>3539</v>
      </c>
      <c r="R369" t="s">
        <v>37</v>
      </c>
      <c r="S369" t="s">
        <v>37</v>
      </c>
      <c r="T369">
        <v>61.484507000000001</v>
      </c>
      <c r="U369" t="s">
        <v>3540</v>
      </c>
      <c r="V369" t="s">
        <v>3541</v>
      </c>
      <c r="W369">
        <v>23.926296000000001</v>
      </c>
      <c r="X369">
        <v>155000</v>
      </c>
      <c r="Y369" t="s">
        <v>231</v>
      </c>
      <c r="AA369" t="s">
        <v>45</v>
      </c>
      <c r="AB369" t="s">
        <v>39</v>
      </c>
      <c r="AC369" t="s">
        <v>480</v>
      </c>
      <c r="AD369" t="s">
        <v>40</v>
      </c>
      <c r="AE369" t="s">
        <v>3542</v>
      </c>
      <c r="AF369" t="s">
        <v>3543</v>
      </c>
      <c r="AG369" t="s">
        <v>3544</v>
      </c>
      <c r="AH369">
        <v>61.5</v>
      </c>
      <c r="AI369" s="2" t="str">
        <f t="shared" si="25"/>
        <v>Independent</v>
      </c>
      <c r="AJ369" s="2" t="str">
        <f t="shared" si="26"/>
        <v>YES</v>
      </c>
      <c r="AK369" s="1" t="str">
        <f t="shared" si="27"/>
        <v>Terrace</v>
      </c>
      <c r="AL369" s="1" t="str">
        <f t="shared" si="28"/>
        <v>1 Toilet</v>
      </c>
      <c r="AM369" s="1" t="str">
        <f t="shared" si="29"/>
        <v>YES</v>
      </c>
      <c r="AN369" s="1" t="str">
        <f>VLOOKUP(J369, 'Regions and Cities'!A:B, 2, FALSE)</f>
        <v>Pirkanmaa</v>
      </c>
    </row>
    <row r="370" spans="1:40" x14ac:dyDescent="0.3">
      <c r="A370" t="s">
        <v>763</v>
      </c>
      <c r="B370" t="s">
        <v>764</v>
      </c>
      <c r="C370" t="s">
        <v>765</v>
      </c>
      <c r="D370" t="s">
        <v>766</v>
      </c>
      <c r="E370" t="s">
        <v>767</v>
      </c>
      <c r="F370" t="s">
        <v>768</v>
      </c>
      <c r="H370">
        <v>76.5</v>
      </c>
      <c r="I370" t="s">
        <v>216</v>
      </c>
      <c r="J370" t="s">
        <v>126</v>
      </c>
      <c r="K370" t="s">
        <v>769</v>
      </c>
      <c r="L370" t="s">
        <v>770</v>
      </c>
      <c r="M370" t="s">
        <v>37</v>
      </c>
      <c r="N370" t="s">
        <v>771</v>
      </c>
      <c r="O370" t="s">
        <v>772</v>
      </c>
      <c r="R370" t="s">
        <v>37</v>
      </c>
      <c r="S370" t="s">
        <v>37</v>
      </c>
      <c r="T370">
        <v>60.153449999999999</v>
      </c>
      <c r="U370" t="s">
        <v>773</v>
      </c>
      <c r="V370" t="s">
        <v>774</v>
      </c>
      <c r="W370">
        <v>24.646380000000001</v>
      </c>
      <c r="X370">
        <v>195000</v>
      </c>
      <c r="Y370" t="s">
        <v>564</v>
      </c>
      <c r="AA370" t="s">
        <v>38</v>
      </c>
      <c r="AB370" t="s">
        <v>39</v>
      </c>
      <c r="AC370" t="s">
        <v>480</v>
      </c>
      <c r="AD370" t="s">
        <v>46</v>
      </c>
      <c r="AE370" t="s">
        <v>775</v>
      </c>
      <c r="AF370" t="s">
        <v>776</v>
      </c>
      <c r="AG370" t="s">
        <v>777</v>
      </c>
      <c r="AH370">
        <v>76.5</v>
      </c>
      <c r="AI370" s="2" t="str">
        <f t="shared" si="25"/>
        <v>Independent</v>
      </c>
      <c r="AJ370" s="2" t="str">
        <f t="shared" si="26"/>
        <v>NO</v>
      </c>
      <c r="AK370" s="1" t="str">
        <f t="shared" si="27"/>
        <v>None</v>
      </c>
      <c r="AL370" s="1" t="str">
        <f t="shared" si="28"/>
        <v>1 Toilet</v>
      </c>
      <c r="AM370" s="1" t="str">
        <f t="shared" si="29"/>
        <v>NO</v>
      </c>
      <c r="AN370" s="1" t="str">
        <f>VLOOKUP(J370, 'Regions and Cities'!A:B, 2, FALSE)</f>
        <v>Uusimaa</v>
      </c>
    </row>
    <row r="371" spans="1:40" x14ac:dyDescent="0.3">
      <c r="A371" t="s">
        <v>6049</v>
      </c>
      <c r="B371" t="s">
        <v>6050</v>
      </c>
      <c r="C371" t="s">
        <v>6051</v>
      </c>
      <c r="D371" t="s">
        <v>133</v>
      </c>
      <c r="E371" t="s">
        <v>134</v>
      </c>
      <c r="F371" t="s">
        <v>135</v>
      </c>
      <c r="H371">
        <v>19</v>
      </c>
      <c r="I371" t="s">
        <v>3627</v>
      </c>
      <c r="J371" t="s">
        <v>137</v>
      </c>
      <c r="K371" t="s">
        <v>6052</v>
      </c>
      <c r="L371" t="s">
        <v>6053</v>
      </c>
      <c r="M371" t="s">
        <v>37</v>
      </c>
      <c r="N371" t="s">
        <v>6054</v>
      </c>
      <c r="O371" t="s">
        <v>6055</v>
      </c>
      <c r="R371" t="s">
        <v>37</v>
      </c>
      <c r="S371" t="s">
        <v>37</v>
      </c>
      <c r="T371">
        <v>60.192667</v>
      </c>
      <c r="U371" t="s">
        <v>6056</v>
      </c>
      <c r="V371" t="s">
        <v>6057</v>
      </c>
      <c r="W371">
        <v>24.959976000000001</v>
      </c>
      <c r="X371">
        <v>114000</v>
      </c>
      <c r="Y371" t="s">
        <v>305</v>
      </c>
      <c r="AA371" t="s">
        <v>38</v>
      </c>
      <c r="AB371" t="s">
        <v>39</v>
      </c>
      <c r="AC371" t="s">
        <v>480</v>
      </c>
      <c r="AD371" t="s">
        <v>202</v>
      </c>
      <c r="AE371" t="s">
        <v>6058</v>
      </c>
      <c r="AF371" t="s">
        <v>6059</v>
      </c>
      <c r="AG371" t="s">
        <v>6060</v>
      </c>
      <c r="AH371">
        <v>19</v>
      </c>
      <c r="AI371" s="2" t="str">
        <f t="shared" si="25"/>
        <v>Kitchenette</v>
      </c>
      <c r="AJ371" s="2" t="str">
        <f t="shared" si="26"/>
        <v>NO</v>
      </c>
      <c r="AK371" s="1" t="str">
        <f t="shared" si="27"/>
        <v>None</v>
      </c>
      <c r="AL371" s="1" t="str">
        <f t="shared" si="28"/>
        <v>1 Toilet</v>
      </c>
      <c r="AM371" s="1" t="str">
        <f t="shared" si="29"/>
        <v>NO</v>
      </c>
      <c r="AN371" s="1" t="str">
        <f>VLOOKUP(J371, 'Regions and Cities'!A:B, 2, FALSE)</f>
        <v>Uusimaa</v>
      </c>
    </row>
    <row r="372" spans="1:40" x14ac:dyDescent="0.3">
      <c r="A372" t="s">
        <v>7124</v>
      </c>
      <c r="B372" t="s">
        <v>7125</v>
      </c>
      <c r="C372" t="s">
        <v>7126</v>
      </c>
      <c r="D372" t="s">
        <v>7127</v>
      </c>
      <c r="E372" t="s">
        <v>7128</v>
      </c>
      <c r="H372">
        <v>70</v>
      </c>
      <c r="I372" t="s">
        <v>589</v>
      </c>
      <c r="J372" t="s">
        <v>110</v>
      </c>
      <c r="K372" t="s">
        <v>5718</v>
      </c>
      <c r="L372" t="s">
        <v>7129</v>
      </c>
      <c r="M372" t="s">
        <v>37</v>
      </c>
      <c r="N372" t="s">
        <v>7130</v>
      </c>
      <c r="O372" t="s">
        <v>7131</v>
      </c>
      <c r="R372" t="s">
        <v>37</v>
      </c>
      <c r="S372" t="s">
        <v>37</v>
      </c>
      <c r="T372">
        <v>60.419156000000001</v>
      </c>
      <c r="U372" t="s">
        <v>7132</v>
      </c>
      <c r="V372" t="s">
        <v>7133</v>
      </c>
      <c r="W372">
        <v>22.307231000000002</v>
      </c>
      <c r="X372">
        <v>148000</v>
      </c>
      <c r="Y372" t="s">
        <v>5960</v>
      </c>
      <c r="AA372" t="s">
        <v>45</v>
      </c>
      <c r="AB372" t="s">
        <v>39</v>
      </c>
      <c r="AC372" t="s">
        <v>6510</v>
      </c>
      <c r="AD372" t="s">
        <v>40</v>
      </c>
      <c r="AE372" t="s">
        <v>7134</v>
      </c>
      <c r="AF372" t="s">
        <v>7135</v>
      </c>
      <c r="AG372" t="s">
        <v>7136</v>
      </c>
      <c r="AH372"/>
      <c r="AI372" s="2" t="str">
        <f t="shared" si="25"/>
        <v>Independent</v>
      </c>
      <c r="AJ372" s="2" t="str">
        <f t="shared" si="26"/>
        <v>YES</v>
      </c>
      <c r="AK372" s="1" t="str">
        <f t="shared" si="27"/>
        <v>None</v>
      </c>
      <c r="AL372" s="1" t="str">
        <f t="shared" si="28"/>
        <v>1 Toilet</v>
      </c>
      <c r="AM372" s="1" t="str">
        <f t="shared" si="29"/>
        <v>YES</v>
      </c>
      <c r="AN372" s="1" t="str">
        <f>VLOOKUP(J372, 'Regions and Cities'!A:B, 2, FALSE)</f>
        <v>Varsinais-Suomi</v>
      </c>
    </row>
    <row r="373" spans="1:40" x14ac:dyDescent="0.3">
      <c r="A373" t="s">
        <v>3902</v>
      </c>
      <c r="B373" t="s">
        <v>3903</v>
      </c>
      <c r="C373" t="s">
        <v>3904</v>
      </c>
      <c r="D373" t="s">
        <v>3905</v>
      </c>
      <c r="E373" t="s">
        <v>3906</v>
      </c>
      <c r="F373" t="s">
        <v>3907</v>
      </c>
      <c r="H373">
        <v>93</v>
      </c>
      <c r="I373" t="s">
        <v>909</v>
      </c>
      <c r="J373" t="s">
        <v>398</v>
      </c>
      <c r="K373" t="s">
        <v>3009</v>
      </c>
      <c r="L373" t="s">
        <v>3908</v>
      </c>
      <c r="M373" t="s">
        <v>37</v>
      </c>
      <c r="N373" t="s">
        <v>3909</v>
      </c>
      <c r="O373" t="s">
        <v>3910</v>
      </c>
      <c r="R373" t="s">
        <v>37</v>
      </c>
      <c r="S373" t="s">
        <v>37</v>
      </c>
      <c r="T373">
        <v>62.625489999999999</v>
      </c>
      <c r="U373" t="s">
        <v>3911</v>
      </c>
      <c r="V373" t="s">
        <v>3912</v>
      </c>
      <c r="W373">
        <v>22.392035</v>
      </c>
      <c r="X373">
        <v>63000</v>
      </c>
      <c r="Y373" t="s">
        <v>3913</v>
      </c>
      <c r="AA373" t="s">
        <v>38</v>
      </c>
      <c r="AB373" t="s">
        <v>39</v>
      </c>
      <c r="AC373" t="s">
        <v>480</v>
      </c>
      <c r="AD373" t="s">
        <v>75</v>
      </c>
      <c r="AE373" t="s">
        <v>3914</v>
      </c>
      <c r="AF373" t="s">
        <v>3915</v>
      </c>
      <c r="AG373" t="s">
        <v>3916</v>
      </c>
      <c r="AH373">
        <v>93</v>
      </c>
      <c r="AI373" s="2" t="str">
        <f t="shared" si="25"/>
        <v>Independent</v>
      </c>
      <c r="AJ373" s="2" t="str">
        <f t="shared" si="26"/>
        <v>NO</v>
      </c>
      <c r="AK373" s="1" t="str">
        <f t="shared" si="27"/>
        <v>Standard Balcony</v>
      </c>
      <c r="AL373" s="1" t="str">
        <f t="shared" si="28"/>
        <v>1 Toilet</v>
      </c>
      <c r="AM373" s="1" t="str">
        <f t="shared" si="29"/>
        <v>YES</v>
      </c>
      <c r="AN373" s="1" t="str">
        <f>VLOOKUP(J373, 'Regions and Cities'!A:B, 2, FALSE)</f>
        <v>Etelä-Pohjanmaa</v>
      </c>
    </row>
    <row r="374" spans="1:40" x14ac:dyDescent="0.3">
      <c r="A374" t="s">
        <v>1651</v>
      </c>
      <c r="B374" t="s">
        <v>1652</v>
      </c>
      <c r="C374" t="s">
        <v>1653</v>
      </c>
      <c r="D374" t="s">
        <v>815</v>
      </c>
      <c r="E374" t="s">
        <v>816</v>
      </c>
      <c r="F374" t="s">
        <v>817</v>
      </c>
      <c r="H374">
        <v>46</v>
      </c>
      <c r="I374" t="s">
        <v>1654</v>
      </c>
      <c r="J374" t="s">
        <v>137</v>
      </c>
      <c r="K374" t="s">
        <v>1655</v>
      </c>
      <c r="L374" t="s">
        <v>1656</v>
      </c>
      <c r="M374" t="s">
        <v>37</v>
      </c>
      <c r="N374" t="s">
        <v>1657</v>
      </c>
      <c r="O374" t="s">
        <v>1658</v>
      </c>
      <c r="R374" t="s">
        <v>37</v>
      </c>
      <c r="S374" t="s">
        <v>37</v>
      </c>
      <c r="T374">
        <v>60.223509</v>
      </c>
      <c r="U374" t="s">
        <v>1659</v>
      </c>
      <c r="V374" t="s">
        <v>1660</v>
      </c>
      <c r="W374">
        <v>24.948649</v>
      </c>
      <c r="X374">
        <v>245000</v>
      </c>
      <c r="Y374" t="s">
        <v>1661</v>
      </c>
      <c r="AA374" t="s">
        <v>38</v>
      </c>
      <c r="AB374" t="s">
        <v>39</v>
      </c>
      <c r="AC374" t="s">
        <v>480</v>
      </c>
      <c r="AD374" t="s">
        <v>40</v>
      </c>
      <c r="AE374" t="s">
        <v>1662</v>
      </c>
      <c r="AF374" t="s">
        <v>1663</v>
      </c>
      <c r="AG374" t="s">
        <v>1664</v>
      </c>
      <c r="AH374">
        <v>46</v>
      </c>
      <c r="AI374" s="2" t="str">
        <f t="shared" si="25"/>
        <v>Kitchenette</v>
      </c>
      <c r="AJ374" s="2" t="str">
        <f t="shared" si="26"/>
        <v>NO</v>
      </c>
      <c r="AK374" s="1" t="str">
        <f t="shared" si="27"/>
        <v>Glazed Balcony</v>
      </c>
      <c r="AL374" s="1" t="str">
        <f t="shared" si="28"/>
        <v>1 Toilet</v>
      </c>
      <c r="AM374" s="1" t="str">
        <f t="shared" si="29"/>
        <v>NO</v>
      </c>
      <c r="AN374" s="1" t="str">
        <f>VLOOKUP(J374, 'Regions and Cities'!A:B, 2, FALSE)</f>
        <v>Uusimaa</v>
      </c>
    </row>
    <row r="375" spans="1:40" x14ac:dyDescent="0.3">
      <c r="A375" t="s">
        <v>4635</v>
      </c>
      <c r="B375" t="s">
        <v>4636</v>
      </c>
      <c r="C375" t="s">
        <v>4637</v>
      </c>
      <c r="D375" t="s">
        <v>4638</v>
      </c>
      <c r="E375" t="s">
        <v>4639</v>
      </c>
      <c r="F375" t="s">
        <v>79</v>
      </c>
      <c r="G375" t="s">
        <v>4640</v>
      </c>
      <c r="H375">
        <v>90</v>
      </c>
      <c r="J375" t="s">
        <v>405</v>
      </c>
      <c r="K375" t="s">
        <v>4641</v>
      </c>
      <c r="L375" t="s">
        <v>4642</v>
      </c>
      <c r="M375" t="s">
        <v>37</v>
      </c>
      <c r="N375" t="s">
        <v>4643</v>
      </c>
      <c r="O375" t="s">
        <v>4644</v>
      </c>
      <c r="P375" t="s">
        <v>4645</v>
      </c>
      <c r="Q375" t="s">
        <v>4646</v>
      </c>
      <c r="R375" t="s">
        <v>37</v>
      </c>
      <c r="S375" t="s">
        <v>37</v>
      </c>
      <c r="T375">
        <v>60.549805999999997</v>
      </c>
      <c r="U375" t="s">
        <v>4647</v>
      </c>
      <c r="V375" t="s">
        <v>4648</v>
      </c>
      <c r="W375">
        <v>27.14893</v>
      </c>
      <c r="X375">
        <v>34000</v>
      </c>
      <c r="Y375" t="s">
        <v>4649</v>
      </c>
      <c r="AA375" t="s">
        <v>63</v>
      </c>
      <c r="AB375" t="s">
        <v>39</v>
      </c>
      <c r="AC375" t="s">
        <v>480</v>
      </c>
      <c r="AD375" t="s">
        <v>75</v>
      </c>
      <c r="AE375" t="s">
        <v>4650</v>
      </c>
      <c r="AF375" t="s">
        <v>4651</v>
      </c>
      <c r="AG375" t="s">
        <v>4652</v>
      </c>
      <c r="AH375">
        <v>110</v>
      </c>
      <c r="AI375" s="2" t="str">
        <f t="shared" si="25"/>
        <v>Kitchenette</v>
      </c>
      <c r="AJ375" s="2" t="str">
        <f t="shared" si="26"/>
        <v>NO</v>
      </c>
      <c r="AK375" s="1" t="str">
        <f t="shared" si="27"/>
        <v>None</v>
      </c>
      <c r="AL375" s="1" t="str">
        <f t="shared" si="28"/>
        <v>1 Toilet</v>
      </c>
      <c r="AM375" s="1" t="str">
        <f t="shared" si="29"/>
        <v>NO</v>
      </c>
      <c r="AN375" s="1" t="str">
        <f>VLOOKUP(J375, 'Regions and Cities'!A:B, 2, FALSE)</f>
        <v>Kymenlaakso</v>
      </c>
    </row>
    <row r="376" spans="1:40" x14ac:dyDescent="0.3">
      <c r="A376" t="s">
        <v>1869</v>
      </c>
      <c r="B376" t="s">
        <v>1870</v>
      </c>
      <c r="C376" t="s">
        <v>1871</v>
      </c>
      <c r="D376" t="s">
        <v>1872</v>
      </c>
      <c r="E376" t="s">
        <v>1873</v>
      </c>
      <c r="F376" t="s">
        <v>1874</v>
      </c>
      <c r="G376" t="s">
        <v>1875</v>
      </c>
      <c r="I376" t="s">
        <v>589</v>
      </c>
      <c r="J376" t="s">
        <v>130</v>
      </c>
      <c r="K376" t="s">
        <v>1876</v>
      </c>
      <c r="L376" t="s">
        <v>1877</v>
      </c>
      <c r="M376" t="s">
        <v>37</v>
      </c>
      <c r="N376" t="s">
        <v>1878</v>
      </c>
      <c r="O376" t="s">
        <v>1879</v>
      </c>
      <c r="P376" t="s">
        <v>1880</v>
      </c>
      <c r="R376" t="s">
        <v>37</v>
      </c>
      <c r="S376" t="s">
        <v>37</v>
      </c>
      <c r="T376">
        <v>62.899270000000001</v>
      </c>
      <c r="U376" t="s">
        <v>1881</v>
      </c>
      <c r="V376" t="s">
        <v>1882</v>
      </c>
      <c r="W376">
        <v>27.719289</v>
      </c>
      <c r="X376">
        <v>89000</v>
      </c>
      <c r="Y376" t="s">
        <v>282</v>
      </c>
      <c r="AA376" t="s">
        <v>38</v>
      </c>
      <c r="AB376" t="s">
        <v>39</v>
      </c>
      <c r="AC376" t="s">
        <v>480</v>
      </c>
      <c r="AD376">
        <v>2</v>
      </c>
      <c r="AE376" t="s">
        <v>1883</v>
      </c>
      <c r="AF376" t="s">
        <v>1884</v>
      </c>
      <c r="AG376" t="s">
        <v>1885</v>
      </c>
      <c r="AH376">
        <v>45.5</v>
      </c>
      <c r="AI376" s="2" t="str">
        <f t="shared" si="25"/>
        <v>Kitchenette</v>
      </c>
      <c r="AJ376" s="2" t="str">
        <f t="shared" si="26"/>
        <v>NO</v>
      </c>
      <c r="AK376" s="1" t="str">
        <f t="shared" si="27"/>
        <v>None</v>
      </c>
      <c r="AL376" s="1" t="str">
        <f t="shared" si="28"/>
        <v>1 Toilet</v>
      </c>
      <c r="AM376" s="1" t="str">
        <f t="shared" si="29"/>
        <v>NO</v>
      </c>
      <c r="AN376" s="1" t="str">
        <f>VLOOKUP(J376, 'Regions and Cities'!A:B, 2, FALSE)</f>
        <v>Pohjois-Savo</v>
      </c>
    </row>
    <row r="377" spans="1:40" x14ac:dyDescent="0.3">
      <c r="A377" t="s">
        <v>3813</v>
      </c>
      <c r="B377" t="s">
        <v>3814</v>
      </c>
      <c r="C377" t="s">
        <v>3815</v>
      </c>
      <c r="D377" t="s">
        <v>3816</v>
      </c>
      <c r="E377" t="s">
        <v>3817</v>
      </c>
      <c r="F377" t="s">
        <v>3818</v>
      </c>
      <c r="H377">
        <v>55</v>
      </c>
      <c r="I377" t="s">
        <v>1654</v>
      </c>
      <c r="J377" t="s">
        <v>158</v>
      </c>
      <c r="K377" t="s">
        <v>131</v>
      </c>
      <c r="L377" t="s">
        <v>3819</v>
      </c>
      <c r="M377" t="s">
        <v>37</v>
      </c>
      <c r="N377" t="s">
        <v>3820</v>
      </c>
      <c r="O377" t="s">
        <v>3821</v>
      </c>
      <c r="R377" t="s">
        <v>37</v>
      </c>
      <c r="S377" t="s">
        <v>37</v>
      </c>
      <c r="T377">
        <v>60.380780000000001</v>
      </c>
      <c r="U377" t="s">
        <v>3822</v>
      </c>
      <c r="V377" t="s">
        <v>3823</v>
      </c>
      <c r="W377">
        <v>23.128409999999999</v>
      </c>
      <c r="X377">
        <v>66000</v>
      </c>
      <c r="Y377" t="s">
        <v>3824</v>
      </c>
      <c r="AA377" t="s">
        <v>38</v>
      </c>
      <c r="AB377" t="s">
        <v>39</v>
      </c>
      <c r="AC377" t="s">
        <v>480</v>
      </c>
      <c r="AD377" t="s">
        <v>40</v>
      </c>
      <c r="AE377" t="s">
        <v>3825</v>
      </c>
      <c r="AF377" t="s">
        <v>3826</v>
      </c>
      <c r="AG377" t="s">
        <v>3827</v>
      </c>
      <c r="AH377">
        <v>55</v>
      </c>
      <c r="AI377" s="2" t="str">
        <f t="shared" si="25"/>
        <v>Independent</v>
      </c>
      <c r="AJ377" s="2" t="str">
        <f t="shared" si="26"/>
        <v>NO</v>
      </c>
      <c r="AK377" s="1" t="str">
        <f t="shared" si="27"/>
        <v>Standard Balcony</v>
      </c>
      <c r="AL377" s="1" t="str">
        <f t="shared" si="28"/>
        <v>1 Toilet</v>
      </c>
      <c r="AM377" s="1" t="str">
        <f t="shared" si="29"/>
        <v>NO</v>
      </c>
      <c r="AN377" s="1" t="str">
        <f>VLOOKUP(J377, 'Regions and Cities'!A:B, 2, FALSE)</f>
        <v>Varsinais-Suomi</v>
      </c>
    </row>
    <row r="378" spans="1:40" x14ac:dyDescent="0.3">
      <c r="A378" t="s">
        <v>8374</v>
      </c>
      <c r="B378" t="s">
        <v>8375</v>
      </c>
      <c r="C378" t="s">
        <v>3787</v>
      </c>
      <c r="D378" t="s">
        <v>8376</v>
      </c>
      <c r="E378" t="s">
        <v>8377</v>
      </c>
      <c r="F378" t="s">
        <v>79</v>
      </c>
      <c r="G378" t="s">
        <v>8378</v>
      </c>
      <c r="H378">
        <v>57</v>
      </c>
      <c r="I378" t="s">
        <v>183</v>
      </c>
      <c r="J378" t="s">
        <v>378</v>
      </c>
      <c r="K378" t="s">
        <v>131</v>
      </c>
      <c r="L378" t="s">
        <v>8379</v>
      </c>
      <c r="M378" t="s">
        <v>37</v>
      </c>
      <c r="N378" t="s">
        <v>8380</v>
      </c>
      <c r="O378" t="s">
        <v>8381</v>
      </c>
      <c r="P378" t="s">
        <v>8382</v>
      </c>
      <c r="Q378" t="s">
        <v>8383</v>
      </c>
      <c r="R378" t="s">
        <v>37</v>
      </c>
      <c r="S378" t="s">
        <v>37</v>
      </c>
      <c r="T378">
        <v>61.695791999999997</v>
      </c>
      <c r="U378" t="s">
        <v>8384</v>
      </c>
      <c r="V378" t="s">
        <v>8385</v>
      </c>
      <c r="W378">
        <v>27.280964000000001</v>
      </c>
      <c r="X378">
        <v>159000</v>
      </c>
      <c r="Y378" t="s">
        <v>83</v>
      </c>
      <c r="AA378" t="s">
        <v>38</v>
      </c>
      <c r="AB378" t="s">
        <v>39</v>
      </c>
      <c r="AC378" t="s">
        <v>6510</v>
      </c>
      <c r="AD378" t="s">
        <v>40</v>
      </c>
      <c r="AE378" t="s">
        <v>209</v>
      </c>
      <c r="AF378" t="s">
        <v>8386</v>
      </c>
      <c r="AG378" t="s">
        <v>8387</v>
      </c>
      <c r="AH378">
        <v>57</v>
      </c>
      <c r="AI378" s="2" t="str">
        <f t="shared" si="25"/>
        <v>Independent</v>
      </c>
      <c r="AJ378" s="2" t="str">
        <f t="shared" si="26"/>
        <v>NO</v>
      </c>
      <c r="AK378" s="1" t="str">
        <f t="shared" si="27"/>
        <v>None</v>
      </c>
      <c r="AL378" s="1" t="str">
        <f t="shared" si="28"/>
        <v>1 Toilet</v>
      </c>
      <c r="AM378" s="1" t="str">
        <f t="shared" si="29"/>
        <v>NO</v>
      </c>
      <c r="AN378" s="1" t="str">
        <f>VLOOKUP(J378, 'Regions and Cities'!A:B, 2, FALSE)</f>
        <v>Etelä-Savo</v>
      </c>
    </row>
    <row r="379" spans="1:40" x14ac:dyDescent="0.3">
      <c r="A379" t="s">
        <v>7082</v>
      </c>
      <c r="B379" t="s">
        <v>7083</v>
      </c>
      <c r="C379" t="s">
        <v>412</v>
      </c>
      <c r="D379" t="s">
        <v>1549</v>
      </c>
      <c r="E379" t="s">
        <v>1550</v>
      </c>
      <c r="F379" t="s">
        <v>1551</v>
      </c>
      <c r="H379">
        <v>60</v>
      </c>
      <c r="I379" t="s">
        <v>156</v>
      </c>
      <c r="J379" t="s">
        <v>412</v>
      </c>
      <c r="L379" t="s">
        <v>7084</v>
      </c>
      <c r="M379" t="s">
        <v>37</v>
      </c>
      <c r="N379" t="s">
        <v>7085</v>
      </c>
      <c r="O379" t="s">
        <v>7086</v>
      </c>
      <c r="R379" t="s">
        <v>37</v>
      </c>
      <c r="S379" t="s">
        <v>37</v>
      </c>
      <c r="T379">
        <v>63.891060000000003</v>
      </c>
      <c r="U379" t="s">
        <v>7087</v>
      </c>
      <c r="V379" t="s">
        <v>7088</v>
      </c>
      <c r="W379">
        <v>23.948460000000001</v>
      </c>
      <c r="X379">
        <v>46000</v>
      </c>
      <c r="Y379" t="s">
        <v>1711</v>
      </c>
      <c r="AA379" t="s">
        <v>45</v>
      </c>
      <c r="AB379" t="s">
        <v>39</v>
      </c>
      <c r="AC379" t="s">
        <v>6510</v>
      </c>
      <c r="AD379" t="s">
        <v>40</v>
      </c>
      <c r="AE379" t="s">
        <v>7089</v>
      </c>
      <c r="AF379" t="s">
        <v>7090</v>
      </c>
      <c r="AG379" t="s">
        <v>7091</v>
      </c>
      <c r="AH379">
        <v>60</v>
      </c>
      <c r="AI379" s="2" t="str">
        <f t="shared" si="25"/>
        <v>Independent</v>
      </c>
      <c r="AJ379" s="2" t="str">
        <f t="shared" si="26"/>
        <v>YES</v>
      </c>
      <c r="AK379" s="1" t="str">
        <f t="shared" si="27"/>
        <v>None</v>
      </c>
      <c r="AL379" s="1" t="str">
        <f t="shared" si="28"/>
        <v>1 Toilet</v>
      </c>
      <c r="AM379" s="1" t="str">
        <f t="shared" si="29"/>
        <v>NO</v>
      </c>
      <c r="AN379" s="1" t="str">
        <f>VLOOKUP(J379, 'Regions and Cities'!A:B, 2, FALSE)</f>
        <v>Keski-Pohjanmaa</v>
      </c>
    </row>
    <row r="380" spans="1:40" x14ac:dyDescent="0.3">
      <c r="A380" t="s">
        <v>4436</v>
      </c>
      <c r="B380" t="s">
        <v>4437</v>
      </c>
      <c r="C380" t="s">
        <v>4438</v>
      </c>
      <c r="D380" t="s">
        <v>1946</v>
      </c>
      <c r="E380" t="s">
        <v>1947</v>
      </c>
      <c r="F380" t="s">
        <v>1948</v>
      </c>
      <c r="H380">
        <v>98.5</v>
      </c>
      <c r="I380" t="s">
        <v>589</v>
      </c>
      <c r="J380" t="s">
        <v>116</v>
      </c>
      <c r="K380" t="s">
        <v>4439</v>
      </c>
      <c r="L380" t="s">
        <v>4440</v>
      </c>
      <c r="M380" t="s">
        <v>37</v>
      </c>
      <c r="N380" t="s">
        <v>4441</v>
      </c>
      <c r="O380" t="s">
        <v>4442</v>
      </c>
      <c r="R380" t="s">
        <v>37</v>
      </c>
      <c r="S380" t="s">
        <v>37</v>
      </c>
      <c r="T380">
        <v>60.251719999999999</v>
      </c>
      <c r="U380" t="s">
        <v>4443</v>
      </c>
      <c r="V380" t="s">
        <v>4444</v>
      </c>
      <c r="W380">
        <v>25.087520000000001</v>
      </c>
      <c r="X380">
        <v>220000</v>
      </c>
      <c r="Y380" t="s">
        <v>155</v>
      </c>
      <c r="AA380" t="s">
        <v>45</v>
      </c>
      <c r="AB380" t="s">
        <v>39</v>
      </c>
      <c r="AC380" t="s">
        <v>480</v>
      </c>
      <c r="AD380" t="s">
        <v>75</v>
      </c>
      <c r="AE380" t="s">
        <v>4445</v>
      </c>
      <c r="AF380" t="s">
        <v>4446</v>
      </c>
      <c r="AG380" t="s">
        <v>4447</v>
      </c>
      <c r="AH380">
        <v>98.5</v>
      </c>
      <c r="AI380" s="2" t="str">
        <f t="shared" si="25"/>
        <v>Independent</v>
      </c>
      <c r="AJ380" s="2" t="str">
        <f t="shared" si="26"/>
        <v>YES</v>
      </c>
      <c r="AK380" s="1" t="str">
        <f t="shared" si="27"/>
        <v>None</v>
      </c>
      <c r="AL380" s="1" t="str">
        <f t="shared" si="28"/>
        <v>1 Toilet</v>
      </c>
      <c r="AM380" s="1" t="str">
        <f t="shared" si="29"/>
        <v>NO</v>
      </c>
      <c r="AN380" s="1" t="str">
        <f>VLOOKUP(J380, 'Regions and Cities'!A:B, 2, FALSE)</f>
        <v>Uusimaa</v>
      </c>
    </row>
    <row r="381" spans="1:40" x14ac:dyDescent="0.3">
      <c r="A381" t="s">
        <v>4760</v>
      </c>
      <c r="B381" t="s">
        <v>4761</v>
      </c>
      <c r="C381" t="s">
        <v>4762</v>
      </c>
      <c r="D381" t="s">
        <v>4638</v>
      </c>
      <c r="E381" t="s">
        <v>4639</v>
      </c>
      <c r="F381" t="s">
        <v>79</v>
      </c>
      <c r="G381" t="s">
        <v>4640</v>
      </c>
      <c r="H381">
        <v>75.5</v>
      </c>
      <c r="I381" t="s">
        <v>252</v>
      </c>
      <c r="J381" t="s">
        <v>405</v>
      </c>
      <c r="K381" t="s">
        <v>4763</v>
      </c>
      <c r="L381" t="s">
        <v>4764</v>
      </c>
      <c r="M381" t="s">
        <v>37</v>
      </c>
      <c r="N381" t="s">
        <v>4765</v>
      </c>
      <c r="O381" t="s">
        <v>4766</v>
      </c>
      <c r="P381" t="s">
        <v>4767</v>
      </c>
      <c r="Q381" t="s">
        <v>4768</v>
      </c>
      <c r="R381" t="s">
        <v>37</v>
      </c>
      <c r="S381" t="s">
        <v>37</v>
      </c>
      <c r="T381">
        <v>60.599435</v>
      </c>
      <c r="U381" t="s">
        <v>4769</v>
      </c>
      <c r="V381" t="s">
        <v>4770</v>
      </c>
      <c r="W381">
        <v>27.174714000000002</v>
      </c>
      <c r="X381">
        <v>43000</v>
      </c>
      <c r="Y381" t="s">
        <v>4771</v>
      </c>
      <c r="AA381" t="s">
        <v>38</v>
      </c>
      <c r="AB381" t="s">
        <v>39</v>
      </c>
      <c r="AC381" t="s">
        <v>480</v>
      </c>
      <c r="AD381" t="s">
        <v>46</v>
      </c>
      <c r="AE381" t="s">
        <v>4772</v>
      </c>
      <c r="AF381" t="s">
        <v>4773</v>
      </c>
      <c r="AG381" t="s">
        <v>4774</v>
      </c>
      <c r="AH381">
        <v>75.5</v>
      </c>
      <c r="AI381" s="2" t="str">
        <f t="shared" si="25"/>
        <v>Independent</v>
      </c>
      <c r="AJ381" s="2" t="str">
        <f t="shared" si="26"/>
        <v>NO</v>
      </c>
      <c r="AK381" s="1" t="str">
        <f t="shared" si="27"/>
        <v>None</v>
      </c>
      <c r="AL381" s="1" t="str">
        <f t="shared" si="28"/>
        <v>1 Toilet</v>
      </c>
      <c r="AM381" s="1" t="str">
        <f t="shared" si="29"/>
        <v>NO</v>
      </c>
      <c r="AN381" s="1" t="str">
        <f>VLOOKUP(J381, 'Regions and Cities'!A:B, 2, FALSE)</f>
        <v>Kymenlaakso</v>
      </c>
    </row>
    <row r="382" spans="1:40" x14ac:dyDescent="0.3">
      <c r="A382" t="s">
        <v>7168</v>
      </c>
      <c r="B382" t="s">
        <v>7169</v>
      </c>
      <c r="C382" t="s">
        <v>765</v>
      </c>
      <c r="D382" t="s">
        <v>5702</v>
      </c>
      <c r="E382" t="s">
        <v>5703</v>
      </c>
      <c r="F382" t="s">
        <v>5704</v>
      </c>
      <c r="H382">
        <v>64.5</v>
      </c>
      <c r="I382" t="s">
        <v>190</v>
      </c>
      <c r="J382" t="s">
        <v>126</v>
      </c>
      <c r="K382" t="s">
        <v>769</v>
      </c>
      <c r="L382" t="s">
        <v>7170</v>
      </c>
      <c r="M382" t="s">
        <v>37</v>
      </c>
      <c r="N382" t="s">
        <v>7171</v>
      </c>
      <c r="O382" t="s">
        <v>7172</v>
      </c>
      <c r="R382" t="s">
        <v>37</v>
      </c>
      <c r="S382" t="s">
        <v>37</v>
      </c>
      <c r="T382">
        <v>60.157238</v>
      </c>
      <c r="U382" t="s">
        <v>7173</v>
      </c>
      <c r="V382" t="s">
        <v>7174</v>
      </c>
      <c r="W382">
        <v>24.624054999999998</v>
      </c>
      <c r="X382">
        <v>318000</v>
      </c>
      <c r="Y382" t="s">
        <v>1805</v>
      </c>
      <c r="AA382" t="s">
        <v>38</v>
      </c>
      <c r="AB382" t="s">
        <v>39</v>
      </c>
      <c r="AC382" t="s">
        <v>6510</v>
      </c>
      <c r="AD382" t="s">
        <v>46</v>
      </c>
      <c r="AE382" t="s">
        <v>7175</v>
      </c>
      <c r="AF382" t="s">
        <v>7176</v>
      </c>
      <c r="AG382" t="s">
        <v>7177</v>
      </c>
      <c r="AH382">
        <v>64.5</v>
      </c>
      <c r="AI382" s="2" t="str">
        <f t="shared" si="25"/>
        <v>Independent</v>
      </c>
      <c r="AJ382" s="2" t="str">
        <f t="shared" si="26"/>
        <v>YES</v>
      </c>
      <c r="AK382" s="1" t="str">
        <f t="shared" si="27"/>
        <v>Glazed Balcony</v>
      </c>
      <c r="AL382" s="1" t="str">
        <f t="shared" si="28"/>
        <v>1 Toilet</v>
      </c>
      <c r="AM382" s="1" t="str">
        <f t="shared" si="29"/>
        <v>NO</v>
      </c>
      <c r="AN382" s="1" t="str">
        <f>VLOOKUP(J382, 'Regions and Cities'!A:B, 2, FALSE)</f>
        <v>Uusimaa</v>
      </c>
    </row>
    <row r="383" spans="1:40" x14ac:dyDescent="0.3">
      <c r="A383" t="s">
        <v>6833</v>
      </c>
      <c r="B383" t="s">
        <v>6834</v>
      </c>
      <c r="C383" t="s">
        <v>6835</v>
      </c>
      <c r="D383" t="s">
        <v>84</v>
      </c>
      <c r="E383" t="s">
        <v>85</v>
      </c>
      <c r="F383" t="s">
        <v>79</v>
      </c>
      <c r="G383" t="s">
        <v>6836</v>
      </c>
      <c r="H383">
        <v>87.5</v>
      </c>
      <c r="I383" t="s">
        <v>216</v>
      </c>
      <c r="J383" t="s">
        <v>110</v>
      </c>
      <c r="K383" t="s">
        <v>3893</v>
      </c>
      <c r="L383" t="s">
        <v>6837</v>
      </c>
      <c r="M383" t="s">
        <v>37</v>
      </c>
      <c r="N383" t="s">
        <v>6838</v>
      </c>
      <c r="O383" t="s">
        <v>6839</v>
      </c>
      <c r="P383" t="s">
        <v>6840</v>
      </c>
      <c r="R383" t="s">
        <v>37</v>
      </c>
      <c r="S383" t="s">
        <v>37</v>
      </c>
      <c r="T383">
        <v>60.477531999999997</v>
      </c>
      <c r="U383" t="s">
        <v>6841</v>
      </c>
      <c r="V383" t="s">
        <v>6842</v>
      </c>
      <c r="W383">
        <v>22.248042000000002</v>
      </c>
      <c r="X383">
        <v>132000</v>
      </c>
      <c r="Y383" t="s">
        <v>242</v>
      </c>
      <c r="AA383" t="s">
        <v>38</v>
      </c>
      <c r="AB383" t="s">
        <v>39</v>
      </c>
      <c r="AC383" t="s">
        <v>6510</v>
      </c>
      <c r="AD383" t="s">
        <v>75</v>
      </c>
      <c r="AE383" t="s">
        <v>2114</v>
      </c>
      <c r="AF383" t="s">
        <v>6843</v>
      </c>
      <c r="AG383" t="s">
        <v>6844</v>
      </c>
      <c r="AH383">
        <v>87.5</v>
      </c>
      <c r="AI383" s="2" t="str">
        <f t="shared" si="25"/>
        <v>Independent</v>
      </c>
      <c r="AJ383" s="2" t="str">
        <f t="shared" si="26"/>
        <v>NO</v>
      </c>
      <c r="AK383" s="1" t="str">
        <f t="shared" si="27"/>
        <v>None</v>
      </c>
      <c r="AL383" s="1" t="str">
        <f t="shared" si="28"/>
        <v>1 Toilet</v>
      </c>
      <c r="AM383" s="1" t="str">
        <f t="shared" si="29"/>
        <v>NO</v>
      </c>
      <c r="AN383" s="1" t="str">
        <f>VLOOKUP(J383, 'Regions and Cities'!A:B, 2, FALSE)</f>
        <v>Varsinais-Suomi</v>
      </c>
    </row>
    <row r="384" spans="1:40" x14ac:dyDescent="0.3">
      <c r="A384" t="s">
        <v>3887</v>
      </c>
      <c r="B384" t="s">
        <v>3888</v>
      </c>
      <c r="C384" t="s">
        <v>3889</v>
      </c>
      <c r="D384" t="s">
        <v>3890</v>
      </c>
      <c r="E384" t="s">
        <v>3891</v>
      </c>
      <c r="F384" t="s">
        <v>3892</v>
      </c>
      <c r="H384">
        <v>91</v>
      </c>
      <c r="I384" t="s">
        <v>216</v>
      </c>
      <c r="J384" t="s">
        <v>110</v>
      </c>
      <c r="K384" t="s">
        <v>3893</v>
      </c>
      <c r="L384" t="s">
        <v>3894</v>
      </c>
      <c r="M384" t="s">
        <v>37</v>
      </c>
      <c r="N384" t="s">
        <v>3895</v>
      </c>
      <c r="O384" t="s">
        <v>3896</v>
      </c>
      <c r="R384" t="s">
        <v>37</v>
      </c>
      <c r="S384" t="s">
        <v>37</v>
      </c>
      <c r="T384">
        <v>60.477704000000003</v>
      </c>
      <c r="U384" t="s">
        <v>3897</v>
      </c>
      <c r="V384" t="s">
        <v>3898</v>
      </c>
      <c r="W384">
        <v>22.248926999999998</v>
      </c>
      <c r="X384">
        <v>165000</v>
      </c>
      <c r="Y384" t="s">
        <v>44</v>
      </c>
      <c r="AA384" t="s">
        <v>38</v>
      </c>
      <c r="AB384" t="s">
        <v>39</v>
      </c>
      <c r="AC384" t="s">
        <v>480</v>
      </c>
      <c r="AD384" t="s">
        <v>75</v>
      </c>
      <c r="AE384" t="s">
        <v>3899</v>
      </c>
      <c r="AF384" t="s">
        <v>3900</v>
      </c>
      <c r="AG384" t="s">
        <v>3901</v>
      </c>
      <c r="AH384"/>
      <c r="AI384" s="2" t="str">
        <f t="shared" si="25"/>
        <v>Independent</v>
      </c>
      <c r="AJ384" s="2" t="str">
        <f t="shared" si="26"/>
        <v>NO</v>
      </c>
      <c r="AK384" s="1" t="str">
        <f t="shared" si="27"/>
        <v>None</v>
      </c>
      <c r="AL384" s="1" t="str">
        <f t="shared" si="28"/>
        <v>1 Toilet</v>
      </c>
      <c r="AM384" s="1" t="str">
        <f t="shared" si="29"/>
        <v>NO</v>
      </c>
      <c r="AN384" s="1" t="str">
        <f>VLOOKUP(J384, 'Regions and Cities'!A:B, 2, FALSE)</f>
        <v>Varsinais-Suomi</v>
      </c>
    </row>
    <row r="385" spans="1:40" x14ac:dyDescent="0.3">
      <c r="A385" t="s">
        <v>7272</v>
      </c>
      <c r="B385" t="s">
        <v>7273</v>
      </c>
      <c r="C385" t="s">
        <v>7274</v>
      </c>
      <c r="D385" t="s">
        <v>1812</v>
      </c>
      <c r="E385" t="s">
        <v>1813</v>
      </c>
      <c r="F385" t="s">
        <v>1814</v>
      </c>
      <c r="H385">
        <v>146.5</v>
      </c>
      <c r="I385" t="s">
        <v>2622</v>
      </c>
      <c r="J385" t="s">
        <v>207</v>
      </c>
      <c r="K385" t="s">
        <v>7275</v>
      </c>
      <c r="L385" t="s">
        <v>7276</v>
      </c>
      <c r="M385" t="s">
        <v>37</v>
      </c>
      <c r="N385" t="s">
        <v>7277</v>
      </c>
      <c r="O385" t="s">
        <v>7278</v>
      </c>
      <c r="R385" t="s">
        <v>37</v>
      </c>
      <c r="S385" t="s">
        <v>37</v>
      </c>
      <c r="T385">
        <v>63.073295999999999</v>
      </c>
      <c r="U385" t="s">
        <v>7279</v>
      </c>
      <c r="V385" t="s">
        <v>7280</v>
      </c>
      <c r="W385">
        <v>27.657703000000001</v>
      </c>
      <c r="X385">
        <v>336000</v>
      </c>
      <c r="Y385" t="s">
        <v>7281</v>
      </c>
      <c r="AA385" t="s">
        <v>63</v>
      </c>
      <c r="AB385" t="s">
        <v>39</v>
      </c>
      <c r="AC385" t="s">
        <v>7282</v>
      </c>
      <c r="AD385" t="s">
        <v>55</v>
      </c>
      <c r="AE385" t="s">
        <v>7283</v>
      </c>
      <c r="AF385" t="s">
        <v>7284</v>
      </c>
      <c r="AG385" t="s">
        <v>7285</v>
      </c>
      <c r="AH385">
        <v>184</v>
      </c>
      <c r="AI385" s="2" t="str">
        <f t="shared" si="25"/>
        <v>Independent</v>
      </c>
      <c r="AJ385" s="2" t="str">
        <f t="shared" si="26"/>
        <v>YES</v>
      </c>
      <c r="AK385" s="1" t="str">
        <f t="shared" si="27"/>
        <v>None</v>
      </c>
      <c r="AL385" s="1" t="str">
        <f t="shared" si="28"/>
        <v>1 Toilet</v>
      </c>
      <c r="AM385" s="1" t="str">
        <f t="shared" si="29"/>
        <v>NO</v>
      </c>
      <c r="AN385" s="1" t="str">
        <f>VLOOKUP(J385, 'Regions and Cities'!A:B, 2, FALSE)</f>
        <v>Pohjois-Savo</v>
      </c>
    </row>
    <row r="386" spans="1:40" x14ac:dyDescent="0.3">
      <c r="A386" t="s">
        <v>5946</v>
      </c>
      <c r="B386" t="s">
        <v>5947</v>
      </c>
      <c r="C386" t="s">
        <v>5948</v>
      </c>
      <c r="D386" t="s">
        <v>5949</v>
      </c>
      <c r="E386" t="s">
        <v>5950</v>
      </c>
      <c r="G386" t="s">
        <v>5951</v>
      </c>
      <c r="H386">
        <v>56</v>
      </c>
      <c r="I386" t="s">
        <v>119</v>
      </c>
      <c r="J386" t="s">
        <v>126</v>
      </c>
      <c r="K386" t="s">
        <v>5952</v>
      </c>
      <c r="L386" t="s">
        <v>5953</v>
      </c>
      <c r="M386" t="s">
        <v>111</v>
      </c>
      <c r="N386" t="s">
        <v>5954</v>
      </c>
      <c r="O386" t="s">
        <v>5955</v>
      </c>
      <c r="P386" t="s">
        <v>5956</v>
      </c>
      <c r="Q386" t="s">
        <v>5957</v>
      </c>
      <c r="R386" t="s">
        <v>37</v>
      </c>
      <c r="S386" t="s">
        <v>37</v>
      </c>
      <c r="T386">
        <v>60.156930000000003</v>
      </c>
      <c r="U386" t="s">
        <v>5958</v>
      </c>
      <c r="V386" t="s">
        <v>5959</v>
      </c>
      <c r="W386">
        <v>24.74437</v>
      </c>
      <c r="X386">
        <v>148000</v>
      </c>
      <c r="Y386" t="s">
        <v>5960</v>
      </c>
      <c r="AA386" t="s">
        <v>38</v>
      </c>
      <c r="AB386" t="s">
        <v>39</v>
      </c>
      <c r="AC386" t="s">
        <v>480</v>
      </c>
      <c r="AD386" t="s">
        <v>40</v>
      </c>
      <c r="AE386" t="s">
        <v>5961</v>
      </c>
      <c r="AF386" t="s">
        <v>5962</v>
      </c>
      <c r="AG386" t="s">
        <v>5963</v>
      </c>
      <c r="AH386">
        <v>56</v>
      </c>
      <c r="AI386" s="2" t="str">
        <f t="shared" ref="AI386:AI449" si="30">IF(AE386="", "no info", IF(OR(ISNUMBER(SEARCH("kt", AE386)), ISNUMBER(SEARCH("avokeittiö", AE386))), "Open", IF(ISNUMBER(SEARCH("kk", AE386)), "Kitchenette", "Independent")))</f>
        <v>Independent</v>
      </c>
      <c r="AJ386" s="2" t="str">
        <f t="shared" ref="AJ386:AJ449" si="31">IF(AE386="", "no info", IF(OR(ISNUMBER(SEARCH(" s ", AE386)), ISNUMBER(SEARCH("sauna", AE386)), ISNUMBER(SEARCH("+ s", AE386))), "YES", "NO"))</f>
        <v>NO</v>
      </c>
      <c r="AK386" s="1" t="str">
        <f t="shared" ref="AK386:AK449" si="32">IF(AE386="", "no info", IF(OR(ISNUMBER(SEARCH("las.p", AE386)), ISNUMBER(SEARCH("lasitettu", AE386))), "Glazed Balcony", IF(OR(ISNUMBER(SEARCH(" p ", AE386)), ISNUMBER(SEARCH("parveke", AE386))), "Standard Balcony", IF(OR(ISNUMBER(SEARCH("terassi", AE386)), ISNUMBER(SEARCH("kuisti", AE386))), "Terrace", "None"))))</f>
        <v>Standard Balcony</v>
      </c>
      <c r="AL386" s="1" t="str">
        <f t="shared" ref="AL386:AL449" si="33">IF(AE386="", "no info", IF(OR(ISNUMBER(SEARCH("2wc", AE386)), ISNUMBER(SEARCH("2xwc", AE386))), "2 Toilets", "1 Toilet"))</f>
        <v>1 Toilet</v>
      </c>
      <c r="AM386" s="1" t="str">
        <f t="shared" ref="AM386:AM449" si="34">IF(AE386="", "no info", IF(OR(ISNUMBER(SEARCH("vh", AE386)), ISNUMBER(SEARCH("var", AE386))), "YES", "NO"))</f>
        <v>NO</v>
      </c>
      <c r="AN386" s="1" t="str">
        <f>VLOOKUP(J386, 'Regions and Cities'!A:B, 2, FALSE)</f>
        <v>Uusimaa</v>
      </c>
    </row>
    <row r="387" spans="1:40" x14ac:dyDescent="0.3">
      <c r="A387" t="s">
        <v>6654</v>
      </c>
      <c r="B387" t="s">
        <v>6655</v>
      </c>
      <c r="C387" t="s">
        <v>6656</v>
      </c>
      <c r="D387" t="s">
        <v>6657</v>
      </c>
      <c r="E387" t="s">
        <v>6658</v>
      </c>
      <c r="F387" t="s">
        <v>50</v>
      </c>
      <c r="G387" t="s">
        <v>6659</v>
      </c>
      <c r="H387">
        <v>79</v>
      </c>
      <c r="I387" t="s">
        <v>589</v>
      </c>
      <c r="J387" t="s">
        <v>382</v>
      </c>
      <c r="K387" t="s">
        <v>6660</v>
      </c>
      <c r="L387" t="s">
        <v>6661</v>
      </c>
      <c r="M387" t="s">
        <v>37</v>
      </c>
      <c r="N387" t="s">
        <v>6662</v>
      </c>
      <c r="O387" t="s">
        <v>6663</v>
      </c>
      <c r="P387" t="s">
        <v>6664</v>
      </c>
      <c r="Q387" t="s">
        <v>6665</v>
      </c>
      <c r="R387" t="s">
        <v>37</v>
      </c>
      <c r="S387" t="s">
        <v>37</v>
      </c>
      <c r="T387">
        <v>60.628680000000003</v>
      </c>
      <c r="U387" t="s">
        <v>6666</v>
      </c>
      <c r="V387" t="s">
        <v>6667</v>
      </c>
      <c r="W387">
        <v>25.310860000000002</v>
      </c>
      <c r="X387">
        <v>127000</v>
      </c>
      <c r="Y387" t="s">
        <v>157</v>
      </c>
      <c r="AA387" t="s">
        <v>45</v>
      </c>
      <c r="AB387" t="s">
        <v>39</v>
      </c>
      <c r="AC387" t="s">
        <v>6510</v>
      </c>
      <c r="AD387" t="s">
        <v>46</v>
      </c>
      <c r="AE387" t="s">
        <v>47</v>
      </c>
      <c r="AF387" t="s">
        <v>6668</v>
      </c>
      <c r="AG387" t="s">
        <v>6669</v>
      </c>
      <c r="AH387">
        <v>79</v>
      </c>
      <c r="AI387" s="2" t="str">
        <f t="shared" si="30"/>
        <v>Independent</v>
      </c>
      <c r="AJ387" s="2" t="str">
        <f t="shared" si="31"/>
        <v>NO</v>
      </c>
      <c r="AK387" s="1" t="str">
        <f t="shared" si="32"/>
        <v>None</v>
      </c>
      <c r="AL387" s="1" t="str">
        <f t="shared" si="33"/>
        <v>1 Toilet</v>
      </c>
      <c r="AM387" s="1" t="str">
        <f t="shared" si="34"/>
        <v>NO</v>
      </c>
      <c r="AN387" s="1" t="str">
        <f>VLOOKUP(J387, 'Regions and Cities'!A:B, 2, FALSE)</f>
        <v>Uusimaa</v>
      </c>
    </row>
    <row r="388" spans="1:40" x14ac:dyDescent="0.3">
      <c r="A388" t="s">
        <v>8545</v>
      </c>
      <c r="B388" t="s">
        <v>8546</v>
      </c>
      <c r="C388" t="s">
        <v>3847</v>
      </c>
      <c r="D388" t="s">
        <v>7961</v>
      </c>
      <c r="E388" t="s">
        <v>7962</v>
      </c>
      <c r="F388" t="s">
        <v>7963</v>
      </c>
      <c r="G388" t="s">
        <v>7964</v>
      </c>
      <c r="H388">
        <v>31.5</v>
      </c>
      <c r="I388" t="s">
        <v>3712</v>
      </c>
      <c r="J388" t="s">
        <v>208</v>
      </c>
      <c r="K388" t="s">
        <v>3851</v>
      </c>
      <c r="L388" t="s">
        <v>8547</v>
      </c>
      <c r="M388" t="s">
        <v>37</v>
      </c>
      <c r="N388" t="s">
        <v>8548</v>
      </c>
      <c r="O388" t="s">
        <v>8549</v>
      </c>
      <c r="P388" t="s">
        <v>8550</v>
      </c>
      <c r="R388" t="s">
        <v>37</v>
      </c>
      <c r="S388" t="s">
        <v>37</v>
      </c>
      <c r="T388">
        <v>66.485753000000003</v>
      </c>
      <c r="U388" t="s">
        <v>8551</v>
      </c>
      <c r="V388" t="s">
        <v>8552</v>
      </c>
      <c r="W388">
        <v>25.701364999999999</v>
      </c>
      <c r="X388">
        <v>125000</v>
      </c>
      <c r="Y388" t="s">
        <v>6636</v>
      </c>
      <c r="AA388" t="s">
        <v>38</v>
      </c>
      <c r="AB388" t="s">
        <v>39</v>
      </c>
      <c r="AC388" t="s">
        <v>6510</v>
      </c>
      <c r="AD388" t="s">
        <v>40</v>
      </c>
      <c r="AE388" t="s">
        <v>8553</v>
      </c>
      <c r="AF388" t="s">
        <v>8554</v>
      </c>
      <c r="AG388" t="s">
        <v>8555</v>
      </c>
      <c r="AH388">
        <v>31.5</v>
      </c>
      <c r="AI388" s="2" t="str">
        <f t="shared" si="30"/>
        <v>Kitchenette</v>
      </c>
      <c r="AJ388" s="2" t="str">
        <f t="shared" si="31"/>
        <v>NO</v>
      </c>
      <c r="AK388" s="1" t="str">
        <f t="shared" si="32"/>
        <v>None</v>
      </c>
      <c r="AL388" s="1" t="str">
        <f t="shared" si="33"/>
        <v>1 Toilet</v>
      </c>
      <c r="AM388" s="1" t="str">
        <f t="shared" si="34"/>
        <v>NO</v>
      </c>
      <c r="AN388" s="1" t="str">
        <f>VLOOKUP(J388, 'Regions and Cities'!A:B, 2, FALSE)</f>
        <v>Lappi</v>
      </c>
    </row>
    <row r="389" spans="1:40" x14ac:dyDescent="0.3">
      <c r="A389" t="s">
        <v>9089</v>
      </c>
      <c r="B389" t="s">
        <v>9090</v>
      </c>
      <c r="C389" t="s">
        <v>3167</v>
      </c>
      <c r="D389" t="s">
        <v>263</v>
      </c>
      <c r="E389" t="s">
        <v>264</v>
      </c>
      <c r="F389" t="s">
        <v>70</v>
      </c>
      <c r="G389" t="s">
        <v>3168</v>
      </c>
      <c r="H389">
        <v>93</v>
      </c>
      <c r="I389" t="s">
        <v>1310</v>
      </c>
      <c r="J389" t="s">
        <v>265</v>
      </c>
      <c r="K389" t="s">
        <v>3169</v>
      </c>
      <c r="L389" t="s">
        <v>9091</v>
      </c>
      <c r="M389" t="s">
        <v>37</v>
      </c>
      <c r="N389" t="s">
        <v>9092</v>
      </c>
      <c r="O389" t="s">
        <v>9093</v>
      </c>
      <c r="P389" t="s">
        <v>9094</v>
      </c>
      <c r="R389" t="s">
        <v>111</v>
      </c>
      <c r="S389" t="s">
        <v>37</v>
      </c>
      <c r="T389">
        <v>65.004739999999998</v>
      </c>
      <c r="U389" t="s">
        <v>9095</v>
      </c>
      <c r="V389" t="s">
        <v>9096</v>
      </c>
      <c r="W389">
        <v>25.535305000000001</v>
      </c>
      <c r="X389">
        <v>449000</v>
      </c>
      <c r="Y389" t="s">
        <v>9097</v>
      </c>
      <c r="AA389" t="s">
        <v>54</v>
      </c>
      <c r="AB389" t="s">
        <v>39</v>
      </c>
      <c r="AC389" t="s">
        <v>6510</v>
      </c>
      <c r="AD389" t="s">
        <v>75</v>
      </c>
      <c r="AE389" t="s">
        <v>9098</v>
      </c>
      <c r="AF389" t="s">
        <v>9099</v>
      </c>
      <c r="AG389" t="s">
        <v>9100</v>
      </c>
      <c r="AH389">
        <v>107.2</v>
      </c>
      <c r="AI389" s="2" t="str">
        <f t="shared" si="30"/>
        <v>Independent</v>
      </c>
      <c r="AJ389" s="2" t="str">
        <f t="shared" si="31"/>
        <v>YES</v>
      </c>
      <c r="AK389" s="1" t="str">
        <f t="shared" si="32"/>
        <v>None</v>
      </c>
      <c r="AL389" s="1" t="str">
        <f t="shared" si="33"/>
        <v>1 Toilet</v>
      </c>
      <c r="AM389" s="1" t="str">
        <f t="shared" si="34"/>
        <v>YES</v>
      </c>
      <c r="AN389" s="1" t="str">
        <f>VLOOKUP(J389, 'Regions and Cities'!A:B, 2, FALSE)</f>
        <v>Pohjois-Pohjanmaa</v>
      </c>
    </row>
    <row r="390" spans="1:40" x14ac:dyDescent="0.3">
      <c r="A390" t="s">
        <v>2164</v>
      </c>
      <c r="B390" t="s">
        <v>2165</v>
      </c>
      <c r="C390" t="s">
        <v>2166</v>
      </c>
      <c r="D390" t="s">
        <v>2167</v>
      </c>
      <c r="E390" t="s">
        <v>2168</v>
      </c>
      <c r="F390" t="s">
        <v>79</v>
      </c>
      <c r="G390" t="s">
        <v>2169</v>
      </c>
      <c r="H390">
        <v>60</v>
      </c>
      <c r="I390" t="s">
        <v>286</v>
      </c>
      <c r="J390" t="s">
        <v>137</v>
      </c>
      <c r="K390" t="s">
        <v>2170</v>
      </c>
      <c r="L390" t="s">
        <v>2171</v>
      </c>
      <c r="M390" t="s">
        <v>37</v>
      </c>
      <c r="N390" t="s">
        <v>2172</v>
      </c>
      <c r="O390" t="s">
        <v>2173</v>
      </c>
      <c r="P390" t="s">
        <v>2174</v>
      </c>
      <c r="R390" t="s">
        <v>37</v>
      </c>
      <c r="S390" t="s">
        <v>37</v>
      </c>
      <c r="T390">
        <v>60.167161</v>
      </c>
      <c r="U390" t="s">
        <v>2175</v>
      </c>
      <c r="V390" t="s">
        <v>2176</v>
      </c>
      <c r="W390">
        <v>24.974744999999999</v>
      </c>
      <c r="X390">
        <v>359000</v>
      </c>
      <c r="Y390" t="s">
        <v>62</v>
      </c>
      <c r="AA390" t="s">
        <v>38</v>
      </c>
      <c r="AB390" t="s">
        <v>39</v>
      </c>
      <c r="AC390" t="s">
        <v>480</v>
      </c>
      <c r="AD390" t="s">
        <v>40</v>
      </c>
      <c r="AE390" t="s">
        <v>2177</v>
      </c>
      <c r="AF390" t="s">
        <v>2178</v>
      </c>
      <c r="AG390" t="s">
        <v>2179</v>
      </c>
      <c r="AH390">
        <v>60</v>
      </c>
      <c r="AI390" s="2" t="str">
        <f t="shared" si="30"/>
        <v>Independent</v>
      </c>
      <c r="AJ390" s="2" t="str">
        <f t="shared" si="31"/>
        <v>NO</v>
      </c>
      <c r="AK390" s="1" t="str">
        <f t="shared" si="32"/>
        <v>Standard Balcony</v>
      </c>
      <c r="AL390" s="1" t="str">
        <f t="shared" si="33"/>
        <v>1 Toilet</v>
      </c>
      <c r="AM390" s="1" t="str">
        <f t="shared" si="34"/>
        <v>NO</v>
      </c>
      <c r="AN390" s="1" t="str">
        <f>VLOOKUP(J390, 'Regions and Cities'!A:B, 2, FALSE)</f>
        <v>Uusimaa</v>
      </c>
    </row>
    <row r="391" spans="1:40" x14ac:dyDescent="0.3">
      <c r="A391" t="s">
        <v>7571</v>
      </c>
      <c r="B391" t="s">
        <v>7572</v>
      </c>
      <c r="C391" t="s">
        <v>7573</v>
      </c>
      <c r="D391" t="s">
        <v>535</v>
      </c>
      <c r="E391" t="s">
        <v>536</v>
      </c>
      <c r="F391" t="s">
        <v>79</v>
      </c>
      <c r="G391" t="s">
        <v>7574</v>
      </c>
      <c r="H391">
        <v>80.5</v>
      </c>
      <c r="I391" t="s">
        <v>573</v>
      </c>
      <c r="J391" t="s">
        <v>341</v>
      </c>
      <c r="K391" t="s">
        <v>7575</v>
      </c>
      <c r="L391" t="s">
        <v>7576</v>
      </c>
      <c r="M391" t="s">
        <v>37</v>
      </c>
      <c r="N391" t="s">
        <v>7577</v>
      </c>
      <c r="O391" t="s">
        <v>7578</v>
      </c>
      <c r="P391" t="s">
        <v>7579</v>
      </c>
      <c r="Q391" t="s">
        <v>7580</v>
      </c>
      <c r="R391" t="s">
        <v>37</v>
      </c>
      <c r="S391" t="s">
        <v>37</v>
      </c>
      <c r="T391">
        <v>61.502820999999997</v>
      </c>
      <c r="U391" t="s">
        <v>7581</v>
      </c>
      <c r="V391" t="s">
        <v>7582</v>
      </c>
      <c r="W391">
        <v>21.812528</v>
      </c>
      <c r="X391">
        <v>119000</v>
      </c>
      <c r="Y391" t="s">
        <v>297</v>
      </c>
      <c r="AA391" t="s">
        <v>45</v>
      </c>
      <c r="AB391" t="s">
        <v>39</v>
      </c>
      <c r="AC391" t="s">
        <v>6510</v>
      </c>
      <c r="AD391" t="s">
        <v>46</v>
      </c>
      <c r="AE391" t="s">
        <v>7583</v>
      </c>
      <c r="AF391" t="s">
        <v>7584</v>
      </c>
      <c r="AG391" t="s">
        <v>7585</v>
      </c>
      <c r="AH391">
        <v>100.5</v>
      </c>
      <c r="AI391" s="2" t="str">
        <f t="shared" si="30"/>
        <v>Independent</v>
      </c>
      <c r="AJ391" s="2" t="str">
        <f t="shared" si="31"/>
        <v>YES</v>
      </c>
      <c r="AK391" s="1" t="str">
        <f t="shared" si="32"/>
        <v>None</v>
      </c>
      <c r="AL391" s="1" t="str">
        <f t="shared" si="33"/>
        <v>1 Toilet</v>
      </c>
      <c r="AM391" s="1" t="str">
        <f t="shared" si="34"/>
        <v>YES</v>
      </c>
      <c r="AN391" s="1" t="str">
        <f>VLOOKUP(J391, 'Regions and Cities'!A:B, 2, FALSE)</f>
        <v>Satakunta</v>
      </c>
    </row>
    <row r="392" spans="1:40" x14ac:dyDescent="0.3">
      <c r="A392" t="s">
        <v>8083</v>
      </c>
      <c r="B392" t="s">
        <v>8084</v>
      </c>
      <c r="C392" t="s">
        <v>2225</v>
      </c>
      <c r="D392" t="s">
        <v>5595</v>
      </c>
      <c r="E392" t="s">
        <v>5596</v>
      </c>
      <c r="F392" t="s">
        <v>105</v>
      </c>
      <c r="G392" t="s">
        <v>8085</v>
      </c>
      <c r="H392">
        <v>51.5</v>
      </c>
      <c r="I392" t="s">
        <v>43</v>
      </c>
      <c r="J392" t="s">
        <v>265</v>
      </c>
      <c r="K392" t="s">
        <v>131</v>
      </c>
      <c r="L392" t="s">
        <v>8086</v>
      </c>
      <c r="M392" t="s">
        <v>37</v>
      </c>
      <c r="N392" t="s">
        <v>8087</v>
      </c>
      <c r="O392" t="s">
        <v>8088</v>
      </c>
      <c r="P392" t="s">
        <v>8089</v>
      </c>
      <c r="R392" t="s">
        <v>37</v>
      </c>
      <c r="S392" t="s">
        <v>37</v>
      </c>
      <c r="T392">
        <v>65.011606</v>
      </c>
      <c r="U392" t="s">
        <v>8090</v>
      </c>
      <c r="V392" t="s">
        <v>8091</v>
      </c>
      <c r="W392">
        <v>25.461455999999998</v>
      </c>
      <c r="X392">
        <v>135000</v>
      </c>
      <c r="Y392" t="s">
        <v>164</v>
      </c>
      <c r="AA392" t="s">
        <v>38</v>
      </c>
      <c r="AB392" t="s">
        <v>39</v>
      </c>
      <c r="AC392" t="s">
        <v>8092</v>
      </c>
      <c r="AD392" t="s">
        <v>40</v>
      </c>
      <c r="AE392" t="s">
        <v>8093</v>
      </c>
      <c r="AF392" t="s">
        <v>8094</v>
      </c>
      <c r="AG392" t="s">
        <v>8095</v>
      </c>
      <c r="AH392">
        <v>51.5</v>
      </c>
      <c r="AI392" s="2" t="str">
        <f t="shared" si="30"/>
        <v>Independent</v>
      </c>
      <c r="AJ392" s="2" t="str">
        <f t="shared" si="31"/>
        <v>NO</v>
      </c>
      <c r="AK392" s="1" t="str">
        <f t="shared" si="32"/>
        <v>None</v>
      </c>
      <c r="AL392" s="1" t="str">
        <f t="shared" si="33"/>
        <v>1 Toilet</v>
      </c>
      <c r="AM392" s="1" t="str">
        <f t="shared" si="34"/>
        <v>YES</v>
      </c>
      <c r="AN392" s="1" t="str">
        <f>VLOOKUP(J392, 'Regions and Cities'!A:B, 2, FALSE)</f>
        <v>Pohjois-Pohjanmaa</v>
      </c>
    </row>
    <row r="393" spans="1:40" x14ac:dyDescent="0.3">
      <c r="A393" t="s">
        <v>3181</v>
      </c>
      <c r="B393" t="s">
        <v>3182</v>
      </c>
      <c r="C393" t="s">
        <v>3183</v>
      </c>
      <c r="D393" t="s">
        <v>1596</v>
      </c>
      <c r="E393" t="s">
        <v>1597</v>
      </c>
      <c r="F393" t="s">
        <v>1598</v>
      </c>
      <c r="H393">
        <v>73.5</v>
      </c>
      <c r="I393" t="s">
        <v>147</v>
      </c>
      <c r="J393" t="s">
        <v>265</v>
      </c>
      <c r="K393" t="s">
        <v>3184</v>
      </c>
      <c r="L393" t="s">
        <v>3185</v>
      </c>
      <c r="M393" t="s">
        <v>37</v>
      </c>
      <c r="N393" t="s">
        <v>3186</v>
      </c>
      <c r="O393" t="s">
        <v>3187</v>
      </c>
      <c r="R393" t="s">
        <v>111</v>
      </c>
      <c r="S393" t="s">
        <v>37</v>
      </c>
      <c r="T393">
        <v>65.013007999999999</v>
      </c>
      <c r="U393" t="s">
        <v>3188</v>
      </c>
      <c r="V393" t="s">
        <v>3189</v>
      </c>
      <c r="W393">
        <v>25.595044999999999</v>
      </c>
      <c r="X393">
        <v>225000</v>
      </c>
      <c r="Y393" t="s">
        <v>1647</v>
      </c>
      <c r="AA393" t="s">
        <v>45</v>
      </c>
      <c r="AB393" t="s">
        <v>39</v>
      </c>
      <c r="AC393" t="s">
        <v>480</v>
      </c>
      <c r="AD393" t="s">
        <v>46</v>
      </c>
      <c r="AE393" t="s">
        <v>3190</v>
      </c>
      <c r="AF393" t="s">
        <v>3191</v>
      </c>
      <c r="AG393" t="s">
        <v>3192</v>
      </c>
      <c r="AH393">
        <v>78</v>
      </c>
      <c r="AI393" s="2" t="str">
        <f t="shared" si="30"/>
        <v>Independent</v>
      </c>
      <c r="AJ393" s="2" t="str">
        <f t="shared" si="31"/>
        <v>NO</v>
      </c>
      <c r="AK393" s="1" t="str">
        <f t="shared" si="32"/>
        <v>Terrace</v>
      </c>
      <c r="AL393" s="1" t="str">
        <f t="shared" si="33"/>
        <v>1 Toilet</v>
      </c>
      <c r="AM393" s="1" t="str">
        <f t="shared" si="34"/>
        <v>YES</v>
      </c>
      <c r="AN393" s="1" t="str">
        <f>VLOOKUP(J393, 'Regions and Cities'!A:B, 2, FALSE)</f>
        <v>Pohjois-Pohjanmaa</v>
      </c>
    </row>
    <row r="394" spans="1:40" x14ac:dyDescent="0.3">
      <c r="A394" t="s">
        <v>3333</v>
      </c>
      <c r="B394" t="s">
        <v>3334</v>
      </c>
      <c r="C394" t="s">
        <v>3183</v>
      </c>
      <c r="D394" t="s">
        <v>1596</v>
      </c>
      <c r="E394" t="s">
        <v>1597</v>
      </c>
      <c r="F394" t="s">
        <v>1598</v>
      </c>
      <c r="H394">
        <v>58.5</v>
      </c>
      <c r="I394" t="s">
        <v>147</v>
      </c>
      <c r="J394" t="s">
        <v>265</v>
      </c>
      <c r="K394" t="s">
        <v>3184</v>
      </c>
      <c r="L394" t="s">
        <v>3335</v>
      </c>
      <c r="M394" t="s">
        <v>37</v>
      </c>
      <c r="N394" t="s">
        <v>3336</v>
      </c>
      <c r="O394" t="s">
        <v>3337</v>
      </c>
      <c r="R394" t="s">
        <v>111</v>
      </c>
      <c r="S394" t="s">
        <v>37</v>
      </c>
      <c r="T394">
        <v>65.013007999999999</v>
      </c>
      <c r="U394" t="s">
        <v>3338</v>
      </c>
      <c r="V394" t="s">
        <v>3339</v>
      </c>
      <c r="W394">
        <v>25.595044999999999</v>
      </c>
      <c r="X394">
        <v>205000</v>
      </c>
      <c r="Y394" t="s">
        <v>3340</v>
      </c>
      <c r="AA394" t="s">
        <v>45</v>
      </c>
      <c r="AB394" t="s">
        <v>39</v>
      </c>
      <c r="AC394" t="s">
        <v>480</v>
      </c>
      <c r="AD394" t="s">
        <v>46</v>
      </c>
      <c r="AE394" t="s">
        <v>3341</v>
      </c>
      <c r="AF394" t="s">
        <v>3342</v>
      </c>
      <c r="AG394" t="s">
        <v>3343</v>
      </c>
      <c r="AH394">
        <v>61.5</v>
      </c>
      <c r="AI394" s="2" t="str">
        <f t="shared" si="30"/>
        <v>Independent</v>
      </c>
      <c r="AJ394" s="2" t="str">
        <f t="shared" si="31"/>
        <v>NO</v>
      </c>
      <c r="AK394" s="1" t="str">
        <f t="shared" si="32"/>
        <v>Terrace</v>
      </c>
      <c r="AL394" s="1" t="str">
        <f t="shared" si="33"/>
        <v>1 Toilet</v>
      </c>
      <c r="AM394" s="1" t="str">
        <f t="shared" si="34"/>
        <v>YES</v>
      </c>
      <c r="AN394" s="1" t="str">
        <f>VLOOKUP(J394, 'Regions and Cities'!A:B, 2, FALSE)</f>
        <v>Pohjois-Pohjanmaa</v>
      </c>
    </row>
    <row r="395" spans="1:40" x14ac:dyDescent="0.3">
      <c r="A395" t="s">
        <v>8110</v>
      </c>
      <c r="B395" t="s">
        <v>8111</v>
      </c>
      <c r="C395" t="s">
        <v>8112</v>
      </c>
      <c r="D395" t="s">
        <v>8113</v>
      </c>
      <c r="E395" t="s">
        <v>8114</v>
      </c>
      <c r="F395" t="s">
        <v>1493</v>
      </c>
      <c r="H395">
        <v>54</v>
      </c>
      <c r="I395" t="s">
        <v>589</v>
      </c>
      <c r="J395" t="s">
        <v>130</v>
      </c>
      <c r="K395" t="s">
        <v>8115</v>
      </c>
      <c r="L395" t="s">
        <v>8116</v>
      </c>
      <c r="M395" t="s">
        <v>37</v>
      </c>
      <c r="N395" t="s">
        <v>8117</v>
      </c>
      <c r="O395" t="s">
        <v>8118</v>
      </c>
      <c r="R395" t="s">
        <v>37</v>
      </c>
      <c r="S395" t="s">
        <v>37</v>
      </c>
      <c r="T395">
        <v>62.934094999999999</v>
      </c>
      <c r="U395" t="s">
        <v>8119</v>
      </c>
      <c r="V395" t="s">
        <v>8120</v>
      </c>
      <c r="W395">
        <v>27.662514000000002</v>
      </c>
      <c r="X395">
        <v>64000</v>
      </c>
      <c r="Y395" t="s">
        <v>4460</v>
      </c>
      <c r="AA395" t="s">
        <v>38</v>
      </c>
      <c r="AB395" t="s">
        <v>39</v>
      </c>
      <c r="AC395" t="s">
        <v>6510</v>
      </c>
      <c r="AD395" t="s">
        <v>40</v>
      </c>
      <c r="AE395" t="s">
        <v>8121</v>
      </c>
      <c r="AF395" t="s">
        <v>8122</v>
      </c>
      <c r="AG395" t="s">
        <v>8123</v>
      </c>
      <c r="AH395">
        <v>54</v>
      </c>
      <c r="AI395" s="2" t="str">
        <f t="shared" si="30"/>
        <v>Open</v>
      </c>
      <c r="AJ395" s="2" t="str">
        <f t="shared" si="31"/>
        <v>NO</v>
      </c>
      <c r="AK395" s="1" t="str">
        <f t="shared" si="32"/>
        <v>None</v>
      </c>
      <c r="AL395" s="1" t="str">
        <f t="shared" si="33"/>
        <v>1 Toilet</v>
      </c>
      <c r="AM395" s="1" t="str">
        <f t="shared" si="34"/>
        <v>NO</v>
      </c>
      <c r="AN395" s="1" t="str">
        <f>VLOOKUP(J395, 'Regions and Cities'!A:B, 2, FALSE)</f>
        <v>Pohjois-Savo</v>
      </c>
    </row>
    <row r="396" spans="1:40" x14ac:dyDescent="0.3">
      <c r="A396" t="s">
        <v>6205</v>
      </c>
      <c r="B396" t="s">
        <v>6206</v>
      </c>
      <c r="C396" t="s">
        <v>6207</v>
      </c>
      <c r="D396" t="s">
        <v>178</v>
      </c>
      <c r="E396" t="s">
        <v>179</v>
      </c>
      <c r="F396" t="s">
        <v>180</v>
      </c>
      <c r="H396">
        <v>49</v>
      </c>
      <c r="I396" t="s">
        <v>189</v>
      </c>
      <c r="J396" t="s">
        <v>137</v>
      </c>
      <c r="K396" t="s">
        <v>6208</v>
      </c>
      <c r="L396" t="s">
        <v>6209</v>
      </c>
      <c r="M396" t="s">
        <v>37</v>
      </c>
      <c r="N396" t="s">
        <v>6210</v>
      </c>
      <c r="O396" t="s">
        <v>6211</v>
      </c>
      <c r="R396" t="s">
        <v>37</v>
      </c>
      <c r="S396" t="s">
        <v>37</v>
      </c>
      <c r="T396">
        <v>60.220300000000002</v>
      </c>
      <c r="U396" t="s">
        <v>6212</v>
      </c>
      <c r="V396" t="s">
        <v>6213</v>
      </c>
      <c r="W396">
        <v>24.925799999999999</v>
      </c>
      <c r="X396">
        <v>31392.67</v>
      </c>
      <c r="Y396" t="s">
        <v>6214</v>
      </c>
      <c r="AA396" t="s">
        <v>38</v>
      </c>
      <c r="AB396" t="s">
        <v>39</v>
      </c>
      <c r="AC396" t="s">
        <v>480</v>
      </c>
      <c r="AD396" t="s">
        <v>40</v>
      </c>
      <c r="AE396" t="s">
        <v>145</v>
      </c>
      <c r="AF396" t="s">
        <v>6215</v>
      </c>
      <c r="AG396" t="s">
        <v>6216</v>
      </c>
      <c r="AH396"/>
      <c r="AI396" s="2" t="str">
        <f t="shared" si="30"/>
        <v>Open</v>
      </c>
      <c r="AJ396" s="2" t="str">
        <f t="shared" si="31"/>
        <v>NO</v>
      </c>
      <c r="AK396" s="1" t="str">
        <f t="shared" si="32"/>
        <v>None</v>
      </c>
      <c r="AL396" s="1" t="str">
        <f t="shared" si="33"/>
        <v>1 Toilet</v>
      </c>
      <c r="AM396" s="1" t="str">
        <f t="shared" si="34"/>
        <v>NO</v>
      </c>
      <c r="AN396" s="1" t="str">
        <f>VLOOKUP(J396, 'Regions and Cities'!A:B, 2, FALSE)</f>
        <v>Uusimaa</v>
      </c>
    </row>
    <row r="397" spans="1:40" x14ac:dyDescent="0.3">
      <c r="A397" t="s">
        <v>6571</v>
      </c>
      <c r="B397" t="s">
        <v>6572</v>
      </c>
      <c r="C397" t="s">
        <v>255</v>
      </c>
      <c r="D397" t="s">
        <v>470</v>
      </c>
      <c r="E397" t="s">
        <v>471</v>
      </c>
      <c r="F397" t="s">
        <v>58</v>
      </c>
      <c r="H397">
        <v>40.9</v>
      </c>
      <c r="I397" t="s">
        <v>296</v>
      </c>
      <c r="J397" t="s">
        <v>137</v>
      </c>
      <c r="K397" t="s">
        <v>256</v>
      </c>
      <c r="L397" t="s">
        <v>6573</v>
      </c>
      <c r="M397" t="s">
        <v>37</v>
      </c>
      <c r="N397" t="s">
        <v>6574</v>
      </c>
      <c r="O397" t="s">
        <v>6575</v>
      </c>
      <c r="R397" t="s">
        <v>37</v>
      </c>
      <c r="S397" t="s">
        <v>37</v>
      </c>
      <c r="T397">
        <v>60.229170000000003</v>
      </c>
      <c r="U397" t="s">
        <v>6576</v>
      </c>
      <c r="V397" t="s">
        <v>6577</v>
      </c>
      <c r="W397">
        <v>24.930119999999999</v>
      </c>
      <c r="X397">
        <v>94000</v>
      </c>
      <c r="Y397" t="s">
        <v>6578</v>
      </c>
      <c r="AA397" t="s">
        <v>38</v>
      </c>
      <c r="AB397" t="s">
        <v>39</v>
      </c>
      <c r="AC397" t="s">
        <v>6510</v>
      </c>
      <c r="AD397" t="s">
        <v>40</v>
      </c>
      <c r="AE397" t="s">
        <v>6579</v>
      </c>
      <c r="AF397" t="s">
        <v>6580</v>
      </c>
      <c r="AG397" t="s">
        <v>6581</v>
      </c>
      <c r="AH397">
        <v>40.9</v>
      </c>
      <c r="AI397" s="2" t="str">
        <f t="shared" si="30"/>
        <v>Open</v>
      </c>
      <c r="AJ397" s="2" t="str">
        <f t="shared" si="31"/>
        <v>NO</v>
      </c>
      <c r="AK397" s="1" t="str">
        <f t="shared" si="32"/>
        <v>None</v>
      </c>
      <c r="AL397" s="1" t="str">
        <f t="shared" si="33"/>
        <v>1 Toilet</v>
      </c>
      <c r="AM397" s="1" t="str">
        <f t="shared" si="34"/>
        <v>YES</v>
      </c>
      <c r="AN397" s="1" t="str">
        <f>VLOOKUP(J397, 'Regions and Cities'!A:B, 2, FALSE)</f>
        <v>Uusimaa</v>
      </c>
    </row>
    <row r="398" spans="1:40" x14ac:dyDescent="0.3">
      <c r="A398" t="s">
        <v>1577</v>
      </c>
      <c r="B398" t="s">
        <v>1578</v>
      </c>
      <c r="C398" t="s">
        <v>1579</v>
      </c>
      <c r="D398" t="s">
        <v>1580</v>
      </c>
      <c r="E398" t="s">
        <v>1581</v>
      </c>
      <c r="H398">
        <v>160</v>
      </c>
      <c r="I398" t="s">
        <v>1582</v>
      </c>
      <c r="J398" t="s">
        <v>367</v>
      </c>
      <c r="K398" t="s">
        <v>1583</v>
      </c>
      <c r="L398" t="s">
        <v>1584</v>
      </c>
      <c r="M398" t="s">
        <v>37</v>
      </c>
      <c r="N398" t="s">
        <v>1585</v>
      </c>
      <c r="O398" t="s">
        <v>1586</v>
      </c>
      <c r="R398" t="s">
        <v>37</v>
      </c>
      <c r="S398" t="s">
        <v>37</v>
      </c>
      <c r="T398">
        <v>60.404854999999998</v>
      </c>
      <c r="U398" t="s">
        <v>1587</v>
      </c>
      <c r="V398" t="s">
        <v>1588</v>
      </c>
      <c r="W398">
        <v>22.321525999999999</v>
      </c>
      <c r="X398">
        <v>268000</v>
      </c>
      <c r="Y398" t="s">
        <v>1589</v>
      </c>
      <c r="AA398" t="s">
        <v>63</v>
      </c>
      <c r="AB398" t="s">
        <v>39</v>
      </c>
      <c r="AC398" t="s">
        <v>480</v>
      </c>
      <c r="AD398" t="s">
        <v>75</v>
      </c>
      <c r="AE398" t="s">
        <v>1590</v>
      </c>
      <c r="AF398" t="s">
        <v>1591</v>
      </c>
      <c r="AG398" t="s">
        <v>1592</v>
      </c>
      <c r="AH398"/>
      <c r="AI398" s="2" t="str">
        <f t="shared" si="30"/>
        <v>Independent</v>
      </c>
      <c r="AJ398" s="2" t="str">
        <f t="shared" si="31"/>
        <v>YES</v>
      </c>
      <c r="AK398" s="1" t="str">
        <f t="shared" si="32"/>
        <v>Terrace</v>
      </c>
      <c r="AL398" s="1" t="str">
        <f t="shared" si="33"/>
        <v>1 Toilet</v>
      </c>
      <c r="AM398" s="1" t="str">
        <f t="shared" si="34"/>
        <v>YES</v>
      </c>
      <c r="AN398" s="1" t="str">
        <f>VLOOKUP(J398, 'Regions and Cities'!A:B, 2, FALSE)</f>
        <v>Varsinais-Suomi</v>
      </c>
    </row>
    <row r="399" spans="1:40" x14ac:dyDescent="0.3">
      <c r="A399" t="s">
        <v>7444</v>
      </c>
      <c r="B399" t="s">
        <v>7445</v>
      </c>
      <c r="C399" t="s">
        <v>248</v>
      </c>
      <c r="D399" t="s">
        <v>1717</v>
      </c>
      <c r="E399" t="s">
        <v>1718</v>
      </c>
      <c r="F399" t="s">
        <v>1719</v>
      </c>
      <c r="H399">
        <v>52.5</v>
      </c>
      <c r="I399" t="s">
        <v>247</v>
      </c>
      <c r="J399" t="s">
        <v>116</v>
      </c>
      <c r="K399" t="s">
        <v>253</v>
      </c>
      <c r="L399" t="s">
        <v>7446</v>
      </c>
      <c r="M399" t="s">
        <v>37</v>
      </c>
      <c r="N399" t="s">
        <v>7447</v>
      </c>
      <c r="O399" t="s">
        <v>7448</v>
      </c>
      <c r="R399" t="s">
        <v>37</v>
      </c>
      <c r="S399" t="s">
        <v>37</v>
      </c>
      <c r="T399">
        <v>60.350631999999997</v>
      </c>
      <c r="U399" t="s">
        <v>7449</v>
      </c>
      <c r="V399" t="s">
        <v>7450</v>
      </c>
      <c r="W399">
        <v>25.083279000000001</v>
      </c>
      <c r="X399">
        <v>24647.8</v>
      </c>
      <c r="Y399" t="s">
        <v>7451</v>
      </c>
      <c r="AA399" t="s">
        <v>38</v>
      </c>
      <c r="AB399" t="s">
        <v>39</v>
      </c>
      <c r="AC399" t="s">
        <v>6510</v>
      </c>
      <c r="AD399" t="s">
        <v>40</v>
      </c>
      <c r="AE399" t="s">
        <v>2461</v>
      </c>
      <c r="AF399" t="s">
        <v>7452</v>
      </c>
      <c r="AG399" t="s">
        <v>7453</v>
      </c>
      <c r="AH399"/>
      <c r="AI399" s="2" t="str">
        <f t="shared" si="30"/>
        <v>Open</v>
      </c>
      <c r="AJ399" s="2" t="str">
        <f t="shared" si="31"/>
        <v>YES</v>
      </c>
      <c r="AK399" s="1" t="str">
        <f t="shared" si="32"/>
        <v>None</v>
      </c>
      <c r="AL399" s="1" t="str">
        <f t="shared" si="33"/>
        <v>1 Toilet</v>
      </c>
      <c r="AM399" s="1" t="str">
        <f t="shared" si="34"/>
        <v>NO</v>
      </c>
      <c r="AN399" s="1" t="str">
        <f>VLOOKUP(J399, 'Regions and Cities'!A:B, 2, FALSE)</f>
        <v>Uusimaa</v>
      </c>
    </row>
    <row r="400" spans="1:40" x14ac:dyDescent="0.3">
      <c r="A400" t="s">
        <v>3074</v>
      </c>
      <c r="B400" t="s">
        <v>3075</v>
      </c>
      <c r="C400" t="s">
        <v>3076</v>
      </c>
      <c r="D400" t="s">
        <v>3077</v>
      </c>
      <c r="E400" t="s">
        <v>3078</v>
      </c>
      <c r="F400" t="s">
        <v>1493</v>
      </c>
      <c r="H400">
        <v>32</v>
      </c>
      <c r="I400" t="s">
        <v>216</v>
      </c>
      <c r="J400" t="s">
        <v>126</v>
      </c>
      <c r="K400" t="s">
        <v>3079</v>
      </c>
      <c r="L400" t="s">
        <v>3080</v>
      </c>
      <c r="M400" t="s">
        <v>37</v>
      </c>
      <c r="N400" t="s">
        <v>3081</v>
      </c>
      <c r="O400" t="s">
        <v>3082</v>
      </c>
      <c r="R400" t="s">
        <v>37</v>
      </c>
      <c r="S400" t="s">
        <v>37</v>
      </c>
      <c r="T400">
        <v>60.212707999999999</v>
      </c>
      <c r="U400" t="s">
        <v>3083</v>
      </c>
      <c r="V400" t="s">
        <v>3084</v>
      </c>
      <c r="W400">
        <v>24.824683</v>
      </c>
      <c r="X400">
        <v>86000</v>
      </c>
      <c r="Y400" t="s">
        <v>3085</v>
      </c>
      <c r="AA400" t="s">
        <v>38</v>
      </c>
      <c r="AB400" t="s">
        <v>39</v>
      </c>
      <c r="AC400" t="s">
        <v>480</v>
      </c>
      <c r="AD400" t="s">
        <v>202</v>
      </c>
      <c r="AE400" t="s">
        <v>3086</v>
      </c>
      <c r="AF400" t="s">
        <v>3087</v>
      </c>
      <c r="AG400" t="s">
        <v>3088</v>
      </c>
      <c r="AH400">
        <v>32</v>
      </c>
      <c r="AI400" s="2" t="str">
        <f t="shared" si="30"/>
        <v>Independent</v>
      </c>
      <c r="AJ400" s="2" t="str">
        <f t="shared" si="31"/>
        <v>NO</v>
      </c>
      <c r="AK400" s="1" t="str">
        <f t="shared" si="32"/>
        <v>None</v>
      </c>
      <c r="AL400" s="1" t="str">
        <f t="shared" si="33"/>
        <v>1 Toilet</v>
      </c>
      <c r="AM400" s="1" t="str">
        <f t="shared" si="34"/>
        <v>YES</v>
      </c>
      <c r="AN400" s="1" t="str">
        <f>VLOOKUP(J400, 'Regions and Cities'!A:B, 2, FALSE)</f>
        <v>Uusimaa</v>
      </c>
    </row>
    <row r="401" spans="1:40" x14ac:dyDescent="0.3">
      <c r="A401" t="s">
        <v>747</v>
      </c>
      <c r="B401" t="s">
        <v>748</v>
      </c>
      <c r="C401" t="s">
        <v>749</v>
      </c>
      <c r="D401" t="s">
        <v>750</v>
      </c>
      <c r="E401" t="s">
        <v>751</v>
      </c>
      <c r="F401" t="s">
        <v>752</v>
      </c>
      <c r="H401">
        <v>166</v>
      </c>
      <c r="I401" t="s">
        <v>174</v>
      </c>
      <c r="J401" t="s">
        <v>346</v>
      </c>
      <c r="K401" t="s">
        <v>753</v>
      </c>
      <c r="L401" t="s">
        <v>754</v>
      </c>
      <c r="M401" t="s">
        <v>37</v>
      </c>
      <c r="N401" t="s">
        <v>755</v>
      </c>
      <c r="O401" t="s">
        <v>756</v>
      </c>
      <c r="R401" t="s">
        <v>37</v>
      </c>
      <c r="S401" t="s">
        <v>37</v>
      </c>
      <c r="T401">
        <v>64.25855</v>
      </c>
      <c r="U401" t="s">
        <v>757</v>
      </c>
      <c r="V401" t="s">
        <v>758</v>
      </c>
      <c r="W401">
        <v>24.81278</v>
      </c>
      <c r="X401">
        <v>67000</v>
      </c>
      <c r="Y401" t="s">
        <v>759</v>
      </c>
      <c r="AA401" t="s">
        <v>63</v>
      </c>
      <c r="AB401" t="s">
        <v>39</v>
      </c>
      <c r="AC401" t="s">
        <v>480</v>
      </c>
      <c r="AD401" t="s">
        <v>55</v>
      </c>
      <c r="AE401" t="s">
        <v>760</v>
      </c>
      <c r="AF401" t="s">
        <v>761</v>
      </c>
      <c r="AG401" t="s">
        <v>762</v>
      </c>
      <c r="AH401">
        <v>166</v>
      </c>
      <c r="AI401" s="2" t="str">
        <f t="shared" si="30"/>
        <v>Independent</v>
      </c>
      <c r="AJ401" s="2" t="str">
        <f t="shared" si="31"/>
        <v>YES</v>
      </c>
      <c r="AK401" s="1" t="str">
        <f t="shared" si="32"/>
        <v>None</v>
      </c>
      <c r="AL401" s="1" t="str">
        <f t="shared" si="33"/>
        <v>2 Toilets</v>
      </c>
      <c r="AM401" s="1" t="str">
        <f t="shared" si="34"/>
        <v>YES</v>
      </c>
      <c r="AN401" s="1" t="str">
        <f>VLOOKUP(J401, 'Regions and Cities'!A:B, 2, FALSE)</f>
        <v>Pohjois-Pohjanmaa</v>
      </c>
    </row>
    <row r="402" spans="1:40" x14ac:dyDescent="0.3">
      <c r="A402" t="s">
        <v>2776</v>
      </c>
      <c r="B402" t="s">
        <v>2777</v>
      </c>
      <c r="C402" t="s">
        <v>2778</v>
      </c>
      <c r="D402" t="s">
        <v>2619</v>
      </c>
      <c r="E402" t="s">
        <v>2620</v>
      </c>
      <c r="F402" t="s">
        <v>187</v>
      </c>
      <c r="G402" t="s">
        <v>2621</v>
      </c>
      <c r="H402">
        <v>30.5</v>
      </c>
      <c r="I402" t="s">
        <v>2779</v>
      </c>
      <c r="J402" t="s">
        <v>378</v>
      </c>
      <c r="K402" t="s">
        <v>2780</v>
      </c>
      <c r="L402" t="s">
        <v>2781</v>
      </c>
      <c r="M402" t="s">
        <v>37</v>
      </c>
      <c r="N402" t="s">
        <v>2782</v>
      </c>
      <c r="O402" t="s">
        <v>2783</v>
      </c>
      <c r="P402" t="s">
        <v>2784</v>
      </c>
      <c r="Q402" t="s">
        <v>2785</v>
      </c>
      <c r="R402" t="s">
        <v>37</v>
      </c>
      <c r="S402" t="s">
        <v>37</v>
      </c>
      <c r="T402">
        <v>61.694180000000003</v>
      </c>
      <c r="U402" t="s">
        <v>2786</v>
      </c>
      <c r="V402" t="s">
        <v>2787</v>
      </c>
      <c r="W402">
        <v>27.244530000000001</v>
      </c>
      <c r="X402">
        <v>35000</v>
      </c>
      <c r="Y402" t="s">
        <v>1259</v>
      </c>
      <c r="AA402" t="s">
        <v>38</v>
      </c>
      <c r="AB402" t="s">
        <v>39</v>
      </c>
      <c r="AC402" t="s">
        <v>480</v>
      </c>
      <c r="AD402" t="s">
        <v>202</v>
      </c>
      <c r="AE402" t="s">
        <v>2788</v>
      </c>
      <c r="AF402" t="s">
        <v>2789</v>
      </c>
      <c r="AG402" t="s">
        <v>2790</v>
      </c>
      <c r="AH402">
        <v>30.5</v>
      </c>
      <c r="AI402" s="2" t="str">
        <f t="shared" si="30"/>
        <v>Kitchenette</v>
      </c>
      <c r="AJ402" s="2" t="str">
        <f t="shared" si="31"/>
        <v>NO</v>
      </c>
      <c r="AK402" s="1" t="str">
        <f t="shared" si="32"/>
        <v>None</v>
      </c>
      <c r="AL402" s="1" t="str">
        <f t="shared" si="33"/>
        <v>1 Toilet</v>
      </c>
      <c r="AM402" s="1" t="str">
        <f t="shared" si="34"/>
        <v>NO</v>
      </c>
      <c r="AN402" s="1" t="str">
        <f>VLOOKUP(J402, 'Regions and Cities'!A:B, 2, FALSE)</f>
        <v>Etelä-Savo</v>
      </c>
    </row>
    <row r="403" spans="1:40" x14ac:dyDescent="0.3">
      <c r="A403" t="s">
        <v>4967</v>
      </c>
      <c r="B403" t="s">
        <v>4968</v>
      </c>
      <c r="C403" t="s">
        <v>4969</v>
      </c>
      <c r="D403" t="s">
        <v>56</v>
      </c>
      <c r="E403" t="s">
        <v>57</v>
      </c>
      <c r="F403" t="s">
        <v>58</v>
      </c>
      <c r="H403">
        <v>188</v>
      </c>
      <c r="I403" t="s">
        <v>35</v>
      </c>
      <c r="J403" t="s">
        <v>408</v>
      </c>
      <c r="K403" t="s">
        <v>4970</v>
      </c>
      <c r="L403" t="s">
        <v>4971</v>
      </c>
      <c r="M403" t="s">
        <v>37</v>
      </c>
      <c r="N403" t="s">
        <v>4972</v>
      </c>
      <c r="O403" t="s">
        <v>4973</v>
      </c>
      <c r="R403" t="s">
        <v>37</v>
      </c>
      <c r="S403" t="s">
        <v>37</v>
      </c>
      <c r="T403">
        <v>61.046010000000003</v>
      </c>
      <c r="U403" t="s">
        <v>4974</v>
      </c>
      <c r="V403" t="s">
        <v>4975</v>
      </c>
      <c r="W403">
        <v>24.456250000000001</v>
      </c>
      <c r="X403">
        <v>298000</v>
      </c>
      <c r="Y403" t="s">
        <v>743</v>
      </c>
      <c r="AA403" t="s">
        <v>63</v>
      </c>
      <c r="AB403" t="s">
        <v>39</v>
      </c>
      <c r="AC403" t="s">
        <v>480</v>
      </c>
      <c r="AD403" t="s">
        <v>64</v>
      </c>
      <c r="AE403" t="s">
        <v>4976</v>
      </c>
      <c r="AF403" t="s">
        <v>4977</v>
      </c>
      <c r="AG403" t="s">
        <v>4978</v>
      </c>
      <c r="AH403">
        <v>266</v>
      </c>
      <c r="AI403" s="2" t="str">
        <f t="shared" si="30"/>
        <v>Independent</v>
      </c>
      <c r="AJ403" s="2" t="str">
        <f t="shared" si="31"/>
        <v>NO</v>
      </c>
      <c r="AK403" s="1" t="str">
        <f t="shared" si="32"/>
        <v>None</v>
      </c>
      <c r="AL403" s="1" t="str">
        <f t="shared" si="33"/>
        <v>1 Toilet</v>
      </c>
      <c r="AM403" s="1" t="str">
        <f t="shared" si="34"/>
        <v>YES</v>
      </c>
      <c r="AN403" s="1" t="str">
        <f>VLOOKUP(J403, 'Regions and Cities'!A:B, 2, FALSE)</f>
        <v>Kanta-Häme</v>
      </c>
    </row>
    <row r="404" spans="1:40" x14ac:dyDescent="0.3">
      <c r="A404" t="s">
        <v>2935</v>
      </c>
      <c r="B404" t="s">
        <v>2936</v>
      </c>
      <c r="C404" t="s">
        <v>2937</v>
      </c>
      <c r="H404">
        <v>36</v>
      </c>
      <c r="I404" t="s">
        <v>174</v>
      </c>
      <c r="J404" t="s">
        <v>107</v>
      </c>
      <c r="K404" t="s">
        <v>2938</v>
      </c>
      <c r="L404" t="s">
        <v>2939</v>
      </c>
      <c r="M404" t="s">
        <v>37</v>
      </c>
      <c r="N404" t="s">
        <v>2940</v>
      </c>
      <c r="O404" t="s">
        <v>2941</v>
      </c>
      <c r="R404" t="s">
        <v>37</v>
      </c>
      <c r="S404" t="s">
        <v>111</v>
      </c>
      <c r="T404">
        <v>60.642094999999998</v>
      </c>
      <c r="U404" t="s">
        <v>2942</v>
      </c>
      <c r="V404" t="s">
        <v>2943</v>
      </c>
      <c r="W404">
        <v>24.870411000000001</v>
      </c>
      <c r="X404">
        <v>42000</v>
      </c>
      <c r="Y404" t="s">
        <v>2944</v>
      </c>
      <c r="Z404" t="s">
        <v>2945</v>
      </c>
      <c r="AA404" t="s">
        <v>38</v>
      </c>
      <c r="AB404" t="s">
        <v>39</v>
      </c>
      <c r="AC404" t="s">
        <v>480</v>
      </c>
      <c r="AD404" t="s">
        <v>202</v>
      </c>
      <c r="AE404" t="s">
        <v>2946</v>
      </c>
      <c r="AF404" t="s">
        <v>2947</v>
      </c>
      <c r="AG404" t="s">
        <v>2948</v>
      </c>
      <c r="AH404">
        <v>36</v>
      </c>
      <c r="AI404" s="2" t="str">
        <f t="shared" si="30"/>
        <v>Independent</v>
      </c>
      <c r="AJ404" s="2" t="str">
        <f t="shared" si="31"/>
        <v>NO</v>
      </c>
      <c r="AK404" s="1" t="str">
        <f t="shared" si="32"/>
        <v>None</v>
      </c>
      <c r="AL404" s="1" t="str">
        <f t="shared" si="33"/>
        <v>1 Toilet</v>
      </c>
      <c r="AM404" s="1" t="str">
        <f t="shared" si="34"/>
        <v>NO</v>
      </c>
      <c r="AN404" s="1" t="str">
        <f>VLOOKUP(J404, 'Regions and Cities'!A:B, 2, FALSE)</f>
        <v>Uusimaa</v>
      </c>
    </row>
    <row r="405" spans="1:40" x14ac:dyDescent="0.3">
      <c r="A405" t="s">
        <v>6369</v>
      </c>
      <c r="B405" t="s">
        <v>6370</v>
      </c>
      <c r="C405" t="s">
        <v>6371</v>
      </c>
      <c r="D405" t="s">
        <v>142</v>
      </c>
      <c r="E405" t="s">
        <v>143</v>
      </c>
      <c r="F405" t="s">
        <v>144</v>
      </c>
      <c r="G405" t="s">
        <v>967</v>
      </c>
      <c r="H405">
        <v>103.5</v>
      </c>
      <c r="I405" t="s">
        <v>72</v>
      </c>
      <c r="J405" t="s">
        <v>348</v>
      </c>
      <c r="K405" t="s">
        <v>6372</v>
      </c>
      <c r="L405" t="s">
        <v>6373</v>
      </c>
      <c r="M405" t="s">
        <v>37</v>
      </c>
      <c r="N405" t="s">
        <v>6374</v>
      </c>
      <c r="O405" t="s">
        <v>6375</v>
      </c>
      <c r="P405" t="s">
        <v>6376</v>
      </c>
      <c r="Q405" t="s">
        <v>6377</v>
      </c>
      <c r="R405" t="s">
        <v>37</v>
      </c>
      <c r="S405" t="s">
        <v>37</v>
      </c>
      <c r="T405">
        <v>61.375909999999998</v>
      </c>
      <c r="U405" t="s">
        <v>6378</v>
      </c>
      <c r="V405" t="s">
        <v>6379</v>
      </c>
      <c r="W405">
        <v>23.778569999999998</v>
      </c>
      <c r="X405">
        <v>245000</v>
      </c>
      <c r="Y405" t="s">
        <v>1661</v>
      </c>
      <c r="AA405" t="s">
        <v>45</v>
      </c>
      <c r="AB405" t="s">
        <v>39</v>
      </c>
      <c r="AC405" t="s">
        <v>6380</v>
      </c>
      <c r="AD405" t="s">
        <v>75</v>
      </c>
      <c r="AE405" t="s">
        <v>6381</v>
      </c>
      <c r="AF405" t="s">
        <v>6382</v>
      </c>
      <c r="AG405" t="s">
        <v>6383</v>
      </c>
      <c r="AH405">
        <v>103.5</v>
      </c>
      <c r="AI405" s="2" t="str">
        <f t="shared" si="30"/>
        <v>Independent</v>
      </c>
      <c r="AJ405" s="2" t="str">
        <f t="shared" si="31"/>
        <v>NO</v>
      </c>
      <c r="AK405" s="1" t="str">
        <f t="shared" si="32"/>
        <v>Terrace</v>
      </c>
      <c r="AL405" s="1" t="str">
        <f t="shared" si="33"/>
        <v>1 Toilet</v>
      </c>
      <c r="AM405" s="1" t="str">
        <f t="shared" si="34"/>
        <v>NO</v>
      </c>
      <c r="AN405" s="1" t="str">
        <f>VLOOKUP(J405, 'Regions and Cities'!A:B, 2, FALSE)</f>
        <v>Pirkanmaa</v>
      </c>
    </row>
    <row r="406" spans="1:40" x14ac:dyDescent="0.3">
      <c r="A406" t="s">
        <v>5523</v>
      </c>
      <c r="B406" t="s">
        <v>5524</v>
      </c>
      <c r="C406" t="s">
        <v>5525</v>
      </c>
      <c r="D406" t="s">
        <v>5526</v>
      </c>
      <c r="E406" t="s">
        <v>5527</v>
      </c>
      <c r="F406" t="s">
        <v>5528</v>
      </c>
      <c r="G406" t="s">
        <v>5529</v>
      </c>
      <c r="H406">
        <v>72</v>
      </c>
      <c r="I406" t="s">
        <v>2091</v>
      </c>
      <c r="J406" t="s">
        <v>403</v>
      </c>
      <c r="K406" t="s">
        <v>5530</v>
      </c>
      <c r="L406" t="s">
        <v>5531</v>
      </c>
      <c r="M406" t="s">
        <v>37</v>
      </c>
      <c r="N406" t="s">
        <v>5532</v>
      </c>
      <c r="O406" t="s">
        <v>5533</v>
      </c>
      <c r="P406" t="s">
        <v>5534</v>
      </c>
      <c r="Q406" t="s">
        <v>5535</v>
      </c>
      <c r="R406" t="s">
        <v>37</v>
      </c>
      <c r="S406" t="s">
        <v>37</v>
      </c>
      <c r="T406">
        <v>62.759554000000001</v>
      </c>
      <c r="U406" t="s">
        <v>5536</v>
      </c>
      <c r="V406" t="s">
        <v>5537</v>
      </c>
      <c r="W406">
        <v>22.697416</v>
      </c>
      <c r="X406">
        <v>184000</v>
      </c>
      <c r="Y406" t="s">
        <v>5538</v>
      </c>
      <c r="AA406" t="s">
        <v>45</v>
      </c>
      <c r="AB406" t="s">
        <v>39</v>
      </c>
      <c r="AC406" t="s">
        <v>480</v>
      </c>
      <c r="AD406" t="s">
        <v>46</v>
      </c>
      <c r="AE406" t="s">
        <v>196</v>
      </c>
      <c r="AF406" t="s">
        <v>5539</v>
      </c>
      <c r="AG406" t="s">
        <v>5540</v>
      </c>
      <c r="AH406">
        <v>72</v>
      </c>
      <c r="AI406" s="2" t="str">
        <f t="shared" si="30"/>
        <v>Independent</v>
      </c>
      <c r="AJ406" s="2" t="str">
        <f t="shared" si="31"/>
        <v>YES</v>
      </c>
      <c r="AK406" s="1" t="str">
        <f t="shared" si="32"/>
        <v>None</v>
      </c>
      <c r="AL406" s="1" t="str">
        <f t="shared" si="33"/>
        <v>1 Toilet</v>
      </c>
      <c r="AM406" s="1" t="str">
        <f t="shared" si="34"/>
        <v>NO</v>
      </c>
      <c r="AN406" s="1" t="str">
        <f>VLOOKUP(J406, 'Regions and Cities'!A:B, 2, FALSE)</f>
        <v>Etelä-Pohjanmaa</v>
      </c>
    </row>
    <row r="407" spans="1:40" x14ac:dyDescent="0.3">
      <c r="A407" t="s">
        <v>1321</v>
      </c>
      <c r="B407" t="s">
        <v>1322</v>
      </c>
      <c r="C407" t="s">
        <v>210</v>
      </c>
      <c r="D407" t="s">
        <v>938</v>
      </c>
      <c r="E407" t="s">
        <v>939</v>
      </c>
      <c r="F407" t="s">
        <v>187</v>
      </c>
      <c r="H407">
        <v>76.5</v>
      </c>
      <c r="J407" t="s">
        <v>130</v>
      </c>
      <c r="K407" t="s">
        <v>214</v>
      </c>
      <c r="L407" t="s">
        <v>1323</v>
      </c>
      <c r="M407" t="s">
        <v>37</v>
      </c>
      <c r="N407" t="s">
        <v>1324</v>
      </c>
      <c r="O407" t="s">
        <v>1325</v>
      </c>
      <c r="R407" t="s">
        <v>37</v>
      </c>
      <c r="S407" t="s">
        <v>37</v>
      </c>
      <c r="T407">
        <v>62.89376</v>
      </c>
      <c r="U407" t="s">
        <v>1326</v>
      </c>
      <c r="V407" t="s">
        <v>1327</v>
      </c>
      <c r="W407">
        <v>27.65944</v>
      </c>
      <c r="X407">
        <v>189000</v>
      </c>
      <c r="Y407" t="s">
        <v>995</v>
      </c>
      <c r="AA407" t="s">
        <v>38</v>
      </c>
      <c r="AB407" t="s">
        <v>39</v>
      </c>
      <c r="AC407" t="s">
        <v>1328</v>
      </c>
      <c r="AD407" t="s">
        <v>46</v>
      </c>
      <c r="AE407" t="s">
        <v>1329</v>
      </c>
      <c r="AF407" t="s">
        <v>1330</v>
      </c>
      <c r="AG407" t="s">
        <v>1331</v>
      </c>
      <c r="AH407">
        <v>76.5</v>
      </c>
      <c r="AI407" s="2" t="str">
        <f t="shared" si="30"/>
        <v>Independent</v>
      </c>
      <c r="AJ407" s="2" t="str">
        <f t="shared" si="31"/>
        <v>YES</v>
      </c>
      <c r="AK407" s="1" t="str">
        <f t="shared" si="32"/>
        <v>None</v>
      </c>
      <c r="AL407" s="1" t="str">
        <f t="shared" si="33"/>
        <v>1 Toilet</v>
      </c>
      <c r="AM407" s="1" t="str">
        <f t="shared" si="34"/>
        <v>NO</v>
      </c>
      <c r="AN407" s="1" t="str">
        <f>VLOOKUP(J407, 'Regions and Cities'!A:B, 2, FALSE)</f>
        <v>Pohjois-Savo</v>
      </c>
    </row>
    <row r="408" spans="1:40" x14ac:dyDescent="0.3">
      <c r="A408" t="s">
        <v>1149</v>
      </c>
      <c r="B408" t="s">
        <v>1150</v>
      </c>
      <c r="C408" t="s">
        <v>1151</v>
      </c>
      <c r="D408" t="s">
        <v>1152</v>
      </c>
      <c r="E408" t="s">
        <v>1153</v>
      </c>
      <c r="F408" t="s">
        <v>187</v>
      </c>
      <c r="H408">
        <v>118</v>
      </c>
      <c r="I408" t="s">
        <v>252</v>
      </c>
      <c r="J408" t="s">
        <v>357</v>
      </c>
      <c r="K408" t="s">
        <v>131</v>
      </c>
      <c r="L408" t="s">
        <v>1154</v>
      </c>
      <c r="M408" t="s">
        <v>37</v>
      </c>
      <c r="N408" t="s">
        <v>1155</v>
      </c>
      <c r="O408" t="s">
        <v>1156</v>
      </c>
      <c r="R408" t="s">
        <v>37</v>
      </c>
      <c r="S408" t="s">
        <v>37</v>
      </c>
      <c r="T408">
        <v>62.132460000000002</v>
      </c>
      <c r="U408" t="s">
        <v>1157</v>
      </c>
      <c r="V408" t="s">
        <v>1158</v>
      </c>
      <c r="W408">
        <v>25.67305</v>
      </c>
      <c r="X408">
        <v>139000</v>
      </c>
      <c r="Y408" t="s">
        <v>74</v>
      </c>
      <c r="AA408" t="s">
        <v>45</v>
      </c>
      <c r="AB408" t="s">
        <v>39</v>
      </c>
      <c r="AC408" t="s">
        <v>480</v>
      </c>
      <c r="AD408" t="s">
        <v>55</v>
      </c>
      <c r="AE408" t="s">
        <v>1159</v>
      </c>
      <c r="AF408" t="s">
        <v>1160</v>
      </c>
      <c r="AG408" t="s">
        <v>1161</v>
      </c>
      <c r="AH408">
        <v>118</v>
      </c>
      <c r="AI408" s="2" t="str">
        <f t="shared" si="30"/>
        <v>Independent</v>
      </c>
      <c r="AJ408" s="2" t="str">
        <f t="shared" si="31"/>
        <v>NO</v>
      </c>
      <c r="AK408" s="1" t="str">
        <f t="shared" si="32"/>
        <v>None</v>
      </c>
      <c r="AL408" s="1" t="str">
        <f t="shared" si="33"/>
        <v>2 Toilets</v>
      </c>
      <c r="AM408" s="1" t="str">
        <f t="shared" si="34"/>
        <v>YES</v>
      </c>
      <c r="AN408" s="1" t="str">
        <f>VLOOKUP(J408, 'Regions and Cities'!A:B, 2, FALSE)</f>
        <v>Keski-Suomi</v>
      </c>
    </row>
    <row r="409" spans="1:40" x14ac:dyDescent="0.3">
      <c r="A409" t="s">
        <v>3610</v>
      </c>
      <c r="B409" t="s">
        <v>3611</v>
      </c>
      <c r="C409" t="s">
        <v>3612</v>
      </c>
      <c r="D409" t="s">
        <v>211</v>
      </c>
      <c r="E409" t="s">
        <v>212</v>
      </c>
      <c r="F409" t="s">
        <v>79</v>
      </c>
      <c r="G409" t="s">
        <v>3613</v>
      </c>
      <c r="H409">
        <v>81</v>
      </c>
      <c r="I409" t="s">
        <v>286</v>
      </c>
      <c r="J409" t="s">
        <v>130</v>
      </c>
      <c r="K409" t="s">
        <v>3614</v>
      </c>
      <c r="L409" t="s">
        <v>3615</v>
      </c>
      <c r="M409" t="s">
        <v>37</v>
      </c>
      <c r="N409" t="s">
        <v>3616</v>
      </c>
      <c r="O409" t="s">
        <v>3617</v>
      </c>
      <c r="P409" t="s">
        <v>3618</v>
      </c>
      <c r="R409" t="s">
        <v>37</v>
      </c>
      <c r="S409" t="s">
        <v>37</v>
      </c>
      <c r="T409">
        <v>62.857652999999999</v>
      </c>
      <c r="U409" t="s">
        <v>3619</v>
      </c>
      <c r="V409" t="s">
        <v>3620</v>
      </c>
      <c r="W409">
        <v>27.631726</v>
      </c>
      <c r="X409">
        <v>139000</v>
      </c>
      <c r="Y409" t="s">
        <v>74</v>
      </c>
      <c r="AA409" t="s">
        <v>45</v>
      </c>
      <c r="AB409" t="s">
        <v>39</v>
      </c>
      <c r="AC409" t="s">
        <v>480</v>
      </c>
      <c r="AD409" t="s">
        <v>46</v>
      </c>
      <c r="AE409" t="s">
        <v>47</v>
      </c>
      <c r="AF409" t="s">
        <v>3621</v>
      </c>
      <c r="AG409" t="s">
        <v>3622</v>
      </c>
      <c r="AH409">
        <v>81</v>
      </c>
      <c r="AI409" s="2" t="str">
        <f t="shared" si="30"/>
        <v>Independent</v>
      </c>
      <c r="AJ409" s="2" t="str">
        <f t="shared" si="31"/>
        <v>NO</v>
      </c>
      <c r="AK409" s="1" t="str">
        <f t="shared" si="32"/>
        <v>None</v>
      </c>
      <c r="AL409" s="1" t="str">
        <f t="shared" si="33"/>
        <v>1 Toilet</v>
      </c>
      <c r="AM409" s="1" t="str">
        <f t="shared" si="34"/>
        <v>NO</v>
      </c>
      <c r="AN409" s="1" t="str">
        <f>VLOOKUP(J409, 'Regions and Cities'!A:B, 2, FALSE)</f>
        <v>Pohjois-Savo</v>
      </c>
    </row>
    <row r="410" spans="1:40" x14ac:dyDescent="0.3">
      <c r="A410" t="s">
        <v>5864</v>
      </c>
      <c r="B410" t="s">
        <v>5865</v>
      </c>
      <c r="C410" t="s">
        <v>5866</v>
      </c>
      <c r="D410" t="s">
        <v>77</v>
      </c>
      <c r="E410" t="s">
        <v>78</v>
      </c>
      <c r="F410" t="s">
        <v>79</v>
      </c>
      <c r="G410" t="s">
        <v>80</v>
      </c>
      <c r="H410">
        <v>130</v>
      </c>
      <c r="I410" t="s">
        <v>3236</v>
      </c>
      <c r="J410" t="s">
        <v>402</v>
      </c>
      <c r="K410" t="s">
        <v>402</v>
      </c>
      <c r="L410" t="s">
        <v>5867</v>
      </c>
      <c r="M410" t="s">
        <v>37</v>
      </c>
      <c r="N410" t="s">
        <v>5868</v>
      </c>
      <c r="O410" t="s">
        <v>5869</v>
      </c>
      <c r="P410" t="s">
        <v>5870</v>
      </c>
      <c r="Q410" t="s">
        <v>5871</v>
      </c>
      <c r="R410" t="s">
        <v>37</v>
      </c>
      <c r="S410" t="s">
        <v>37</v>
      </c>
      <c r="T410">
        <v>62.487430000000003</v>
      </c>
      <c r="U410" t="s">
        <v>5872</v>
      </c>
      <c r="V410" t="s">
        <v>5873</v>
      </c>
      <c r="W410">
        <v>25.477485000000001</v>
      </c>
      <c r="X410">
        <v>59000</v>
      </c>
      <c r="Y410" t="s">
        <v>544</v>
      </c>
      <c r="AA410" t="s">
        <v>63</v>
      </c>
      <c r="AB410" t="s">
        <v>39</v>
      </c>
      <c r="AC410" t="s">
        <v>480</v>
      </c>
      <c r="AD410" t="s">
        <v>55</v>
      </c>
      <c r="AE410" t="s">
        <v>5874</v>
      </c>
      <c r="AF410" t="s">
        <v>5875</v>
      </c>
      <c r="AG410" t="s">
        <v>5876</v>
      </c>
      <c r="AH410">
        <v>168</v>
      </c>
      <c r="AI410" s="2" t="str">
        <f t="shared" si="30"/>
        <v>Kitchenette</v>
      </c>
      <c r="AJ410" s="2" t="str">
        <f t="shared" si="31"/>
        <v>NO</v>
      </c>
      <c r="AK410" s="1" t="str">
        <f t="shared" si="32"/>
        <v>None</v>
      </c>
      <c r="AL410" s="1" t="str">
        <f t="shared" si="33"/>
        <v>1 Toilet</v>
      </c>
      <c r="AM410" s="1" t="str">
        <f t="shared" si="34"/>
        <v>NO</v>
      </c>
      <c r="AN410" s="1" t="str">
        <f>VLOOKUP(J410, 'Regions and Cities'!A:B, 2, FALSE)</f>
        <v>Keski-Suomi</v>
      </c>
    </row>
    <row r="411" spans="1:40" x14ac:dyDescent="0.3">
      <c r="A411" t="s">
        <v>5052</v>
      </c>
      <c r="B411" t="s">
        <v>5053</v>
      </c>
      <c r="C411" t="s">
        <v>5054</v>
      </c>
      <c r="D411" t="s">
        <v>5055</v>
      </c>
      <c r="E411" t="s">
        <v>5056</v>
      </c>
      <c r="F411" t="s">
        <v>105</v>
      </c>
      <c r="H411">
        <v>94.5</v>
      </c>
      <c r="I411" t="s">
        <v>1180</v>
      </c>
      <c r="J411" t="s">
        <v>137</v>
      </c>
      <c r="K411" t="s">
        <v>5057</v>
      </c>
      <c r="L411" t="s">
        <v>5058</v>
      </c>
      <c r="M411" t="s">
        <v>37</v>
      </c>
      <c r="N411" t="s">
        <v>5059</v>
      </c>
      <c r="O411" t="s">
        <v>5060</v>
      </c>
      <c r="R411" t="s">
        <v>37</v>
      </c>
      <c r="S411" t="s">
        <v>37</v>
      </c>
      <c r="T411">
        <v>60.217531000000001</v>
      </c>
      <c r="U411" t="s">
        <v>5061</v>
      </c>
      <c r="V411" t="s">
        <v>5062</v>
      </c>
      <c r="W411">
        <v>25.065989999999999</v>
      </c>
      <c r="X411">
        <v>358000</v>
      </c>
      <c r="Y411" t="s">
        <v>5063</v>
      </c>
      <c r="AA411" t="s">
        <v>54</v>
      </c>
      <c r="AB411" t="s">
        <v>39</v>
      </c>
      <c r="AC411" t="s">
        <v>480</v>
      </c>
      <c r="AD411" t="s">
        <v>46</v>
      </c>
      <c r="AE411" t="s">
        <v>5064</v>
      </c>
      <c r="AF411" t="s">
        <v>5065</v>
      </c>
      <c r="AG411" t="s">
        <v>5066</v>
      </c>
      <c r="AH411">
        <v>94.5</v>
      </c>
      <c r="AI411" s="2" t="str">
        <f t="shared" si="30"/>
        <v>Independent</v>
      </c>
      <c r="AJ411" s="2" t="str">
        <f t="shared" si="31"/>
        <v>NO</v>
      </c>
      <c r="AK411" s="1" t="str">
        <f t="shared" si="32"/>
        <v>Glazed Balcony</v>
      </c>
      <c r="AL411" s="1" t="str">
        <f t="shared" si="33"/>
        <v>1 Toilet</v>
      </c>
      <c r="AM411" s="1" t="str">
        <f t="shared" si="34"/>
        <v>YES</v>
      </c>
      <c r="AN411" s="1" t="str">
        <f>VLOOKUP(J411, 'Regions and Cities'!A:B, 2, FALSE)</f>
        <v>Uusimaa</v>
      </c>
    </row>
    <row r="412" spans="1:40" x14ac:dyDescent="0.3">
      <c r="A412" t="s">
        <v>9796</v>
      </c>
      <c r="B412" t="s">
        <v>9797</v>
      </c>
      <c r="C412" t="s">
        <v>1930</v>
      </c>
      <c r="D412" t="s">
        <v>2151</v>
      </c>
      <c r="E412" t="s">
        <v>2152</v>
      </c>
      <c r="F412" t="s">
        <v>79</v>
      </c>
      <c r="G412" t="s">
        <v>2153</v>
      </c>
      <c r="H412">
        <v>54.4</v>
      </c>
      <c r="I412" t="s">
        <v>2538</v>
      </c>
      <c r="J412" t="s">
        <v>126</v>
      </c>
      <c r="K412" t="s">
        <v>1933</v>
      </c>
      <c r="L412" t="s">
        <v>9798</v>
      </c>
      <c r="M412" t="s">
        <v>37</v>
      </c>
      <c r="N412" t="s">
        <v>9799</v>
      </c>
      <c r="O412" t="s">
        <v>9800</v>
      </c>
      <c r="P412" t="s">
        <v>9801</v>
      </c>
      <c r="R412" t="s">
        <v>37</v>
      </c>
      <c r="S412" t="s">
        <v>37</v>
      </c>
      <c r="T412">
        <v>60.177008999999998</v>
      </c>
      <c r="U412" t="s">
        <v>9802</v>
      </c>
      <c r="V412" t="s">
        <v>9803</v>
      </c>
      <c r="W412">
        <v>24.793092000000001</v>
      </c>
      <c r="X412">
        <v>248000</v>
      </c>
      <c r="Y412" t="s">
        <v>3202</v>
      </c>
      <c r="AA412" t="s">
        <v>38</v>
      </c>
      <c r="AB412" t="s">
        <v>39</v>
      </c>
      <c r="AC412" t="s">
        <v>9804</v>
      </c>
      <c r="AD412" t="s">
        <v>40</v>
      </c>
      <c r="AE412" t="s">
        <v>9805</v>
      </c>
      <c r="AF412" t="s">
        <v>9806</v>
      </c>
      <c r="AG412" t="s">
        <v>9807</v>
      </c>
      <c r="AH412">
        <v>54.4</v>
      </c>
      <c r="AI412" s="2" t="str">
        <f t="shared" si="30"/>
        <v>Independent</v>
      </c>
      <c r="AJ412" s="2" t="str">
        <f t="shared" si="31"/>
        <v>NO</v>
      </c>
      <c r="AK412" s="1" t="str">
        <f t="shared" si="32"/>
        <v>Standard Balcony</v>
      </c>
      <c r="AL412" s="1" t="str">
        <f t="shared" si="33"/>
        <v>1 Toilet</v>
      </c>
      <c r="AM412" s="1" t="str">
        <f t="shared" si="34"/>
        <v>NO</v>
      </c>
      <c r="AN412" s="1" t="str">
        <f>VLOOKUP(J412, 'Regions and Cities'!A:B, 2, FALSE)</f>
        <v>Uusimaa</v>
      </c>
    </row>
    <row r="413" spans="1:40" x14ac:dyDescent="0.3">
      <c r="A413" t="s">
        <v>9335</v>
      </c>
      <c r="B413" t="s">
        <v>9336</v>
      </c>
      <c r="C413" t="s">
        <v>9337</v>
      </c>
      <c r="D413" t="s">
        <v>7095</v>
      </c>
      <c r="E413" t="s">
        <v>7096</v>
      </c>
      <c r="F413" t="s">
        <v>58</v>
      </c>
      <c r="G413" t="s">
        <v>9338</v>
      </c>
      <c r="H413">
        <v>81.5</v>
      </c>
      <c r="I413" t="s">
        <v>227</v>
      </c>
      <c r="J413" t="s">
        <v>350</v>
      </c>
      <c r="K413" t="s">
        <v>9339</v>
      </c>
      <c r="L413" t="s">
        <v>9340</v>
      </c>
      <c r="M413" t="s">
        <v>37</v>
      </c>
      <c r="N413" t="s">
        <v>9341</v>
      </c>
      <c r="O413" t="s">
        <v>9342</v>
      </c>
      <c r="P413" t="s">
        <v>9343</v>
      </c>
      <c r="R413" t="s">
        <v>37</v>
      </c>
      <c r="S413" t="s">
        <v>37</v>
      </c>
      <c r="T413">
        <v>62.615940000000002</v>
      </c>
      <c r="U413" t="s">
        <v>9344</v>
      </c>
      <c r="V413" t="s">
        <v>9345</v>
      </c>
      <c r="W413">
        <v>29.795020000000001</v>
      </c>
      <c r="X413">
        <v>159000</v>
      </c>
      <c r="Y413" t="s">
        <v>83</v>
      </c>
      <c r="AA413" t="s">
        <v>45</v>
      </c>
      <c r="AB413" t="s">
        <v>39</v>
      </c>
      <c r="AC413" t="s">
        <v>6510</v>
      </c>
      <c r="AD413" t="s">
        <v>75</v>
      </c>
      <c r="AE413" t="s">
        <v>9346</v>
      </c>
      <c r="AF413" t="s">
        <v>9347</v>
      </c>
      <c r="AG413" t="s">
        <v>9348</v>
      </c>
      <c r="AH413">
        <v>81.5</v>
      </c>
      <c r="AI413" s="2" t="str">
        <f t="shared" si="30"/>
        <v>Independent</v>
      </c>
      <c r="AJ413" s="2" t="str">
        <f t="shared" si="31"/>
        <v>YES</v>
      </c>
      <c r="AK413" s="1" t="str">
        <f t="shared" si="32"/>
        <v>None</v>
      </c>
      <c r="AL413" s="1" t="str">
        <f t="shared" si="33"/>
        <v>1 Toilet</v>
      </c>
      <c r="AM413" s="1" t="str">
        <f t="shared" si="34"/>
        <v>NO</v>
      </c>
      <c r="AN413" s="1" t="str">
        <f>VLOOKUP(J413, 'Regions and Cities'!A:B, 2, FALSE)</f>
        <v>Pohjois-Karjala</v>
      </c>
    </row>
    <row r="414" spans="1:40" x14ac:dyDescent="0.3">
      <c r="A414" t="s">
        <v>6474</v>
      </c>
      <c r="B414" t="s">
        <v>6475</v>
      </c>
      <c r="C414" t="s">
        <v>6476</v>
      </c>
      <c r="D414" t="s">
        <v>4352</v>
      </c>
      <c r="E414" t="s">
        <v>4353</v>
      </c>
      <c r="F414" t="s">
        <v>4354</v>
      </c>
      <c r="H414">
        <v>80.5</v>
      </c>
      <c r="I414" t="s">
        <v>35</v>
      </c>
      <c r="J414" t="s">
        <v>361</v>
      </c>
      <c r="K414" t="s">
        <v>6477</v>
      </c>
      <c r="L414" t="s">
        <v>6478</v>
      </c>
      <c r="M414" t="s">
        <v>37</v>
      </c>
      <c r="N414" t="s">
        <v>6479</v>
      </c>
      <c r="O414" t="s">
        <v>6480</v>
      </c>
      <c r="R414" t="s">
        <v>37</v>
      </c>
      <c r="S414" t="s">
        <v>37</v>
      </c>
      <c r="T414">
        <v>62.788086999999997</v>
      </c>
      <c r="U414" t="s">
        <v>6481</v>
      </c>
      <c r="V414" t="s">
        <v>6482</v>
      </c>
      <c r="W414">
        <v>22.927672999999999</v>
      </c>
      <c r="X414">
        <v>210000</v>
      </c>
      <c r="Y414" t="s">
        <v>1821</v>
      </c>
      <c r="AA414" t="s">
        <v>45</v>
      </c>
      <c r="AB414" t="s">
        <v>39</v>
      </c>
      <c r="AC414" t="s">
        <v>6483</v>
      </c>
      <c r="AD414" t="s">
        <v>75</v>
      </c>
      <c r="AE414" t="s">
        <v>869</v>
      </c>
      <c r="AF414" t="s">
        <v>6484</v>
      </c>
      <c r="AG414" t="s">
        <v>6485</v>
      </c>
      <c r="AH414">
        <v>80.5</v>
      </c>
      <c r="AI414" s="2" t="str">
        <f t="shared" si="30"/>
        <v>Independent</v>
      </c>
      <c r="AJ414" s="2" t="str">
        <f t="shared" si="31"/>
        <v>YES</v>
      </c>
      <c r="AK414" s="1" t="str">
        <f t="shared" si="32"/>
        <v>None</v>
      </c>
      <c r="AL414" s="1" t="str">
        <f t="shared" si="33"/>
        <v>1 Toilet</v>
      </c>
      <c r="AM414" s="1" t="str">
        <f t="shared" si="34"/>
        <v>NO</v>
      </c>
      <c r="AN414" s="1" t="str">
        <f>VLOOKUP(J414, 'Regions and Cities'!A:B, 2, FALSE)</f>
        <v>Etelä-Pohjanmaa</v>
      </c>
    </row>
    <row r="415" spans="1:40" x14ac:dyDescent="0.3">
      <c r="A415" t="s">
        <v>1731</v>
      </c>
      <c r="B415" t="s">
        <v>1732</v>
      </c>
      <c r="C415" t="s">
        <v>1733</v>
      </c>
      <c r="D415" t="s">
        <v>1717</v>
      </c>
      <c r="E415" t="s">
        <v>1718</v>
      </c>
      <c r="F415" t="s">
        <v>1719</v>
      </c>
      <c r="H415">
        <v>40</v>
      </c>
      <c r="I415" t="s">
        <v>1221</v>
      </c>
      <c r="J415" t="s">
        <v>370</v>
      </c>
      <c r="K415" t="s">
        <v>1734</v>
      </c>
      <c r="L415" t="s">
        <v>1735</v>
      </c>
      <c r="M415" t="s">
        <v>37</v>
      </c>
      <c r="N415" t="s">
        <v>1736</v>
      </c>
      <c r="O415" t="s">
        <v>1737</v>
      </c>
      <c r="R415" t="s">
        <v>37</v>
      </c>
      <c r="S415" t="s">
        <v>37</v>
      </c>
      <c r="T415">
        <v>60.399323000000003</v>
      </c>
      <c r="U415" t="s">
        <v>1738</v>
      </c>
      <c r="V415" t="s">
        <v>1739</v>
      </c>
      <c r="W415">
        <v>25.022580000000001</v>
      </c>
      <c r="X415">
        <v>17773.48</v>
      </c>
      <c r="Y415" t="s">
        <v>1740</v>
      </c>
      <c r="AA415" t="s">
        <v>38</v>
      </c>
      <c r="AB415" t="s">
        <v>39</v>
      </c>
      <c r="AC415" t="s">
        <v>480</v>
      </c>
      <c r="AD415" t="s">
        <v>40</v>
      </c>
      <c r="AE415" t="s">
        <v>1741</v>
      </c>
      <c r="AF415" t="s">
        <v>1742</v>
      </c>
      <c r="AG415" t="s">
        <v>1743</v>
      </c>
      <c r="AH415"/>
      <c r="AI415" s="2" t="str">
        <f t="shared" si="30"/>
        <v>Kitchenette</v>
      </c>
      <c r="AJ415" s="2" t="str">
        <f t="shared" si="31"/>
        <v>YES</v>
      </c>
      <c r="AK415" s="1" t="str">
        <f t="shared" si="32"/>
        <v>None</v>
      </c>
      <c r="AL415" s="1" t="str">
        <f t="shared" si="33"/>
        <v>1 Toilet</v>
      </c>
      <c r="AM415" s="1" t="str">
        <f t="shared" si="34"/>
        <v>NO</v>
      </c>
      <c r="AN415" s="1" t="str">
        <f>VLOOKUP(J415, 'Regions and Cities'!A:B, 2, FALSE)</f>
        <v>Uusimaa</v>
      </c>
    </row>
    <row r="416" spans="1:40" x14ac:dyDescent="0.3">
      <c r="A416" t="s">
        <v>6291</v>
      </c>
      <c r="B416" t="s">
        <v>6292</v>
      </c>
      <c r="C416" t="s">
        <v>6293</v>
      </c>
      <c r="D416" t="s">
        <v>178</v>
      </c>
      <c r="E416" t="s">
        <v>179</v>
      </c>
      <c r="F416" t="s">
        <v>180</v>
      </c>
      <c r="H416">
        <v>38.5</v>
      </c>
      <c r="I416" t="s">
        <v>1310</v>
      </c>
      <c r="J416" t="s">
        <v>137</v>
      </c>
      <c r="K416" t="s">
        <v>6294</v>
      </c>
      <c r="L416" t="s">
        <v>6295</v>
      </c>
      <c r="M416" t="s">
        <v>37</v>
      </c>
      <c r="N416" t="s">
        <v>6296</v>
      </c>
      <c r="O416" t="s">
        <v>6297</v>
      </c>
      <c r="R416" t="s">
        <v>111</v>
      </c>
      <c r="S416" t="s">
        <v>37</v>
      </c>
      <c r="T416">
        <v>60.251199999999997</v>
      </c>
      <c r="U416" t="s">
        <v>6298</v>
      </c>
      <c r="V416" t="s">
        <v>6299</v>
      </c>
      <c r="W416">
        <v>24.8504</v>
      </c>
      <c r="X416">
        <v>31695.39</v>
      </c>
      <c r="Y416" t="s">
        <v>6300</v>
      </c>
      <c r="AA416" t="s">
        <v>38</v>
      </c>
      <c r="AB416" t="s">
        <v>39</v>
      </c>
      <c r="AC416" t="s">
        <v>480</v>
      </c>
      <c r="AD416" t="s">
        <v>40</v>
      </c>
      <c r="AE416" t="s">
        <v>145</v>
      </c>
      <c r="AF416" t="s">
        <v>6301</v>
      </c>
      <c r="AG416" t="s">
        <v>6302</v>
      </c>
      <c r="AH416"/>
      <c r="AI416" s="2" t="str">
        <f t="shared" si="30"/>
        <v>Open</v>
      </c>
      <c r="AJ416" s="2" t="str">
        <f t="shared" si="31"/>
        <v>NO</v>
      </c>
      <c r="AK416" s="1" t="str">
        <f t="shared" si="32"/>
        <v>None</v>
      </c>
      <c r="AL416" s="1" t="str">
        <f t="shared" si="33"/>
        <v>1 Toilet</v>
      </c>
      <c r="AM416" s="1" t="str">
        <f t="shared" si="34"/>
        <v>NO</v>
      </c>
      <c r="AN416" s="1" t="str">
        <f>VLOOKUP(J416, 'Regions and Cities'!A:B, 2, FALSE)</f>
        <v>Uusimaa</v>
      </c>
    </row>
    <row r="417" spans="1:40" x14ac:dyDescent="0.3">
      <c r="A417" t="s">
        <v>9505</v>
      </c>
      <c r="B417" t="s">
        <v>9506</v>
      </c>
      <c r="C417" t="s">
        <v>7157</v>
      </c>
      <c r="D417" t="s">
        <v>168</v>
      </c>
      <c r="E417" t="s">
        <v>169</v>
      </c>
      <c r="F417" t="s">
        <v>170</v>
      </c>
      <c r="H417">
        <v>50</v>
      </c>
      <c r="I417" t="s">
        <v>1310</v>
      </c>
      <c r="J417" t="s">
        <v>126</v>
      </c>
      <c r="K417" t="s">
        <v>7158</v>
      </c>
      <c r="L417" t="s">
        <v>9507</v>
      </c>
      <c r="M417" t="s">
        <v>37</v>
      </c>
      <c r="N417" t="s">
        <v>9508</v>
      </c>
      <c r="O417" t="s">
        <v>9509</v>
      </c>
      <c r="R417" t="s">
        <v>111</v>
      </c>
      <c r="S417" t="s">
        <v>37</v>
      </c>
      <c r="T417">
        <v>60.208767000000002</v>
      </c>
      <c r="U417" t="s">
        <v>9510</v>
      </c>
      <c r="V417" t="s">
        <v>9511</v>
      </c>
      <c r="W417">
        <v>24.758807999999998</v>
      </c>
      <c r="X417">
        <v>229900</v>
      </c>
      <c r="Y417" t="s">
        <v>8852</v>
      </c>
      <c r="AA417" t="s">
        <v>38</v>
      </c>
      <c r="AB417" t="s">
        <v>39</v>
      </c>
      <c r="AC417" t="s">
        <v>9512</v>
      </c>
      <c r="AD417" t="s">
        <v>46</v>
      </c>
      <c r="AE417" t="s">
        <v>3213</v>
      </c>
      <c r="AF417" t="s">
        <v>9513</v>
      </c>
      <c r="AG417" t="s">
        <v>9514</v>
      </c>
      <c r="AH417"/>
      <c r="AI417" s="2" t="str">
        <f t="shared" si="30"/>
        <v>Open</v>
      </c>
      <c r="AJ417" s="2" t="str">
        <f t="shared" si="31"/>
        <v>YES</v>
      </c>
      <c r="AK417" s="1" t="str">
        <f t="shared" si="32"/>
        <v>Standard Balcony</v>
      </c>
      <c r="AL417" s="1" t="str">
        <f t="shared" si="33"/>
        <v>1 Toilet</v>
      </c>
      <c r="AM417" s="1" t="str">
        <f t="shared" si="34"/>
        <v>NO</v>
      </c>
      <c r="AN417" s="1" t="str">
        <f>VLOOKUP(J417, 'Regions and Cities'!A:B, 2, FALSE)</f>
        <v>Uusimaa</v>
      </c>
    </row>
    <row r="418" spans="1:40" x14ac:dyDescent="0.3">
      <c r="A418" t="s">
        <v>9515</v>
      </c>
      <c r="B418" t="s">
        <v>9516</v>
      </c>
      <c r="C418" t="s">
        <v>7157</v>
      </c>
      <c r="D418" t="s">
        <v>168</v>
      </c>
      <c r="E418" t="s">
        <v>169</v>
      </c>
      <c r="F418" t="s">
        <v>170</v>
      </c>
      <c r="H418">
        <v>57.5</v>
      </c>
      <c r="I418" t="s">
        <v>1310</v>
      </c>
      <c r="J418" t="s">
        <v>126</v>
      </c>
      <c r="K418" t="s">
        <v>7158</v>
      </c>
      <c r="L418" t="s">
        <v>9517</v>
      </c>
      <c r="M418" t="s">
        <v>37</v>
      </c>
      <c r="N418" t="s">
        <v>9518</v>
      </c>
      <c r="O418" t="s">
        <v>9519</v>
      </c>
      <c r="R418" t="s">
        <v>111</v>
      </c>
      <c r="S418" t="s">
        <v>37</v>
      </c>
      <c r="T418">
        <v>60.208767000000002</v>
      </c>
      <c r="U418" t="s">
        <v>9520</v>
      </c>
      <c r="V418" t="s">
        <v>9521</v>
      </c>
      <c r="W418">
        <v>24.758807999999998</v>
      </c>
      <c r="X418">
        <v>269000</v>
      </c>
      <c r="Y418" t="s">
        <v>1145</v>
      </c>
      <c r="AA418" t="s">
        <v>38</v>
      </c>
      <c r="AB418" t="s">
        <v>39</v>
      </c>
      <c r="AC418" t="s">
        <v>9512</v>
      </c>
      <c r="AD418" t="s">
        <v>46</v>
      </c>
      <c r="AE418" t="s">
        <v>9522</v>
      </c>
      <c r="AF418" t="s">
        <v>9523</v>
      </c>
      <c r="AG418" t="s">
        <v>9524</v>
      </c>
      <c r="AH418"/>
      <c r="AI418" s="2" t="str">
        <f t="shared" si="30"/>
        <v>Open</v>
      </c>
      <c r="AJ418" s="2" t="str">
        <f t="shared" si="31"/>
        <v>YES</v>
      </c>
      <c r="AK418" s="1" t="str">
        <f t="shared" si="32"/>
        <v>Standard Balcony</v>
      </c>
      <c r="AL418" s="1" t="str">
        <f t="shared" si="33"/>
        <v>1 Toilet</v>
      </c>
      <c r="AM418" s="1" t="str">
        <f t="shared" si="34"/>
        <v>YES</v>
      </c>
      <c r="AN418" s="1" t="str">
        <f>VLOOKUP(J418, 'Regions and Cities'!A:B, 2, FALSE)</f>
        <v>Uusimaa</v>
      </c>
    </row>
    <row r="419" spans="1:40" x14ac:dyDescent="0.3">
      <c r="A419" t="s">
        <v>9483</v>
      </c>
      <c r="B419" t="s">
        <v>9484</v>
      </c>
      <c r="C419" t="s">
        <v>7157</v>
      </c>
      <c r="D419" t="s">
        <v>168</v>
      </c>
      <c r="E419" t="s">
        <v>169</v>
      </c>
      <c r="F419" t="s">
        <v>170</v>
      </c>
      <c r="H419">
        <v>49</v>
      </c>
      <c r="I419" t="s">
        <v>1310</v>
      </c>
      <c r="J419" t="s">
        <v>126</v>
      </c>
      <c r="K419" t="s">
        <v>7158</v>
      </c>
      <c r="L419" t="s">
        <v>9485</v>
      </c>
      <c r="M419" t="s">
        <v>37</v>
      </c>
      <c r="N419" t="s">
        <v>9486</v>
      </c>
      <c r="O419" t="s">
        <v>9487</v>
      </c>
      <c r="R419" t="s">
        <v>111</v>
      </c>
      <c r="S419" t="s">
        <v>37</v>
      </c>
      <c r="T419">
        <v>60.208767000000002</v>
      </c>
      <c r="U419" t="s">
        <v>9488</v>
      </c>
      <c r="V419" t="s">
        <v>9489</v>
      </c>
      <c r="W419">
        <v>24.758807999999998</v>
      </c>
      <c r="X419">
        <v>239206</v>
      </c>
      <c r="Y419" t="s">
        <v>9490</v>
      </c>
      <c r="AA419" t="s">
        <v>38</v>
      </c>
      <c r="AB419" t="s">
        <v>39</v>
      </c>
      <c r="AC419" t="s">
        <v>7296</v>
      </c>
      <c r="AD419" t="s">
        <v>40</v>
      </c>
      <c r="AE419" t="s">
        <v>9491</v>
      </c>
      <c r="AF419" t="s">
        <v>9492</v>
      </c>
      <c r="AG419" t="s">
        <v>9493</v>
      </c>
      <c r="AH419"/>
      <c r="AI419" s="2" t="str">
        <f t="shared" si="30"/>
        <v>Open</v>
      </c>
      <c r="AJ419" s="2" t="str">
        <f t="shared" si="31"/>
        <v>NO</v>
      </c>
      <c r="AK419" s="1" t="str">
        <f t="shared" si="32"/>
        <v>Standard Balcony</v>
      </c>
      <c r="AL419" s="1" t="str">
        <f t="shared" si="33"/>
        <v>1 Toilet</v>
      </c>
      <c r="AM419" s="1" t="str">
        <f t="shared" si="34"/>
        <v>NO</v>
      </c>
      <c r="AN419" s="1" t="str">
        <f>VLOOKUP(J419, 'Regions and Cities'!A:B, 2, FALSE)</f>
        <v>Uusimaa</v>
      </c>
    </row>
    <row r="420" spans="1:40" x14ac:dyDescent="0.3">
      <c r="A420" t="s">
        <v>9494</v>
      </c>
      <c r="B420" t="s">
        <v>9495</v>
      </c>
      <c r="C420" t="s">
        <v>7157</v>
      </c>
      <c r="D420" t="s">
        <v>168</v>
      </c>
      <c r="E420" t="s">
        <v>169</v>
      </c>
      <c r="F420" t="s">
        <v>170</v>
      </c>
      <c r="H420">
        <v>30.5</v>
      </c>
      <c r="I420" t="s">
        <v>1310</v>
      </c>
      <c r="J420" t="s">
        <v>126</v>
      </c>
      <c r="K420" t="s">
        <v>7158</v>
      </c>
      <c r="L420" t="s">
        <v>9496</v>
      </c>
      <c r="M420" t="s">
        <v>37</v>
      </c>
      <c r="N420" t="s">
        <v>9497</v>
      </c>
      <c r="O420" t="s">
        <v>9498</v>
      </c>
      <c r="R420" t="s">
        <v>111</v>
      </c>
      <c r="S420" t="s">
        <v>37</v>
      </c>
      <c r="T420">
        <v>60.208767000000002</v>
      </c>
      <c r="U420" t="s">
        <v>9499</v>
      </c>
      <c r="V420" t="s">
        <v>9500</v>
      </c>
      <c r="W420">
        <v>24.758807999999998</v>
      </c>
      <c r="X420">
        <v>148700</v>
      </c>
      <c r="Y420" t="s">
        <v>9501</v>
      </c>
      <c r="AA420" t="s">
        <v>38</v>
      </c>
      <c r="AB420" t="s">
        <v>39</v>
      </c>
      <c r="AC420" t="s">
        <v>6380</v>
      </c>
      <c r="AD420" t="s">
        <v>40</v>
      </c>
      <c r="AE420" t="s">
        <v>9502</v>
      </c>
      <c r="AF420" t="s">
        <v>9503</v>
      </c>
      <c r="AG420" t="s">
        <v>9504</v>
      </c>
      <c r="AH420"/>
      <c r="AI420" s="2" t="str">
        <f t="shared" si="30"/>
        <v>Open</v>
      </c>
      <c r="AJ420" s="2" t="str">
        <f t="shared" si="31"/>
        <v>NO</v>
      </c>
      <c r="AK420" s="1" t="str">
        <f t="shared" si="32"/>
        <v>Standard Balcony</v>
      </c>
      <c r="AL420" s="1" t="str">
        <f t="shared" si="33"/>
        <v>1 Toilet</v>
      </c>
      <c r="AM420" s="1" t="str">
        <f t="shared" si="34"/>
        <v>NO</v>
      </c>
      <c r="AN420" s="1" t="str">
        <f>VLOOKUP(J420, 'Regions and Cities'!A:B, 2, FALSE)</f>
        <v>Uusimaa</v>
      </c>
    </row>
    <row r="421" spans="1:40" x14ac:dyDescent="0.3">
      <c r="A421" t="s">
        <v>7474</v>
      </c>
      <c r="B421" t="s">
        <v>7475</v>
      </c>
      <c r="C421" t="s">
        <v>7476</v>
      </c>
      <c r="D421" t="s">
        <v>1717</v>
      </c>
      <c r="E421" t="s">
        <v>1718</v>
      </c>
      <c r="F421" t="s">
        <v>1719</v>
      </c>
      <c r="H421">
        <v>99.5</v>
      </c>
      <c r="I421" t="s">
        <v>1670</v>
      </c>
      <c r="J421" t="s">
        <v>116</v>
      </c>
      <c r="K421" t="s">
        <v>7477</v>
      </c>
      <c r="L421" t="s">
        <v>7478</v>
      </c>
      <c r="M421" t="s">
        <v>37</v>
      </c>
      <c r="N421" t="s">
        <v>7479</v>
      </c>
      <c r="O421" t="s">
        <v>7480</v>
      </c>
      <c r="R421" t="s">
        <v>37</v>
      </c>
      <c r="S421" t="s">
        <v>37</v>
      </c>
      <c r="T421">
        <v>60.284151000000001</v>
      </c>
      <c r="U421" t="s">
        <v>7481</v>
      </c>
      <c r="V421" t="s">
        <v>7482</v>
      </c>
      <c r="W421">
        <v>25.121829000000002</v>
      </c>
      <c r="X421">
        <v>40937.519999999997</v>
      </c>
      <c r="Y421" t="s">
        <v>7483</v>
      </c>
      <c r="AA421" t="s">
        <v>45</v>
      </c>
      <c r="AB421" t="s">
        <v>39</v>
      </c>
      <c r="AC421" t="s">
        <v>6510</v>
      </c>
      <c r="AD421" t="s">
        <v>55</v>
      </c>
      <c r="AE421" t="s">
        <v>1788</v>
      </c>
      <c r="AF421" t="s">
        <v>7484</v>
      </c>
      <c r="AG421" t="s">
        <v>7485</v>
      </c>
      <c r="AH421"/>
      <c r="AI421" s="2" t="str">
        <f t="shared" si="30"/>
        <v>Independent</v>
      </c>
      <c r="AJ421" s="2" t="str">
        <f t="shared" si="31"/>
        <v>YES</v>
      </c>
      <c r="AK421" s="1" t="str">
        <f t="shared" si="32"/>
        <v>None</v>
      </c>
      <c r="AL421" s="1" t="str">
        <f t="shared" si="33"/>
        <v>1 Toilet</v>
      </c>
      <c r="AM421" s="1" t="str">
        <f t="shared" si="34"/>
        <v>NO</v>
      </c>
      <c r="AN421" s="1" t="str">
        <f>VLOOKUP(J421, 'Regions and Cities'!A:B, 2, FALSE)</f>
        <v>Uusimaa</v>
      </c>
    </row>
    <row r="422" spans="1:40" x14ac:dyDescent="0.3">
      <c r="A422" t="s">
        <v>7707</v>
      </c>
      <c r="B422" t="s">
        <v>7708</v>
      </c>
      <c r="C422" t="s">
        <v>2951</v>
      </c>
      <c r="D422" t="s">
        <v>258</v>
      </c>
      <c r="E422" t="s">
        <v>259</v>
      </c>
      <c r="F422" t="s">
        <v>50</v>
      </c>
      <c r="G422" t="s">
        <v>6501</v>
      </c>
      <c r="H422">
        <v>30</v>
      </c>
      <c r="I422" t="s">
        <v>272</v>
      </c>
      <c r="J422" t="s">
        <v>110</v>
      </c>
      <c r="K422" t="s">
        <v>2952</v>
      </c>
      <c r="L422" t="s">
        <v>7709</v>
      </c>
      <c r="M422" t="s">
        <v>37</v>
      </c>
      <c r="N422" t="s">
        <v>7710</v>
      </c>
      <c r="O422" t="s">
        <v>7711</v>
      </c>
      <c r="P422" t="s">
        <v>7712</v>
      </c>
      <c r="Q422" t="s">
        <v>7713</v>
      </c>
      <c r="R422" t="s">
        <v>37</v>
      </c>
      <c r="S422" t="s">
        <v>37</v>
      </c>
      <c r="T422">
        <v>60.442279999999997</v>
      </c>
      <c r="U422" t="s">
        <v>7714</v>
      </c>
      <c r="V422" t="s">
        <v>7715</v>
      </c>
      <c r="W422">
        <v>22.361709999999999</v>
      </c>
      <c r="X422">
        <v>45500</v>
      </c>
      <c r="Y422" t="s">
        <v>7716</v>
      </c>
      <c r="AA422" t="s">
        <v>38</v>
      </c>
      <c r="AB422" t="s">
        <v>39</v>
      </c>
      <c r="AC422" t="s">
        <v>285</v>
      </c>
      <c r="AD422" t="s">
        <v>202</v>
      </c>
      <c r="AE422" t="s">
        <v>222</v>
      </c>
      <c r="AF422" t="s">
        <v>7717</v>
      </c>
      <c r="AG422" t="s">
        <v>7718</v>
      </c>
      <c r="AH422">
        <v>30</v>
      </c>
      <c r="AI422" s="2" t="str">
        <f t="shared" si="30"/>
        <v>Kitchenette</v>
      </c>
      <c r="AJ422" s="2" t="str">
        <f t="shared" si="31"/>
        <v>NO</v>
      </c>
      <c r="AK422" s="1" t="str">
        <f t="shared" si="32"/>
        <v>None</v>
      </c>
      <c r="AL422" s="1" t="str">
        <f t="shared" si="33"/>
        <v>1 Toilet</v>
      </c>
      <c r="AM422" s="1" t="str">
        <f t="shared" si="34"/>
        <v>NO</v>
      </c>
      <c r="AN422" s="1" t="str">
        <f>VLOOKUP(J422, 'Regions and Cities'!A:B, 2, FALSE)</f>
        <v>Varsinais-Suomi</v>
      </c>
    </row>
    <row r="423" spans="1:40" x14ac:dyDescent="0.3">
      <c r="A423" t="s">
        <v>4295</v>
      </c>
      <c r="B423" t="s">
        <v>4296</v>
      </c>
      <c r="C423" t="s">
        <v>4297</v>
      </c>
      <c r="D423" t="s">
        <v>3708</v>
      </c>
      <c r="E423" t="s">
        <v>3709</v>
      </c>
      <c r="F423" t="s">
        <v>3710</v>
      </c>
      <c r="G423" t="s">
        <v>3711</v>
      </c>
      <c r="H423">
        <v>73</v>
      </c>
      <c r="I423" t="s">
        <v>244</v>
      </c>
      <c r="J423" t="s">
        <v>265</v>
      </c>
      <c r="K423" t="s">
        <v>4298</v>
      </c>
      <c r="L423" t="s">
        <v>4299</v>
      </c>
      <c r="M423" t="s">
        <v>37</v>
      </c>
      <c r="N423" t="s">
        <v>4300</v>
      </c>
      <c r="O423" t="s">
        <v>4301</v>
      </c>
      <c r="P423" t="s">
        <v>4302</v>
      </c>
      <c r="R423" t="s">
        <v>37</v>
      </c>
      <c r="S423" t="s">
        <v>37</v>
      </c>
      <c r="T423">
        <v>65.024339999999995</v>
      </c>
      <c r="U423" t="s">
        <v>4303</v>
      </c>
      <c r="V423" t="s">
        <v>4304</v>
      </c>
      <c r="W423">
        <v>25.50665</v>
      </c>
      <c r="X423">
        <v>89000</v>
      </c>
      <c r="Y423" t="s">
        <v>282</v>
      </c>
      <c r="AA423" t="s">
        <v>38</v>
      </c>
      <c r="AB423" t="s">
        <v>39</v>
      </c>
      <c r="AC423" t="s">
        <v>480</v>
      </c>
      <c r="AD423" t="s">
        <v>46</v>
      </c>
      <c r="AE423" t="s">
        <v>775</v>
      </c>
      <c r="AF423" t="s">
        <v>4305</v>
      </c>
      <c r="AG423" t="s">
        <v>4306</v>
      </c>
      <c r="AH423">
        <v>73</v>
      </c>
      <c r="AI423" s="2" t="str">
        <f t="shared" si="30"/>
        <v>Independent</v>
      </c>
      <c r="AJ423" s="2" t="str">
        <f t="shared" si="31"/>
        <v>NO</v>
      </c>
      <c r="AK423" s="1" t="str">
        <f t="shared" si="32"/>
        <v>None</v>
      </c>
      <c r="AL423" s="1" t="str">
        <f t="shared" si="33"/>
        <v>1 Toilet</v>
      </c>
      <c r="AM423" s="1" t="str">
        <f t="shared" si="34"/>
        <v>NO</v>
      </c>
      <c r="AN423" s="1" t="str">
        <f>VLOOKUP(J423, 'Regions and Cities'!A:B, 2, FALSE)</f>
        <v>Pohjois-Pohjanmaa</v>
      </c>
    </row>
    <row r="424" spans="1:40" x14ac:dyDescent="0.3">
      <c r="A424" t="s">
        <v>8124</v>
      </c>
      <c r="B424" t="s">
        <v>8125</v>
      </c>
      <c r="C424" t="s">
        <v>8126</v>
      </c>
      <c r="D424" t="s">
        <v>8099</v>
      </c>
      <c r="E424" t="s">
        <v>8100</v>
      </c>
      <c r="F424" t="s">
        <v>1493</v>
      </c>
      <c r="H424">
        <v>100</v>
      </c>
      <c r="I424" t="s">
        <v>2696</v>
      </c>
      <c r="J424" t="s">
        <v>36</v>
      </c>
      <c r="K424" t="s">
        <v>131</v>
      </c>
      <c r="L424" t="s">
        <v>8127</v>
      </c>
      <c r="M424" t="s">
        <v>37</v>
      </c>
      <c r="N424" t="s">
        <v>8128</v>
      </c>
      <c r="O424" t="s">
        <v>8129</v>
      </c>
      <c r="R424" t="s">
        <v>37</v>
      </c>
      <c r="S424" t="s">
        <v>37</v>
      </c>
      <c r="T424">
        <v>60.395390999999996</v>
      </c>
      <c r="U424" t="s">
        <v>8130</v>
      </c>
      <c r="V424" t="s">
        <v>8131</v>
      </c>
      <c r="W424">
        <v>25.674901999999999</v>
      </c>
      <c r="X424">
        <v>159000</v>
      </c>
      <c r="Y424" t="s">
        <v>83</v>
      </c>
      <c r="AA424" t="s">
        <v>38</v>
      </c>
      <c r="AB424" t="s">
        <v>39</v>
      </c>
      <c r="AC424" t="s">
        <v>6510</v>
      </c>
      <c r="AD424" t="s">
        <v>75</v>
      </c>
      <c r="AE424" t="s">
        <v>8132</v>
      </c>
      <c r="AF424" t="s">
        <v>8133</v>
      </c>
      <c r="AG424" t="s">
        <v>8134</v>
      </c>
      <c r="AH424">
        <v>100</v>
      </c>
      <c r="AI424" s="2" t="str">
        <f t="shared" si="30"/>
        <v>Independent</v>
      </c>
      <c r="AJ424" s="2" t="str">
        <f t="shared" si="31"/>
        <v>NO</v>
      </c>
      <c r="AK424" s="1" t="str">
        <f t="shared" si="32"/>
        <v>Standard Balcony</v>
      </c>
      <c r="AL424" s="1" t="str">
        <f t="shared" si="33"/>
        <v>1 Toilet</v>
      </c>
      <c r="AM424" s="1" t="str">
        <f t="shared" si="34"/>
        <v>YES</v>
      </c>
      <c r="AN424" s="1" t="str">
        <f>VLOOKUP(J424, 'Regions and Cities'!A:B, 2, FALSE)</f>
        <v>Uusimaa</v>
      </c>
    </row>
    <row r="425" spans="1:40" x14ac:dyDescent="0.3">
      <c r="A425" t="s">
        <v>4952</v>
      </c>
      <c r="B425" t="s">
        <v>4953</v>
      </c>
      <c r="C425" t="s">
        <v>4954</v>
      </c>
      <c r="D425" t="s">
        <v>1747</v>
      </c>
      <c r="E425" t="s">
        <v>1748</v>
      </c>
      <c r="F425" t="s">
        <v>1749</v>
      </c>
      <c r="G425" t="s">
        <v>4955</v>
      </c>
      <c r="H425">
        <v>195</v>
      </c>
      <c r="I425" t="s">
        <v>4956</v>
      </c>
      <c r="J425" t="s">
        <v>101</v>
      </c>
      <c r="K425" t="s">
        <v>4957</v>
      </c>
      <c r="L425" t="s">
        <v>4958</v>
      </c>
      <c r="M425" t="s">
        <v>37</v>
      </c>
      <c r="N425" t="s">
        <v>4959</v>
      </c>
      <c r="O425" t="s">
        <v>4960</v>
      </c>
      <c r="P425" t="s">
        <v>4961</v>
      </c>
      <c r="R425" t="s">
        <v>37</v>
      </c>
      <c r="S425" t="s">
        <v>37</v>
      </c>
      <c r="T425">
        <v>61.001249999999999</v>
      </c>
      <c r="U425" t="s">
        <v>4962</v>
      </c>
      <c r="V425" t="s">
        <v>4963</v>
      </c>
      <c r="W425">
        <v>25.67501</v>
      </c>
      <c r="X425">
        <v>175000</v>
      </c>
      <c r="Y425" t="s">
        <v>611</v>
      </c>
      <c r="AA425" t="s">
        <v>63</v>
      </c>
      <c r="AB425" t="s">
        <v>39</v>
      </c>
      <c r="AC425" t="s">
        <v>480</v>
      </c>
      <c r="AD425" t="s">
        <v>75</v>
      </c>
      <c r="AE425" t="s">
        <v>4964</v>
      </c>
      <c r="AF425" t="s">
        <v>4965</v>
      </c>
      <c r="AG425" t="s">
        <v>4966</v>
      </c>
      <c r="AH425">
        <v>269.60000000000002</v>
      </c>
      <c r="AI425" s="2" t="str">
        <f t="shared" si="30"/>
        <v>Kitchenette</v>
      </c>
      <c r="AJ425" s="2" t="str">
        <f t="shared" si="31"/>
        <v>NO</v>
      </c>
      <c r="AK425" s="1" t="str">
        <f t="shared" si="32"/>
        <v>None</v>
      </c>
      <c r="AL425" s="1" t="str">
        <f t="shared" si="33"/>
        <v>1 Toilet</v>
      </c>
      <c r="AM425" s="1" t="str">
        <f t="shared" si="34"/>
        <v>YES</v>
      </c>
      <c r="AN425" s="1" t="str">
        <f>VLOOKUP(J425, 'Regions and Cities'!A:B, 2, FALSE)</f>
        <v>Päijät-Häme</v>
      </c>
    </row>
    <row r="426" spans="1:40" x14ac:dyDescent="0.3">
      <c r="A426" t="s">
        <v>5921</v>
      </c>
      <c r="B426" t="s">
        <v>5922</v>
      </c>
      <c r="C426" t="s">
        <v>5923</v>
      </c>
      <c r="D426" t="s">
        <v>1946</v>
      </c>
      <c r="E426" t="s">
        <v>1947</v>
      </c>
      <c r="F426" t="s">
        <v>1948</v>
      </c>
      <c r="H426">
        <v>87</v>
      </c>
      <c r="I426" t="s">
        <v>490</v>
      </c>
      <c r="J426" t="s">
        <v>114</v>
      </c>
      <c r="K426" t="s">
        <v>5924</v>
      </c>
      <c r="L426" t="s">
        <v>5925</v>
      </c>
      <c r="M426" t="s">
        <v>37</v>
      </c>
      <c r="N426" t="s">
        <v>5926</v>
      </c>
      <c r="O426" t="s">
        <v>5927</v>
      </c>
      <c r="R426" t="s">
        <v>37</v>
      </c>
      <c r="S426" t="s">
        <v>37</v>
      </c>
      <c r="T426">
        <v>60.253250000000001</v>
      </c>
      <c r="U426" t="s">
        <v>5928</v>
      </c>
      <c r="V426" t="s">
        <v>5929</v>
      </c>
      <c r="W426">
        <v>24.088609999999999</v>
      </c>
      <c r="X426">
        <v>198000</v>
      </c>
      <c r="Y426" t="s">
        <v>267</v>
      </c>
      <c r="AA426" t="s">
        <v>54</v>
      </c>
      <c r="AB426" t="s">
        <v>39</v>
      </c>
      <c r="AC426" t="s">
        <v>480</v>
      </c>
      <c r="AD426" t="s">
        <v>75</v>
      </c>
      <c r="AE426" t="s">
        <v>5930</v>
      </c>
      <c r="AF426" t="s">
        <v>5931</v>
      </c>
      <c r="AG426" t="s">
        <v>5932</v>
      </c>
      <c r="AH426">
        <v>87</v>
      </c>
      <c r="AI426" s="2" t="str">
        <f t="shared" si="30"/>
        <v>Independent</v>
      </c>
      <c r="AJ426" s="2" t="str">
        <f t="shared" si="31"/>
        <v>YES</v>
      </c>
      <c r="AK426" s="1" t="str">
        <f t="shared" si="32"/>
        <v>None</v>
      </c>
      <c r="AL426" s="1" t="str">
        <f t="shared" si="33"/>
        <v>1 Toilet</v>
      </c>
      <c r="AM426" s="1" t="str">
        <f t="shared" si="34"/>
        <v>NO</v>
      </c>
      <c r="AN426" s="1" t="str">
        <f>VLOOKUP(J426, 'Regions and Cities'!A:B, 2, FALSE)</f>
        <v>Uusimaa</v>
      </c>
    </row>
    <row r="427" spans="1:40" x14ac:dyDescent="0.3">
      <c r="A427" t="s">
        <v>7380</v>
      </c>
      <c r="B427" t="s">
        <v>7381</v>
      </c>
      <c r="C427" t="s">
        <v>7382</v>
      </c>
      <c r="D427" t="s">
        <v>1747</v>
      </c>
      <c r="E427" t="s">
        <v>1748</v>
      </c>
      <c r="F427" t="s">
        <v>1749</v>
      </c>
      <c r="G427" t="s">
        <v>7383</v>
      </c>
      <c r="H427">
        <v>199</v>
      </c>
      <c r="I427" t="s">
        <v>573</v>
      </c>
      <c r="J427" t="s">
        <v>371</v>
      </c>
      <c r="K427" t="s">
        <v>7384</v>
      </c>
      <c r="L427" t="s">
        <v>7385</v>
      </c>
      <c r="M427" t="s">
        <v>37</v>
      </c>
      <c r="N427" t="s">
        <v>7386</v>
      </c>
      <c r="O427" t="s">
        <v>7387</v>
      </c>
      <c r="P427" t="s">
        <v>7388</v>
      </c>
      <c r="Q427" t="s">
        <v>7389</v>
      </c>
      <c r="R427" t="s">
        <v>37</v>
      </c>
      <c r="S427" t="s">
        <v>37</v>
      </c>
      <c r="T427">
        <v>60.984569999999998</v>
      </c>
      <c r="U427" t="s">
        <v>7390</v>
      </c>
      <c r="V427" t="s">
        <v>7391</v>
      </c>
      <c r="W427">
        <v>25.50572</v>
      </c>
      <c r="X427">
        <v>180000</v>
      </c>
      <c r="Y427" t="s">
        <v>2728</v>
      </c>
      <c r="AA427" t="s">
        <v>63</v>
      </c>
      <c r="AB427" t="s">
        <v>39</v>
      </c>
      <c r="AC427" t="s">
        <v>127</v>
      </c>
      <c r="AD427" t="s">
        <v>55</v>
      </c>
      <c r="AE427" t="s">
        <v>7392</v>
      </c>
      <c r="AF427" t="s">
        <v>7393</v>
      </c>
      <c r="AG427" t="s">
        <v>7394</v>
      </c>
      <c r="AH427">
        <v>199</v>
      </c>
      <c r="AI427" s="2" t="str">
        <f t="shared" si="30"/>
        <v>Independent</v>
      </c>
      <c r="AJ427" s="2" t="str">
        <f t="shared" si="31"/>
        <v>NO</v>
      </c>
      <c r="AK427" s="1" t="str">
        <f t="shared" si="32"/>
        <v>None</v>
      </c>
      <c r="AL427" s="1" t="str">
        <f t="shared" si="33"/>
        <v>2 Toilets</v>
      </c>
      <c r="AM427" s="1" t="str">
        <f t="shared" si="34"/>
        <v>YES</v>
      </c>
      <c r="AN427" s="1" t="str">
        <f>VLOOKUP(J427, 'Regions and Cities'!A:B, 2, FALSE)</f>
        <v>Päijät-Häme</v>
      </c>
    </row>
    <row r="428" spans="1:40" x14ac:dyDescent="0.3">
      <c r="A428" t="s">
        <v>1700</v>
      </c>
      <c r="B428" t="s">
        <v>1701</v>
      </c>
      <c r="C428" t="s">
        <v>1702</v>
      </c>
      <c r="D428" t="s">
        <v>1703</v>
      </c>
      <c r="E428" t="s">
        <v>1704</v>
      </c>
      <c r="H428">
        <v>45</v>
      </c>
      <c r="I428" t="s">
        <v>156</v>
      </c>
      <c r="J428" t="s">
        <v>350</v>
      </c>
      <c r="K428" t="s">
        <v>1705</v>
      </c>
      <c r="L428" t="s">
        <v>1706</v>
      </c>
      <c r="M428" t="s">
        <v>37</v>
      </c>
      <c r="N428" t="s">
        <v>1707</v>
      </c>
      <c r="O428" t="s">
        <v>1708</v>
      </c>
      <c r="R428" t="s">
        <v>37</v>
      </c>
      <c r="S428" t="s">
        <v>37</v>
      </c>
      <c r="T428">
        <v>62.432701000000002</v>
      </c>
      <c r="U428" t="s">
        <v>1709</v>
      </c>
      <c r="V428" t="s">
        <v>1710</v>
      </c>
      <c r="W428">
        <v>29.973153</v>
      </c>
      <c r="X428">
        <v>46000</v>
      </c>
      <c r="Y428" t="s">
        <v>1711</v>
      </c>
      <c r="AA428" t="s">
        <v>45</v>
      </c>
      <c r="AB428" t="s">
        <v>39</v>
      </c>
      <c r="AC428" t="s">
        <v>480</v>
      </c>
      <c r="AD428" t="s">
        <v>40</v>
      </c>
      <c r="AE428" t="s">
        <v>684</v>
      </c>
      <c r="AF428" t="s">
        <v>1712</v>
      </c>
      <c r="AG428" t="s">
        <v>1713</v>
      </c>
      <c r="AH428">
        <v>45</v>
      </c>
      <c r="AI428" s="2" t="str">
        <f t="shared" si="30"/>
        <v>Kitchenette</v>
      </c>
      <c r="AJ428" s="2" t="str">
        <f t="shared" si="31"/>
        <v>YES</v>
      </c>
      <c r="AK428" s="1" t="str">
        <f t="shared" si="32"/>
        <v>None</v>
      </c>
      <c r="AL428" s="1" t="str">
        <f t="shared" si="33"/>
        <v>1 Toilet</v>
      </c>
      <c r="AM428" s="1" t="str">
        <f t="shared" si="34"/>
        <v>NO</v>
      </c>
      <c r="AN428" s="1" t="str">
        <f>VLOOKUP(J428, 'Regions and Cities'!A:B, 2, FALSE)</f>
        <v>Pohjois-Karjala</v>
      </c>
    </row>
    <row r="429" spans="1:40" x14ac:dyDescent="0.3">
      <c r="A429" t="s">
        <v>6193</v>
      </c>
      <c r="B429" t="s">
        <v>6194</v>
      </c>
      <c r="C429" t="s">
        <v>6195</v>
      </c>
      <c r="D429" t="s">
        <v>178</v>
      </c>
      <c r="E429" t="s">
        <v>179</v>
      </c>
      <c r="F429" t="s">
        <v>180</v>
      </c>
      <c r="H429">
        <v>34.5</v>
      </c>
      <c r="I429" t="s">
        <v>138</v>
      </c>
      <c r="J429" t="s">
        <v>110</v>
      </c>
      <c r="K429" t="s">
        <v>6196</v>
      </c>
      <c r="L429" t="s">
        <v>6197</v>
      </c>
      <c r="M429" t="s">
        <v>37</v>
      </c>
      <c r="N429" t="s">
        <v>6198</v>
      </c>
      <c r="O429" t="s">
        <v>6199</v>
      </c>
      <c r="R429" t="s">
        <v>37</v>
      </c>
      <c r="S429" t="s">
        <v>37</v>
      </c>
      <c r="T429">
        <v>60.463900000000002</v>
      </c>
      <c r="U429" t="s">
        <v>6200</v>
      </c>
      <c r="V429" t="s">
        <v>6201</v>
      </c>
      <c r="W429">
        <v>22.270099999999999</v>
      </c>
      <c r="X429">
        <v>22640.080000000002</v>
      </c>
      <c r="Y429" t="s">
        <v>6202</v>
      </c>
      <c r="AA429" t="s">
        <v>38</v>
      </c>
      <c r="AB429" t="s">
        <v>39</v>
      </c>
      <c r="AC429" t="s">
        <v>480</v>
      </c>
      <c r="AD429" t="s">
        <v>202</v>
      </c>
      <c r="AE429" t="s">
        <v>203</v>
      </c>
      <c r="AF429" t="s">
        <v>6203</v>
      </c>
      <c r="AG429" t="s">
        <v>6204</v>
      </c>
      <c r="AH429"/>
      <c r="AI429" s="2" t="str">
        <f t="shared" si="30"/>
        <v>Open</v>
      </c>
      <c r="AJ429" s="2" t="str">
        <f t="shared" si="31"/>
        <v>NO</v>
      </c>
      <c r="AK429" s="1" t="str">
        <f t="shared" si="32"/>
        <v>None</v>
      </c>
      <c r="AL429" s="1" t="str">
        <f t="shared" si="33"/>
        <v>1 Toilet</v>
      </c>
      <c r="AM429" s="1" t="str">
        <f t="shared" si="34"/>
        <v>NO</v>
      </c>
      <c r="AN429" s="1" t="str">
        <f>VLOOKUP(J429, 'Regions and Cities'!A:B, 2, FALSE)</f>
        <v>Varsinais-Suomi</v>
      </c>
    </row>
    <row r="430" spans="1:40" x14ac:dyDescent="0.3">
      <c r="A430" t="s">
        <v>2384</v>
      </c>
      <c r="B430" t="s">
        <v>2385</v>
      </c>
      <c r="C430" t="s">
        <v>2386</v>
      </c>
      <c r="D430" t="s">
        <v>93</v>
      </c>
      <c r="E430" t="s">
        <v>94</v>
      </c>
      <c r="F430" t="s">
        <v>95</v>
      </c>
      <c r="H430">
        <v>54.5</v>
      </c>
      <c r="I430" t="s">
        <v>2387</v>
      </c>
      <c r="J430" t="s">
        <v>379</v>
      </c>
      <c r="K430" t="s">
        <v>2388</v>
      </c>
      <c r="L430" t="s">
        <v>2389</v>
      </c>
      <c r="M430" t="s">
        <v>37</v>
      </c>
      <c r="N430" t="s">
        <v>2390</v>
      </c>
      <c r="O430" t="s">
        <v>2391</v>
      </c>
      <c r="R430" t="s">
        <v>37</v>
      </c>
      <c r="S430" t="s">
        <v>37</v>
      </c>
      <c r="T430">
        <v>64.224058999999997</v>
      </c>
      <c r="U430" t="s">
        <v>2392</v>
      </c>
      <c r="V430" t="s">
        <v>2393</v>
      </c>
      <c r="W430">
        <v>27.757822999999998</v>
      </c>
      <c r="X430">
        <v>120000</v>
      </c>
      <c r="Y430" t="s">
        <v>2394</v>
      </c>
      <c r="AA430" t="s">
        <v>38</v>
      </c>
      <c r="AB430" t="s">
        <v>39</v>
      </c>
      <c r="AC430" t="s">
        <v>480</v>
      </c>
      <c r="AD430" t="s">
        <v>40</v>
      </c>
      <c r="AE430" t="s">
        <v>165</v>
      </c>
      <c r="AF430" t="s">
        <v>2395</v>
      </c>
      <c r="AG430" t="s">
        <v>2396</v>
      </c>
      <c r="AH430">
        <v>54.5</v>
      </c>
      <c r="AI430" s="2" t="str">
        <f t="shared" si="30"/>
        <v>Independent</v>
      </c>
      <c r="AJ430" s="2" t="str">
        <f t="shared" si="31"/>
        <v>YES</v>
      </c>
      <c r="AK430" s="1" t="str">
        <f t="shared" si="32"/>
        <v>None</v>
      </c>
      <c r="AL430" s="1" t="str">
        <f t="shared" si="33"/>
        <v>1 Toilet</v>
      </c>
      <c r="AM430" s="1" t="str">
        <f t="shared" si="34"/>
        <v>NO</v>
      </c>
      <c r="AN430" s="1" t="str">
        <f>VLOOKUP(J430, 'Regions and Cities'!A:B, 2, FALSE)</f>
        <v>Kainuu</v>
      </c>
    </row>
    <row r="431" spans="1:40" x14ac:dyDescent="0.3">
      <c r="A431" t="s">
        <v>5006</v>
      </c>
      <c r="B431" t="s">
        <v>5007</v>
      </c>
      <c r="C431" t="s">
        <v>5008</v>
      </c>
      <c r="D431" t="s">
        <v>48</v>
      </c>
      <c r="E431" t="s">
        <v>49</v>
      </c>
      <c r="F431" t="s">
        <v>50</v>
      </c>
      <c r="G431" t="s">
        <v>4310</v>
      </c>
      <c r="H431">
        <v>102.5</v>
      </c>
      <c r="I431" t="s">
        <v>3236</v>
      </c>
      <c r="J431" t="s">
        <v>101</v>
      </c>
      <c r="K431" t="s">
        <v>5009</v>
      </c>
      <c r="L431" t="s">
        <v>5010</v>
      </c>
      <c r="M431" t="s">
        <v>37</v>
      </c>
      <c r="N431" t="s">
        <v>5011</v>
      </c>
      <c r="O431" t="s">
        <v>5012</v>
      </c>
      <c r="P431" t="s">
        <v>5013</v>
      </c>
      <c r="R431" t="s">
        <v>37</v>
      </c>
      <c r="S431" t="s">
        <v>37</v>
      </c>
      <c r="T431">
        <v>60.985729999999997</v>
      </c>
      <c r="U431" t="s">
        <v>5014</v>
      </c>
      <c r="V431" t="s">
        <v>5015</v>
      </c>
      <c r="W431">
        <v>25.719449999999998</v>
      </c>
      <c r="X431">
        <v>159000</v>
      </c>
      <c r="Y431" t="s">
        <v>83</v>
      </c>
      <c r="AA431" t="s">
        <v>63</v>
      </c>
      <c r="AB431" t="s">
        <v>39</v>
      </c>
      <c r="AC431" t="s">
        <v>480</v>
      </c>
      <c r="AD431" t="s">
        <v>75</v>
      </c>
      <c r="AE431" t="s">
        <v>5016</v>
      </c>
      <c r="AF431" t="s">
        <v>5017</v>
      </c>
      <c r="AG431" t="s">
        <v>5018</v>
      </c>
      <c r="AH431">
        <v>112.5</v>
      </c>
      <c r="AI431" s="2" t="str">
        <f t="shared" si="30"/>
        <v>Independent</v>
      </c>
      <c r="AJ431" s="2" t="str">
        <f t="shared" si="31"/>
        <v>NO</v>
      </c>
      <c r="AK431" s="1" t="str">
        <f t="shared" si="32"/>
        <v>None</v>
      </c>
      <c r="AL431" s="1" t="str">
        <f t="shared" si="33"/>
        <v>2 Toilets</v>
      </c>
      <c r="AM431" s="1" t="str">
        <f t="shared" si="34"/>
        <v>YES</v>
      </c>
      <c r="AN431" s="1" t="str">
        <f>VLOOKUP(J431, 'Regions and Cities'!A:B, 2, FALSE)</f>
        <v>Päijät-Häme</v>
      </c>
    </row>
    <row r="432" spans="1:40" x14ac:dyDescent="0.3">
      <c r="A432" t="s">
        <v>4239</v>
      </c>
      <c r="B432" t="s">
        <v>4240</v>
      </c>
      <c r="C432" t="s">
        <v>1382</v>
      </c>
      <c r="D432" t="s">
        <v>906</v>
      </c>
      <c r="E432" t="s">
        <v>907</v>
      </c>
      <c r="F432" t="s">
        <v>105</v>
      </c>
      <c r="G432" t="s">
        <v>4200</v>
      </c>
      <c r="H432">
        <v>128</v>
      </c>
      <c r="I432" t="s">
        <v>861</v>
      </c>
      <c r="J432" t="s">
        <v>350</v>
      </c>
      <c r="K432" t="s">
        <v>1384</v>
      </c>
      <c r="L432" t="s">
        <v>4241</v>
      </c>
      <c r="M432" t="s">
        <v>37</v>
      </c>
      <c r="N432" t="s">
        <v>4242</v>
      </c>
      <c r="O432" t="s">
        <v>4243</v>
      </c>
      <c r="P432" t="s">
        <v>4244</v>
      </c>
      <c r="R432" t="s">
        <v>37</v>
      </c>
      <c r="S432" t="s">
        <v>37</v>
      </c>
      <c r="T432">
        <v>62.625103000000003</v>
      </c>
      <c r="U432" t="s">
        <v>4245</v>
      </c>
      <c r="V432" t="s">
        <v>4246</v>
      </c>
      <c r="W432">
        <v>29.827424000000001</v>
      </c>
      <c r="X432">
        <v>249000</v>
      </c>
      <c r="Y432" t="s">
        <v>254</v>
      </c>
      <c r="AA432" t="s">
        <v>63</v>
      </c>
      <c r="AB432" t="s">
        <v>39</v>
      </c>
      <c r="AC432" t="s">
        <v>480</v>
      </c>
      <c r="AD432" t="s">
        <v>75</v>
      </c>
      <c r="AE432" t="s">
        <v>217</v>
      </c>
      <c r="AF432" t="s">
        <v>4247</v>
      </c>
      <c r="AG432" t="s">
        <v>4248</v>
      </c>
      <c r="AH432"/>
      <c r="AI432" s="2" t="str">
        <f t="shared" si="30"/>
        <v>Independent</v>
      </c>
      <c r="AJ432" s="2" t="str">
        <f t="shared" si="31"/>
        <v>NO</v>
      </c>
      <c r="AK432" s="1" t="str">
        <f t="shared" si="32"/>
        <v>None</v>
      </c>
      <c r="AL432" s="1" t="str">
        <f t="shared" si="33"/>
        <v>1 Toilet</v>
      </c>
      <c r="AM432" s="1" t="str">
        <f t="shared" si="34"/>
        <v>NO</v>
      </c>
      <c r="AN432" s="1" t="str">
        <f>VLOOKUP(J432, 'Regions and Cities'!A:B, 2, FALSE)</f>
        <v>Pohjois-Karjala</v>
      </c>
    </row>
    <row r="433" spans="1:40" x14ac:dyDescent="0.3">
      <c r="A433" t="s">
        <v>8285</v>
      </c>
      <c r="B433" t="s">
        <v>8286</v>
      </c>
      <c r="C433" t="s">
        <v>8287</v>
      </c>
      <c r="D433" t="s">
        <v>8288</v>
      </c>
      <c r="E433" t="s">
        <v>8289</v>
      </c>
      <c r="F433" t="s">
        <v>105</v>
      </c>
      <c r="G433" t="s">
        <v>8290</v>
      </c>
      <c r="H433">
        <v>128</v>
      </c>
      <c r="I433" t="s">
        <v>174</v>
      </c>
      <c r="J433" t="s">
        <v>430</v>
      </c>
      <c r="K433" t="s">
        <v>8291</v>
      </c>
      <c r="L433" t="s">
        <v>8292</v>
      </c>
      <c r="M433" t="s">
        <v>37</v>
      </c>
      <c r="N433" t="s">
        <v>8293</v>
      </c>
      <c r="O433" t="s">
        <v>8294</v>
      </c>
      <c r="P433" t="s">
        <v>8295</v>
      </c>
      <c r="R433" t="s">
        <v>37</v>
      </c>
      <c r="S433" t="s">
        <v>37</v>
      </c>
      <c r="T433">
        <v>63.685177000000003</v>
      </c>
      <c r="U433" t="s">
        <v>8296</v>
      </c>
      <c r="V433" t="s">
        <v>8297</v>
      </c>
      <c r="W433">
        <v>22.717098</v>
      </c>
      <c r="X433">
        <v>198000</v>
      </c>
      <c r="Y433" t="s">
        <v>267</v>
      </c>
      <c r="AA433" t="s">
        <v>45</v>
      </c>
      <c r="AB433" t="s">
        <v>39</v>
      </c>
      <c r="AC433" t="s">
        <v>6510</v>
      </c>
      <c r="AD433" t="s">
        <v>64</v>
      </c>
      <c r="AE433" t="s">
        <v>8298</v>
      </c>
      <c r="AF433" t="s">
        <v>8299</v>
      </c>
      <c r="AG433" t="s">
        <v>8300</v>
      </c>
      <c r="AH433">
        <v>214</v>
      </c>
      <c r="AI433" s="2" t="str">
        <f t="shared" si="30"/>
        <v>Independent</v>
      </c>
      <c r="AJ433" s="2" t="str">
        <f t="shared" si="31"/>
        <v>NO</v>
      </c>
      <c r="AK433" s="1" t="str">
        <f t="shared" si="32"/>
        <v>Terrace</v>
      </c>
      <c r="AL433" s="1" t="str">
        <f t="shared" si="33"/>
        <v>1 Toilet</v>
      </c>
      <c r="AM433" s="1" t="str">
        <f t="shared" si="34"/>
        <v>YES</v>
      </c>
      <c r="AN433" s="1" t="str">
        <f>VLOOKUP(J433, 'Regions and Cities'!A:B, 2, FALSE)</f>
        <v>Pohjanmaa</v>
      </c>
    </row>
    <row r="434" spans="1:40" x14ac:dyDescent="0.3">
      <c r="A434" t="s">
        <v>5808</v>
      </c>
      <c r="B434" t="s">
        <v>5809</v>
      </c>
      <c r="C434" t="s">
        <v>5810</v>
      </c>
      <c r="D434" t="s">
        <v>5811</v>
      </c>
      <c r="E434" t="s">
        <v>5812</v>
      </c>
      <c r="F434" t="s">
        <v>1948</v>
      </c>
      <c r="H434">
        <v>74.5</v>
      </c>
      <c r="I434" t="s">
        <v>201</v>
      </c>
      <c r="J434" t="s">
        <v>101</v>
      </c>
      <c r="K434" t="s">
        <v>5813</v>
      </c>
      <c r="L434" t="s">
        <v>5814</v>
      </c>
      <c r="M434" t="s">
        <v>37</v>
      </c>
      <c r="N434" t="s">
        <v>5815</v>
      </c>
      <c r="O434" t="s">
        <v>5816</v>
      </c>
      <c r="R434" t="s">
        <v>37</v>
      </c>
      <c r="S434" t="s">
        <v>37</v>
      </c>
      <c r="T434">
        <v>60.925960000000003</v>
      </c>
      <c r="U434" t="s">
        <v>5817</v>
      </c>
      <c r="V434" t="s">
        <v>5818</v>
      </c>
      <c r="W434">
        <v>25.656199999999998</v>
      </c>
      <c r="X434">
        <v>179600</v>
      </c>
      <c r="Y434" t="s">
        <v>5819</v>
      </c>
      <c r="AA434" t="s">
        <v>45</v>
      </c>
      <c r="AB434" t="s">
        <v>39</v>
      </c>
      <c r="AC434" t="s">
        <v>480</v>
      </c>
      <c r="AD434" t="s">
        <v>46</v>
      </c>
      <c r="AE434" t="s">
        <v>5820</v>
      </c>
      <c r="AF434" t="s">
        <v>5821</v>
      </c>
      <c r="AG434" t="s">
        <v>5822</v>
      </c>
      <c r="AH434">
        <v>74.5</v>
      </c>
      <c r="AI434" s="2" t="str">
        <f t="shared" si="30"/>
        <v>Independent</v>
      </c>
      <c r="AJ434" s="2" t="str">
        <f t="shared" si="31"/>
        <v>NO</v>
      </c>
      <c r="AK434" s="1" t="str">
        <f t="shared" si="32"/>
        <v>Terrace</v>
      </c>
      <c r="AL434" s="1" t="str">
        <f t="shared" si="33"/>
        <v>1 Toilet</v>
      </c>
      <c r="AM434" s="1" t="str">
        <f t="shared" si="34"/>
        <v>YES</v>
      </c>
      <c r="AN434" s="1" t="str">
        <f>VLOOKUP(J434, 'Regions and Cities'!A:B, 2, FALSE)</f>
        <v>Päijät-Häme</v>
      </c>
    </row>
    <row r="435" spans="1:40" x14ac:dyDescent="0.3">
      <c r="A435" t="s">
        <v>2411</v>
      </c>
      <c r="B435" t="s">
        <v>2412</v>
      </c>
      <c r="C435" t="s">
        <v>2413</v>
      </c>
      <c r="D435" t="s">
        <v>2353</v>
      </c>
      <c r="E435" t="s">
        <v>2354</v>
      </c>
      <c r="F435" t="s">
        <v>2355</v>
      </c>
      <c r="G435" t="s">
        <v>2356</v>
      </c>
      <c r="H435">
        <v>92</v>
      </c>
      <c r="I435" t="s">
        <v>35</v>
      </c>
      <c r="J435" t="s">
        <v>380</v>
      </c>
      <c r="K435" t="s">
        <v>2414</v>
      </c>
      <c r="L435" t="s">
        <v>2415</v>
      </c>
      <c r="M435" t="s">
        <v>37</v>
      </c>
      <c r="N435" t="s">
        <v>2416</v>
      </c>
      <c r="O435" t="s">
        <v>2417</v>
      </c>
      <c r="P435" t="s">
        <v>2418</v>
      </c>
      <c r="R435" t="s">
        <v>37</v>
      </c>
      <c r="S435" t="s">
        <v>37</v>
      </c>
      <c r="T435">
        <v>62.319899999999997</v>
      </c>
      <c r="U435" t="s">
        <v>2419</v>
      </c>
      <c r="V435" t="s">
        <v>2420</v>
      </c>
      <c r="W435">
        <v>25.840540000000001</v>
      </c>
      <c r="X435">
        <v>210000</v>
      </c>
      <c r="Y435" t="s">
        <v>1821</v>
      </c>
      <c r="AA435" t="s">
        <v>54</v>
      </c>
      <c r="AB435" t="s">
        <v>39</v>
      </c>
      <c r="AC435" t="s">
        <v>480</v>
      </c>
      <c r="AD435" t="s">
        <v>75</v>
      </c>
      <c r="AE435" t="s">
        <v>2421</v>
      </c>
      <c r="AF435" t="s">
        <v>2422</v>
      </c>
      <c r="AG435" t="s">
        <v>2423</v>
      </c>
      <c r="AH435">
        <v>92</v>
      </c>
      <c r="AI435" s="2" t="str">
        <f t="shared" si="30"/>
        <v>Independent</v>
      </c>
      <c r="AJ435" s="2" t="str">
        <f t="shared" si="31"/>
        <v>NO</v>
      </c>
      <c r="AK435" s="1" t="str">
        <f t="shared" si="32"/>
        <v>Glazed Balcony</v>
      </c>
      <c r="AL435" s="1" t="str">
        <f t="shared" si="33"/>
        <v>1 Toilet</v>
      </c>
      <c r="AM435" s="1" t="str">
        <f t="shared" si="34"/>
        <v>NO</v>
      </c>
      <c r="AN435" s="1" t="str">
        <f>VLOOKUP(J435, 'Regions and Cities'!A:B, 2, FALSE)</f>
        <v>Keski-Suomi</v>
      </c>
    </row>
    <row r="436" spans="1:40" x14ac:dyDescent="0.3">
      <c r="A436" t="s">
        <v>4791</v>
      </c>
      <c r="B436" t="s">
        <v>4792</v>
      </c>
      <c r="C436" t="s">
        <v>4793</v>
      </c>
      <c r="D436" t="s">
        <v>535</v>
      </c>
      <c r="E436" t="s">
        <v>536</v>
      </c>
      <c r="F436" t="s">
        <v>79</v>
      </c>
      <c r="G436" t="s">
        <v>4794</v>
      </c>
      <c r="H436">
        <v>122</v>
      </c>
      <c r="I436" t="s">
        <v>2001</v>
      </c>
      <c r="J436" t="s">
        <v>341</v>
      </c>
      <c r="K436" t="s">
        <v>4795</v>
      </c>
      <c r="L436" t="s">
        <v>4796</v>
      </c>
      <c r="M436" t="s">
        <v>37</v>
      </c>
      <c r="N436" t="s">
        <v>4797</v>
      </c>
      <c r="O436" t="s">
        <v>4798</v>
      </c>
      <c r="P436" t="s">
        <v>4799</v>
      </c>
      <c r="Q436" t="s">
        <v>4800</v>
      </c>
      <c r="R436" t="s">
        <v>37</v>
      </c>
      <c r="S436" t="s">
        <v>37</v>
      </c>
      <c r="T436">
        <v>61.505989</v>
      </c>
      <c r="U436" t="s">
        <v>4801</v>
      </c>
      <c r="V436" t="s">
        <v>4802</v>
      </c>
      <c r="W436">
        <v>21.651465000000002</v>
      </c>
      <c r="X436">
        <v>109000</v>
      </c>
      <c r="Y436" t="s">
        <v>976</v>
      </c>
      <c r="AA436" t="s">
        <v>63</v>
      </c>
      <c r="AB436" t="s">
        <v>39</v>
      </c>
      <c r="AC436" t="s">
        <v>4803</v>
      </c>
      <c r="AD436" t="s">
        <v>55</v>
      </c>
      <c r="AE436" t="s">
        <v>3404</v>
      </c>
      <c r="AF436" t="s">
        <v>4804</v>
      </c>
      <c r="AG436" t="s">
        <v>4805</v>
      </c>
      <c r="AH436">
        <v>199</v>
      </c>
      <c r="AI436" s="2" t="str">
        <f t="shared" si="30"/>
        <v>Independent</v>
      </c>
      <c r="AJ436" s="2" t="str">
        <f t="shared" si="31"/>
        <v>YES</v>
      </c>
      <c r="AK436" s="1" t="str">
        <f t="shared" si="32"/>
        <v>None</v>
      </c>
      <c r="AL436" s="1" t="str">
        <f t="shared" si="33"/>
        <v>1 Toilet</v>
      </c>
      <c r="AM436" s="1" t="str">
        <f t="shared" si="34"/>
        <v>NO</v>
      </c>
      <c r="AN436" s="1" t="str">
        <f>VLOOKUP(J436, 'Regions and Cities'!A:B, 2, FALSE)</f>
        <v>Satakunta</v>
      </c>
    </row>
    <row r="437" spans="1:40" x14ac:dyDescent="0.3">
      <c r="A437" t="s">
        <v>5431</v>
      </c>
      <c r="B437" t="s">
        <v>5432</v>
      </c>
      <c r="C437" t="s">
        <v>5433</v>
      </c>
      <c r="D437" t="s">
        <v>5434</v>
      </c>
      <c r="E437" t="s">
        <v>5435</v>
      </c>
      <c r="F437" t="s">
        <v>226</v>
      </c>
      <c r="H437">
        <v>119</v>
      </c>
      <c r="I437" t="s">
        <v>219</v>
      </c>
      <c r="J437" t="s">
        <v>158</v>
      </c>
      <c r="K437" t="s">
        <v>5436</v>
      </c>
      <c r="L437" t="s">
        <v>5437</v>
      </c>
      <c r="M437" t="s">
        <v>37</v>
      </c>
      <c r="N437" t="s">
        <v>5438</v>
      </c>
      <c r="O437" t="s">
        <v>5439</v>
      </c>
      <c r="R437" t="s">
        <v>37</v>
      </c>
      <c r="S437" t="s">
        <v>37</v>
      </c>
      <c r="T437">
        <v>60.36562</v>
      </c>
      <c r="U437" t="s">
        <v>5440</v>
      </c>
      <c r="V437" t="s">
        <v>5441</v>
      </c>
      <c r="W437">
        <v>23.122170000000001</v>
      </c>
      <c r="X437">
        <v>94500</v>
      </c>
      <c r="Y437" t="s">
        <v>5442</v>
      </c>
      <c r="AA437" t="s">
        <v>63</v>
      </c>
      <c r="AB437" t="s">
        <v>39</v>
      </c>
      <c r="AC437" t="s">
        <v>480</v>
      </c>
      <c r="AD437" t="s">
        <v>75</v>
      </c>
      <c r="AE437" t="s">
        <v>5443</v>
      </c>
      <c r="AF437" t="s">
        <v>5444</v>
      </c>
      <c r="AG437" t="s">
        <v>5445</v>
      </c>
      <c r="AH437">
        <v>174</v>
      </c>
      <c r="AI437" s="2" t="str">
        <f t="shared" si="30"/>
        <v>Independent</v>
      </c>
      <c r="AJ437" s="2" t="str">
        <f t="shared" si="31"/>
        <v>NO</v>
      </c>
      <c r="AK437" s="1" t="str">
        <f t="shared" si="32"/>
        <v>None</v>
      </c>
      <c r="AL437" s="1" t="str">
        <f t="shared" si="33"/>
        <v>1 Toilet</v>
      </c>
      <c r="AM437" s="1" t="str">
        <f t="shared" si="34"/>
        <v>YES</v>
      </c>
      <c r="AN437" s="1" t="str">
        <f>VLOOKUP(J437, 'Regions and Cities'!A:B, 2, FALSE)</f>
        <v>Varsinais-Suomi</v>
      </c>
    </row>
    <row r="438" spans="1:40" x14ac:dyDescent="0.3">
      <c r="A438" t="s">
        <v>2117</v>
      </c>
      <c r="B438" t="s">
        <v>2118</v>
      </c>
      <c r="C438" t="s">
        <v>2119</v>
      </c>
      <c r="D438" t="s">
        <v>2120</v>
      </c>
      <c r="E438" t="s">
        <v>2121</v>
      </c>
      <c r="F438" t="s">
        <v>79</v>
      </c>
      <c r="G438" t="s">
        <v>2122</v>
      </c>
      <c r="H438">
        <v>81.5</v>
      </c>
      <c r="I438" t="s">
        <v>106</v>
      </c>
      <c r="J438" t="s">
        <v>377</v>
      </c>
      <c r="K438" t="s">
        <v>2123</v>
      </c>
      <c r="L438" t="s">
        <v>2124</v>
      </c>
      <c r="M438" t="s">
        <v>37</v>
      </c>
      <c r="N438" t="s">
        <v>2125</v>
      </c>
      <c r="O438" t="s">
        <v>2126</v>
      </c>
      <c r="P438" t="s">
        <v>2127</v>
      </c>
      <c r="R438" t="s">
        <v>37</v>
      </c>
      <c r="S438" t="s">
        <v>37</v>
      </c>
      <c r="T438">
        <v>60.917641000000003</v>
      </c>
      <c r="U438" t="s">
        <v>2128</v>
      </c>
      <c r="V438" t="s">
        <v>2129</v>
      </c>
      <c r="W438">
        <v>24.664235000000001</v>
      </c>
      <c r="X438">
        <v>99000</v>
      </c>
      <c r="Y438" t="s">
        <v>2130</v>
      </c>
      <c r="AA438" t="s">
        <v>45</v>
      </c>
      <c r="AB438" t="s">
        <v>39</v>
      </c>
      <c r="AC438" t="s">
        <v>480</v>
      </c>
      <c r="AD438" t="s">
        <v>46</v>
      </c>
      <c r="AE438" t="s">
        <v>2131</v>
      </c>
      <c r="AF438" t="s">
        <v>2132</v>
      </c>
      <c r="AG438" t="s">
        <v>2133</v>
      </c>
      <c r="AH438">
        <v>81.5</v>
      </c>
      <c r="AI438" s="2" t="str">
        <f t="shared" si="30"/>
        <v>Independent</v>
      </c>
      <c r="AJ438" s="2" t="str">
        <f t="shared" si="31"/>
        <v>NO</v>
      </c>
      <c r="AK438" s="1" t="str">
        <f t="shared" si="32"/>
        <v>None</v>
      </c>
      <c r="AL438" s="1" t="str">
        <f t="shared" si="33"/>
        <v>1 Toilet</v>
      </c>
      <c r="AM438" s="1" t="str">
        <f t="shared" si="34"/>
        <v>NO</v>
      </c>
      <c r="AN438" s="1" t="str">
        <f>VLOOKUP(J438, 'Regions and Cities'!A:B, 2, FALSE)</f>
        <v>Kanta-Häme</v>
      </c>
    </row>
    <row r="439" spans="1:40" x14ac:dyDescent="0.3">
      <c r="A439" t="s">
        <v>4911</v>
      </c>
      <c r="B439" t="s">
        <v>4912</v>
      </c>
      <c r="C439" t="s">
        <v>4913</v>
      </c>
      <c r="D439" t="s">
        <v>4914</v>
      </c>
      <c r="E439" t="s">
        <v>4915</v>
      </c>
      <c r="F439" t="s">
        <v>4916</v>
      </c>
      <c r="H439">
        <v>28.5</v>
      </c>
      <c r="I439" t="s">
        <v>106</v>
      </c>
      <c r="J439" t="s">
        <v>116</v>
      </c>
      <c r="K439" t="s">
        <v>4917</v>
      </c>
      <c r="L439" t="s">
        <v>4918</v>
      </c>
      <c r="M439" t="s">
        <v>37</v>
      </c>
      <c r="N439" t="s">
        <v>4919</v>
      </c>
      <c r="O439" t="s">
        <v>4920</v>
      </c>
      <c r="R439" t="s">
        <v>37</v>
      </c>
      <c r="S439" t="s">
        <v>37</v>
      </c>
      <c r="T439">
        <v>60.263302000000003</v>
      </c>
      <c r="U439" t="s">
        <v>4921</v>
      </c>
      <c r="V439" t="s">
        <v>4922</v>
      </c>
      <c r="W439">
        <v>24.803954000000001</v>
      </c>
      <c r="X439">
        <v>49000</v>
      </c>
      <c r="Y439" t="s">
        <v>4923</v>
      </c>
      <c r="AA439" t="s">
        <v>38</v>
      </c>
      <c r="AB439" t="s">
        <v>39</v>
      </c>
      <c r="AC439" t="s">
        <v>480</v>
      </c>
      <c r="AD439" t="s">
        <v>202</v>
      </c>
      <c r="AE439" t="s">
        <v>4924</v>
      </c>
      <c r="AF439" t="s">
        <v>4925</v>
      </c>
      <c r="AG439" t="s">
        <v>4926</v>
      </c>
      <c r="AH439">
        <v>28.5</v>
      </c>
      <c r="AI439" s="2" t="str">
        <f t="shared" si="30"/>
        <v>Kitchenette</v>
      </c>
      <c r="AJ439" s="2" t="str">
        <f t="shared" si="31"/>
        <v>NO</v>
      </c>
      <c r="AK439" s="1" t="str">
        <f t="shared" si="32"/>
        <v>Standard Balcony</v>
      </c>
      <c r="AL439" s="1" t="str">
        <f t="shared" si="33"/>
        <v>1 Toilet</v>
      </c>
      <c r="AM439" s="1" t="str">
        <f t="shared" si="34"/>
        <v>YES</v>
      </c>
      <c r="AN439" s="1" t="str">
        <f>VLOOKUP(J439, 'Regions and Cities'!A:B, 2, FALSE)</f>
        <v>Uusimaa</v>
      </c>
    </row>
    <row r="440" spans="1:40" x14ac:dyDescent="0.3">
      <c r="A440" t="s">
        <v>7068</v>
      </c>
      <c r="B440" t="s">
        <v>7069</v>
      </c>
      <c r="C440" t="s">
        <v>7070</v>
      </c>
      <c r="D440" t="s">
        <v>258</v>
      </c>
      <c r="E440" t="s">
        <v>259</v>
      </c>
      <c r="F440" t="s">
        <v>50</v>
      </c>
      <c r="G440" t="s">
        <v>7071</v>
      </c>
      <c r="H440">
        <v>65</v>
      </c>
      <c r="I440" t="s">
        <v>3627</v>
      </c>
      <c r="J440" t="s">
        <v>158</v>
      </c>
      <c r="K440" t="s">
        <v>7072</v>
      </c>
      <c r="L440" t="s">
        <v>7073</v>
      </c>
      <c r="M440" t="s">
        <v>37</v>
      </c>
      <c r="N440" t="s">
        <v>7074</v>
      </c>
      <c r="O440" t="s">
        <v>7075</v>
      </c>
      <c r="P440" t="s">
        <v>7076</v>
      </c>
      <c r="R440" t="s">
        <v>37</v>
      </c>
      <c r="S440" t="s">
        <v>37</v>
      </c>
      <c r="T440">
        <v>60.50018</v>
      </c>
      <c r="U440" t="s">
        <v>7077</v>
      </c>
      <c r="V440" t="s">
        <v>7078</v>
      </c>
      <c r="W440">
        <v>22.907489999999999</v>
      </c>
      <c r="X440">
        <v>87000</v>
      </c>
      <c r="Y440" t="s">
        <v>176</v>
      </c>
      <c r="AA440" t="s">
        <v>63</v>
      </c>
      <c r="AB440" t="s">
        <v>39</v>
      </c>
      <c r="AC440" t="s">
        <v>6510</v>
      </c>
      <c r="AD440" t="s">
        <v>40</v>
      </c>
      <c r="AE440" t="s">
        <v>7079</v>
      </c>
      <c r="AF440" t="s">
        <v>7080</v>
      </c>
      <c r="AG440" t="s">
        <v>7081</v>
      </c>
      <c r="AH440">
        <v>65</v>
      </c>
      <c r="AI440" s="2" t="str">
        <f t="shared" si="30"/>
        <v>Kitchenette</v>
      </c>
      <c r="AJ440" s="2" t="str">
        <f t="shared" si="31"/>
        <v>NO</v>
      </c>
      <c r="AK440" s="1" t="str">
        <f t="shared" si="32"/>
        <v>None</v>
      </c>
      <c r="AL440" s="1" t="str">
        <f t="shared" si="33"/>
        <v>1 Toilet</v>
      </c>
      <c r="AM440" s="1" t="str">
        <f t="shared" si="34"/>
        <v>NO</v>
      </c>
      <c r="AN440" s="1" t="str">
        <f>VLOOKUP(J440, 'Regions and Cities'!A:B, 2, FALSE)</f>
        <v>Varsinais-Suomi</v>
      </c>
    </row>
    <row r="441" spans="1:40" x14ac:dyDescent="0.3">
      <c r="A441" t="s">
        <v>8480</v>
      </c>
      <c r="B441" t="s">
        <v>8481</v>
      </c>
      <c r="C441" t="s">
        <v>6085</v>
      </c>
      <c r="D441" t="s">
        <v>88</v>
      </c>
      <c r="E441" t="s">
        <v>89</v>
      </c>
      <c r="F441" t="s">
        <v>79</v>
      </c>
      <c r="H441">
        <v>83</v>
      </c>
      <c r="I441" t="s">
        <v>136</v>
      </c>
      <c r="J441" t="s">
        <v>90</v>
      </c>
      <c r="K441" t="s">
        <v>1018</v>
      </c>
      <c r="L441" t="s">
        <v>8482</v>
      </c>
      <c r="M441" t="s">
        <v>37</v>
      </c>
      <c r="N441" t="s">
        <v>8483</v>
      </c>
      <c r="O441" t="s">
        <v>8484</v>
      </c>
      <c r="P441" t="s">
        <v>8485</v>
      </c>
      <c r="Q441" t="s">
        <v>8486</v>
      </c>
      <c r="R441" t="s">
        <v>37</v>
      </c>
      <c r="S441" t="s">
        <v>37</v>
      </c>
      <c r="T441">
        <v>63.561517000000002</v>
      </c>
      <c r="U441" t="s">
        <v>8487</v>
      </c>
      <c r="V441" t="s">
        <v>8488</v>
      </c>
      <c r="W441">
        <v>27.194488</v>
      </c>
      <c r="X441">
        <v>195000</v>
      </c>
      <c r="Y441" t="s">
        <v>564</v>
      </c>
      <c r="AA441" t="s">
        <v>38</v>
      </c>
      <c r="AB441" t="s">
        <v>39</v>
      </c>
      <c r="AC441" t="s">
        <v>6510</v>
      </c>
      <c r="AD441" t="s">
        <v>46</v>
      </c>
      <c r="AE441" t="s">
        <v>47</v>
      </c>
      <c r="AF441" t="s">
        <v>8489</v>
      </c>
      <c r="AG441" t="s">
        <v>8490</v>
      </c>
      <c r="AH441">
        <v>83</v>
      </c>
      <c r="AI441" s="2" t="str">
        <f t="shared" si="30"/>
        <v>Independent</v>
      </c>
      <c r="AJ441" s="2" t="str">
        <f t="shared" si="31"/>
        <v>NO</v>
      </c>
      <c r="AK441" s="1" t="str">
        <f t="shared" si="32"/>
        <v>None</v>
      </c>
      <c r="AL441" s="1" t="str">
        <f t="shared" si="33"/>
        <v>1 Toilet</v>
      </c>
      <c r="AM441" s="1" t="str">
        <f t="shared" si="34"/>
        <v>NO</v>
      </c>
      <c r="AN441" s="1" t="str">
        <f>VLOOKUP(J441, 'Regions and Cities'!A:B, 2, FALSE)</f>
        <v>Pohjois-Savo</v>
      </c>
    </row>
    <row r="442" spans="1:40" x14ac:dyDescent="0.3">
      <c r="A442" t="s">
        <v>6083</v>
      </c>
      <c r="B442" t="s">
        <v>6084</v>
      </c>
      <c r="C442" t="s">
        <v>6085</v>
      </c>
      <c r="D442" t="s">
        <v>88</v>
      </c>
      <c r="E442" t="s">
        <v>89</v>
      </c>
      <c r="F442" t="s">
        <v>79</v>
      </c>
      <c r="H442">
        <v>50.5</v>
      </c>
      <c r="I442" t="s">
        <v>3236</v>
      </c>
      <c r="J442" t="s">
        <v>90</v>
      </c>
      <c r="K442" t="s">
        <v>1018</v>
      </c>
      <c r="L442" t="s">
        <v>6086</v>
      </c>
      <c r="M442" t="s">
        <v>37</v>
      </c>
      <c r="N442" t="s">
        <v>6087</v>
      </c>
      <c r="O442" t="s">
        <v>6088</v>
      </c>
      <c r="P442" t="s">
        <v>6089</v>
      </c>
      <c r="R442" t="s">
        <v>37</v>
      </c>
      <c r="S442" t="s">
        <v>37</v>
      </c>
      <c r="T442">
        <v>63.559773999999997</v>
      </c>
      <c r="U442" t="s">
        <v>6090</v>
      </c>
      <c r="V442" t="s">
        <v>6091</v>
      </c>
      <c r="W442">
        <v>27.182005</v>
      </c>
      <c r="X442">
        <v>40000</v>
      </c>
      <c r="Y442" t="s">
        <v>6092</v>
      </c>
      <c r="AA442" t="s">
        <v>38</v>
      </c>
      <c r="AB442" t="s">
        <v>39</v>
      </c>
      <c r="AC442" t="s">
        <v>3721</v>
      </c>
      <c r="AD442" t="s">
        <v>40</v>
      </c>
      <c r="AE442" t="s">
        <v>917</v>
      </c>
      <c r="AF442" t="s">
        <v>6093</v>
      </c>
      <c r="AG442" t="s">
        <v>6094</v>
      </c>
      <c r="AH442">
        <v>50.5</v>
      </c>
      <c r="AI442" s="2" t="str">
        <f t="shared" si="30"/>
        <v>Independent</v>
      </c>
      <c r="AJ442" s="2" t="str">
        <f t="shared" si="31"/>
        <v>NO</v>
      </c>
      <c r="AK442" s="1" t="str">
        <f t="shared" si="32"/>
        <v>None</v>
      </c>
      <c r="AL442" s="1" t="str">
        <f t="shared" si="33"/>
        <v>1 Toilet</v>
      </c>
      <c r="AM442" s="1" t="str">
        <f t="shared" si="34"/>
        <v>NO</v>
      </c>
      <c r="AN442" s="1" t="str">
        <f>VLOOKUP(J442, 'Regions and Cities'!A:B, 2, FALSE)</f>
        <v>Pohjois-Savo</v>
      </c>
    </row>
    <row r="443" spans="1:40" x14ac:dyDescent="0.3">
      <c r="A443" t="s">
        <v>4492</v>
      </c>
      <c r="B443" t="s">
        <v>4493</v>
      </c>
      <c r="C443" t="s">
        <v>4494</v>
      </c>
      <c r="D443" t="s">
        <v>4495</v>
      </c>
      <c r="E443" t="s">
        <v>4496</v>
      </c>
      <c r="H443">
        <v>59</v>
      </c>
      <c r="I443" t="s">
        <v>216</v>
      </c>
      <c r="J443" t="s">
        <v>361</v>
      </c>
      <c r="K443" t="s">
        <v>4497</v>
      </c>
      <c r="L443" t="s">
        <v>4498</v>
      </c>
      <c r="M443" t="s">
        <v>37</v>
      </c>
      <c r="N443" t="s">
        <v>4499</v>
      </c>
      <c r="O443" t="s">
        <v>4500</v>
      </c>
      <c r="R443" t="s">
        <v>37</v>
      </c>
      <c r="S443" t="s">
        <v>37</v>
      </c>
      <c r="T443">
        <v>62.796821999999999</v>
      </c>
      <c r="U443" t="s">
        <v>4501</v>
      </c>
      <c r="V443" t="s">
        <v>4502</v>
      </c>
      <c r="W443">
        <v>22.85333</v>
      </c>
      <c r="X443">
        <v>54000</v>
      </c>
      <c r="Y443" t="s">
        <v>1912</v>
      </c>
      <c r="AA443" t="s">
        <v>38</v>
      </c>
      <c r="AB443" t="s">
        <v>39</v>
      </c>
      <c r="AC443" t="s">
        <v>480</v>
      </c>
      <c r="AD443" t="s">
        <v>40</v>
      </c>
      <c r="AE443" t="s">
        <v>790</v>
      </c>
      <c r="AF443" t="s">
        <v>4503</v>
      </c>
      <c r="AG443" t="s">
        <v>4504</v>
      </c>
      <c r="AH443">
        <v>59</v>
      </c>
      <c r="AI443" s="2" t="str">
        <f t="shared" si="30"/>
        <v>Independent</v>
      </c>
      <c r="AJ443" s="2" t="str">
        <f t="shared" si="31"/>
        <v>NO</v>
      </c>
      <c r="AK443" s="1" t="str">
        <f t="shared" si="32"/>
        <v>None</v>
      </c>
      <c r="AL443" s="1" t="str">
        <f t="shared" si="33"/>
        <v>1 Toilet</v>
      </c>
      <c r="AM443" s="1" t="str">
        <f t="shared" si="34"/>
        <v>NO</v>
      </c>
      <c r="AN443" s="1" t="str">
        <f>VLOOKUP(J443, 'Regions and Cities'!A:B, 2, FALSE)</f>
        <v>Etelä-Pohjanmaa</v>
      </c>
    </row>
    <row r="444" spans="1:40" x14ac:dyDescent="0.3">
      <c r="A444" t="s">
        <v>4670</v>
      </c>
      <c r="B444" t="s">
        <v>4671</v>
      </c>
      <c r="C444" t="s">
        <v>4672</v>
      </c>
      <c r="D444" t="s">
        <v>2167</v>
      </c>
      <c r="E444" t="s">
        <v>2168</v>
      </c>
      <c r="F444" t="s">
        <v>79</v>
      </c>
      <c r="G444" t="s">
        <v>4673</v>
      </c>
      <c r="H444">
        <v>41</v>
      </c>
      <c r="I444" t="s">
        <v>188</v>
      </c>
      <c r="J444" t="s">
        <v>137</v>
      </c>
      <c r="K444" t="s">
        <v>4674</v>
      </c>
      <c r="L444" t="s">
        <v>4675</v>
      </c>
      <c r="M444" t="s">
        <v>37</v>
      </c>
      <c r="N444" t="s">
        <v>4676</v>
      </c>
      <c r="O444" t="s">
        <v>4677</v>
      </c>
      <c r="P444" t="s">
        <v>4678</v>
      </c>
      <c r="R444" t="s">
        <v>37</v>
      </c>
      <c r="S444" t="s">
        <v>37</v>
      </c>
      <c r="T444">
        <v>60.159678999999997</v>
      </c>
      <c r="U444" t="s">
        <v>4679</v>
      </c>
      <c r="V444" t="s">
        <v>4680</v>
      </c>
      <c r="W444">
        <v>24.884563</v>
      </c>
      <c r="X444">
        <v>275000</v>
      </c>
      <c r="Y444" t="s">
        <v>4681</v>
      </c>
      <c r="AA444" t="s">
        <v>38</v>
      </c>
      <c r="AB444" t="s">
        <v>39</v>
      </c>
      <c r="AC444" t="s">
        <v>480</v>
      </c>
      <c r="AD444" t="s">
        <v>40</v>
      </c>
      <c r="AE444" t="s">
        <v>4682</v>
      </c>
      <c r="AF444" t="s">
        <v>4683</v>
      </c>
      <c r="AG444" t="s">
        <v>4684</v>
      </c>
      <c r="AH444">
        <v>41</v>
      </c>
      <c r="AI444" s="2" t="str">
        <f t="shared" si="30"/>
        <v>Kitchenette</v>
      </c>
      <c r="AJ444" s="2" t="str">
        <f t="shared" si="31"/>
        <v>NO</v>
      </c>
      <c r="AK444" s="1" t="str">
        <f t="shared" si="32"/>
        <v>Standard Balcony</v>
      </c>
      <c r="AL444" s="1" t="str">
        <f t="shared" si="33"/>
        <v>1 Toilet</v>
      </c>
      <c r="AM444" s="1" t="str">
        <f t="shared" si="34"/>
        <v>NO</v>
      </c>
      <c r="AN444" s="1" t="str">
        <f>VLOOKUP(J444, 'Regions and Cities'!A:B, 2, FALSE)</f>
        <v>Uusimaa</v>
      </c>
    </row>
    <row r="445" spans="1:40" x14ac:dyDescent="0.3">
      <c r="A445" t="s">
        <v>7108</v>
      </c>
      <c r="B445" t="s">
        <v>7109</v>
      </c>
      <c r="C445" t="s">
        <v>7110</v>
      </c>
      <c r="D445" t="s">
        <v>1840</v>
      </c>
      <c r="E445" t="s">
        <v>1841</v>
      </c>
      <c r="F445" t="s">
        <v>70</v>
      </c>
      <c r="G445" t="s">
        <v>7111</v>
      </c>
      <c r="H445">
        <v>227</v>
      </c>
      <c r="I445" t="s">
        <v>4114</v>
      </c>
      <c r="J445" t="s">
        <v>126</v>
      </c>
      <c r="K445" t="s">
        <v>7112</v>
      </c>
      <c r="L445" t="s">
        <v>7113</v>
      </c>
      <c r="M445" t="s">
        <v>37</v>
      </c>
      <c r="N445" t="s">
        <v>7114</v>
      </c>
      <c r="O445" t="s">
        <v>7115</v>
      </c>
      <c r="P445" t="s">
        <v>7116</v>
      </c>
      <c r="Q445" t="s">
        <v>7117</v>
      </c>
      <c r="R445" t="s">
        <v>37</v>
      </c>
      <c r="S445" t="s">
        <v>37</v>
      </c>
      <c r="T445">
        <v>60.239663999999998</v>
      </c>
      <c r="U445" t="s">
        <v>7118</v>
      </c>
      <c r="V445" t="s">
        <v>7119</v>
      </c>
      <c r="W445">
        <v>24.803522000000001</v>
      </c>
      <c r="X445">
        <v>935000</v>
      </c>
      <c r="Y445" t="s">
        <v>7120</v>
      </c>
      <c r="AA445" t="s">
        <v>63</v>
      </c>
      <c r="AB445" t="s">
        <v>39</v>
      </c>
      <c r="AC445" t="s">
        <v>268</v>
      </c>
      <c r="AD445" t="s">
        <v>64</v>
      </c>
      <c r="AE445" t="s">
        <v>7121</v>
      </c>
      <c r="AF445" t="s">
        <v>7122</v>
      </c>
      <c r="AG445" t="s">
        <v>7123</v>
      </c>
      <c r="AH445">
        <v>398</v>
      </c>
      <c r="AI445" s="2" t="str">
        <f t="shared" si="30"/>
        <v>Independent</v>
      </c>
      <c r="AJ445" s="2" t="str">
        <f t="shared" si="31"/>
        <v>YES</v>
      </c>
      <c r="AK445" s="1" t="str">
        <f t="shared" si="32"/>
        <v>None</v>
      </c>
      <c r="AL445" s="1" t="str">
        <f t="shared" si="33"/>
        <v>2 Toilets</v>
      </c>
      <c r="AM445" s="1" t="str">
        <f t="shared" si="34"/>
        <v>NO</v>
      </c>
      <c r="AN445" s="1" t="str">
        <f>VLOOKUP(J445, 'Regions and Cities'!A:B, 2, FALSE)</f>
        <v>Uusimaa</v>
      </c>
    </row>
    <row r="446" spans="1:40" x14ac:dyDescent="0.3">
      <c r="A446" t="s">
        <v>2949</v>
      </c>
      <c r="B446" t="s">
        <v>2950</v>
      </c>
      <c r="C446" t="s">
        <v>2951</v>
      </c>
      <c r="D446" t="s">
        <v>307</v>
      </c>
      <c r="E446" t="s">
        <v>308</v>
      </c>
      <c r="F446" t="s">
        <v>226</v>
      </c>
      <c r="H446">
        <v>120</v>
      </c>
      <c r="I446" t="s">
        <v>573</v>
      </c>
      <c r="J446" t="s">
        <v>110</v>
      </c>
      <c r="K446" t="s">
        <v>2952</v>
      </c>
      <c r="L446" t="s">
        <v>2953</v>
      </c>
      <c r="M446" t="s">
        <v>37</v>
      </c>
      <c r="N446" t="s">
        <v>2954</v>
      </c>
      <c r="O446" t="s">
        <v>2955</v>
      </c>
      <c r="R446" t="s">
        <v>37</v>
      </c>
      <c r="S446" t="s">
        <v>37</v>
      </c>
      <c r="T446">
        <v>60.452660000000002</v>
      </c>
      <c r="U446" t="s">
        <v>2956</v>
      </c>
      <c r="V446" t="s">
        <v>2957</v>
      </c>
      <c r="W446">
        <v>22.3552</v>
      </c>
      <c r="X446">
        <v>199000</v>
      </c>
      <c r="Y446" t="s">
        <v>53</v>
      </c>
      <c r="AA446" t="s">
        <v>45</v>
      </c>
      <c r="AB446" t="s">
        <v>39</v>
      </c>
      <c r="AC446" t="s">
        <v>2931</v>
      </c>
      <c r="AD446" t="s">
        <v>55</v>
      </c>
      <c r="AE446" t="s">
        <v>2958</v>
      </c>
      <c r="AF446" t="s">
        <v>2959</v>
      </c>
      <c r="AG446" t="s">
        <v>2960</v>
      </c>
      <c r="AH446">
        <v>124</v>
      </c>
      <c r="AI446" s="2" t="str">
        <f t="shared" si="30"/>
        <v>Independent</v>
      </c>
      <c r="AJ446" s="2" t="str">
        <f t="shared" si="31"/>
        <v>YES</v>
      </c>
      <c r="AK446" s="1" t="str">
        <f t="shared" si="32"/>
        <v>None</v>
      </c>
      <c r="AL446" s="1" t="str">
        <f t="shared" si="33"/>
        <v>1 Toilet</v>
      </c>
      <c r="AM446" s="1" t="str">
        <f t="shared" si="34"/>
        <v>NO</v>
      </c>
      <c r="AN446" s="1" t="str">
        <f>VLOOKUP(J446, 'Regions and Cities'!A:B, 2, FALSE)</f>
        <v>Varsinais-Suomi</v>
      </c>
    </row>
    <row r="447" spans="1:40" x14ac:dyDescent="0.3">
      <c r="A447" t="s">
        <v>3451</v>
      </c>
      <c r="B447" t="s">
        <v>3452</v>
      </c>
      <c r="C447" t="s">
        <v>3453</v>
      </c>
      <c r="D447" t="s">
        <v>3454</v>
      </c>
      <c r="E447" t="s">
        <v>3455</v>
      </c>
      <c r="F447" t="s">
        <v>3456</v>
      </c>
      <c r="G447" t="s">
        <v>3457</v>
      </c>
      <c r="H447">
        <v>185</v>
      </c>
      <c r="I447" t="s">
        <v>125</v>
      </c>
      <c r="J447" t="s">
        <v>114</v>
      </c>
      <c r="K447" t="s">
        <v>3458</v>
      </c>
      <c r="L447" t="s">
        <v>3459</v>
      </c>
      <c r="M447" t="s">
        <v>37</v>
      </c>
      <c r="N447" t="s">
        <v>3460</v>
      </c>
      <c r="O447" t="s">
        <v>3461</v>
      </c>
      <c r="P447" t="s">
        <v>3462</v>
      </c>
      <c r="Q447" t="s">
        <v>3463</v>
      </c>
      <c r="R447" t="s">
        <v>37</v>
      </c>
      <c r="S447" t="s">
        <v>37</v>
      </c>
      <c r="T447">
        <v>60.264569999999999</v>
      </c>
      <c r="U447" t="s">
        <v>3464</v>
      </c>
      <c r="V447" t="s">
        <v>3465</v>
      </c>
      <c r="W447">
        <v>24.059729999999998</v>
      </c>
      <c r="X447">
        <v>598000</v>
      </c>
      <c r="Y447" t="s">
        <v>3466</v>
      </c>
      <c r="AA447" t="s">
        <v>63</v>
      </c>
      <c r="AB447" t="s">
        <v>39</v>
      </c>
      <c r="AC447" t="s">
        <v>480</v>
      </c>
      <c r="AD447" t="s">
        <v>64</v>
      </c>
      <c r="AE447" t="s">
        <v>3467</v>
      </c>
      <c r="AF447" t="s">
        <v>3468</v>
      </c>
      <c r="AG447" t="s">
        <v>3469</v>
      </c>
      <c r="AH447">
        <v>230</v>
      </c>
      <c r="AI447" s="2" t="str">
        <f t="shared" si="30"/>
        <v>Independent</v>
      </c>
      <c r="AJ447" s="2" t="str">
        <f t="shared" si="31"/>
        <v>YES</v>
      </c>
      <c r="AK447" s="1" t="str">
        <f t="shared" si="32"/>
        <v>Glazed Balcony</v>
      </c>
      <c r="AL447" s="1" t="str">
        <f t="shared" si="33"/>
        <v>1 Toilet</v>
      </c>
      <c r="AM447" s="1" t="str">
        <f t="shared" si="34"/>
        <v>YES</v>
      </c>
      <c r="AN447" s="1" t="str">
        <f>VLOOKUP(J447, 'Regions and Cities'!A:B, 2, FALSE)</f>
        <v>Uusimaa</v>
      </c>
    </row>
    <row r="448" spans="1:40" x14ac:dyDescent="0.3">
      <c r="A448" t="s">
        <v>7155</v>
      </c>
      <c r="B448" t="s">
        <v>7156</v>
      </c>
      <c r="C448" t="s">
        <v>7157</v>
      </c>
      <c r="D448" t="s">
        <v>168</v>
      </c>
      <c r="E448" t="s">
        <v>169</v>
      </c>
      <c r="F448" t="s">
        <v>170</v>
      </c>
      <c r="H448">
        <v>61</v>
      </c>
      <c r="I448" t="s">
        <v>1310</v>
      </c>
      <c r="J448" t="s">
        <v>126</v>
      </c>
      <c r="K448" t="s">
        <v>7158</v>
      </c>
      <c r="L448" t="s">
        <v>7159</v>
      </c>
      <c r="M448" t="s">
        <v>37</v>
      </c>
      <c r="N448" t="s">
        <v>7160</v>
      </c>
      <c r="O448" t="s">
        <v>7161</v>
      </c>
      <c r="R448" t="s">
        <v>111</v>
      </c>
      <c r="S448" t="s">
        <v>37</v>
      </c>
      <c r="T448">
        <v>60.230331999999997</v>
      </c>
      <c r="U448" t="s">
        <v>7162</v>
      </c>
      <c r="V448" t="s">
        <v>7163</v>
      </c>
      <c r="W448">
        <v>24.807338000000001</v>
      </c>
      <c r="X448">
        <v>314093</v>
      </c>
      <c r="Y448" t="s">
        <v>7164</v>
      </c>
      <c r="AA448" t="s">
        <v>38</v>
      </c>
      <c r="AB448" t="s">
        <v>39</v>
      </c>
      <c r="AC448" t="s">
        <v>6396</v>
      </c>
      <c r="AD448" t="s">
        <v>46</v>
      </c>
      <c r="AE448" t="s">
        <v>7165</v>
      </c>
      <c r="AF448" t="s">
        <v>7166</v>
      </c>
      <c r="AG448" t="s">
        <v>7167</v>
      </c>
      <c r="AH448">
        <v>75.5</v>
      </c>
      <c r="AI448" s="2" t="str">
        <f t="shared" si="30"/>
        <v>Open</v>
      </c>
      <c r="AJ448" s="2" t="str">
        <f t="shared" si="31"/>
        <v>YES</v>
      </c>
      <c r="AK448" s="1" t="str">
        <f t="shared" si="32"/>
        <v>Standard Balcony</v>
      </c>
      <c r="AL448" s="1" t="str">
        <f t="shared" si="33"/>
        <v>1 Toilet</v>
      </c>
      <c r="AM448" s="1" t="str">
        <f t="shared" si="34"/>
        <v>NO</v>
      </c>
      <c r="AN448" s="1" t="str">
        <f>VLOOKUP(J448, 'Regions and Cities'!A:B, 2, FALSE)</f>
        <v>Uusimaa</v>
      </c>
    </row>
    <row r="449" spans="1:40" x14ac:dyDescent="0.3">
      <c r="A449" t="s">
        <v>6973</v>
      </c>
      <c r="B449" t="s">
        <v>6974</v>
      </c>
      <c r="C449" t="s">
        <v>374</v>
      </c>
      <c r="D449" t="s">
        <v>48</v>
      </c>
      <c r="E449" t="s">
        <v>49</v>
      </c>
      <c r="F449" t="s">
        <v>50</v>
      </c>
      <c r="G449" t="s">
        <v>6975</v>
      </c>
      <c r="H449">
        <v>32</v>
      </c>
      <c r="I449" t="s">
        <v>235</v>
      </c>
      <c r="J449" t="s">
        <v>374</v>
      </c>
      <c r="L449" t="s">
        <v>6976</v>
      </c>
      <c r="M449" t="s">
        <v>37</v>
      </c>
      <c r="N449" t="s">
        <v>6977</v>
      </c>
      <c r="O449" t="s">
        <v>6978</v>
      </c>
      <c r="P449" t="s">
        <v>6979</v>
      </c>
      <c r="Q449" t="s">
        <v>6980</v>
      </c>
      <c r="R449" t="s">
        <v>37</v>
      </c>
      <c r="S449" t="s">
        <v>37</v>
      </c>
      <c r="T449">
        <v>60.875019999999999</v>
      </c>
      <c r="U449" t="s">
        <v>6981</v>
      </c>
      <c r="V449" t="s">
        <v>6982</v>
      </c>
      <c r="W449">
        <v>26.70937</v>
      </c>
      <c r="X449">
        <v>29000</v>
      </c>
      <c r="Y449" t="s">
        <v>3873</v>
      </c>
      <c r="AA449" t="s">
        <v>38</v>
      </c>
      <c r="AB449" t="s">
        <v>39</v>
      </c>
      <c r="AC449" t="s">
        <v>6510</v>
      </c>
      <c r="AD449" t="s">
        <v>202</v>
      </c>
      <c r="AE449" t="s">
        <v>1104</v>
      </c>
      <c r="AF449" t="s">
        <v>6983</v>
      </c>
      <c r="AG449" t="s">
        <v>6984</v>
      </c>
      <c r="AH449">
        <v>32</v>
      </c>
      <c r="AI449" s="2" t="str">
        <f t="shared" si="30"/>
        <v>Kitchenette</v>
      </c>
      <c r="AJ449" s="2" t="str">
        <f t="shared" si="31"/>
        <v>NO</v>
      </c>
      <c r="AK449" s="1" t="str">
        <f t="shared" si="32"/>
        <v>None</v>
      </c>
      <c r="AL449" s="1" t="str">
        <f t="shared" si="33"/>
        <v>1 Toilet</v>
      </c>
      <c r="AM449" s="1" t="str">
        <f t="shared" si="34"/>
        <v>NO</v>
      </c>
      <c r="AN449" s="1" t="str">
        <f>VLOOKUP(J449, 'Regions and Cities'!A:B, 2, FALSE)</f>
        <v>Kymenlaakso</v>
      </c>
    </row>
    <row r="450" spans="1:40" x14ac:dyDescent="0.3">
      <c r="A450" t="s">
        <v>4322</v>
      </c>
      <c r="B450" t="s">
        <v>4323</v>
      </c>
      <c r="C450" t="s">
        <v>4324</v>
      </c>
      <c r="D450" t="s">
        <v>178</v>
      </c>
      <c r="E450" t="s">
        <v>179</v>
      </c>
      <c r="F450" t="s">
        <v>180</v>
      </c>
      <c r="H450">
        <v>66.5</v>
      </c>
      <c r="I450" t="s">
        <v>189</v>
      </c>
      <c r="J450" t="s">
        <v>73</v>
      </c>
      <c r="K450" t="s">
        <v>4325</v>
      </c>
      <c r="L450" t="s">
        <v>4326</v>
      </c>
      <c r="M450" t="s">
        <v>37</v>
      </c>
      <c r="N450" t="s">
        <v>4327</v>
      </c>
      <c r="O450" t="s">
        <v>4328</v>
      </c>
      <c r="R450" t="s">
        <v>111</v>
      </c>
      <c r="S450" t="s">
        <v>37</v>
      </c>
      <c r="T450">
        <v>62.251800000000003</v>
      </c>
      <c r="U450" t="s">
        <v>4329</v>
      </c>
      <c r="V450" t="s">
        <v>4330</v>
      </c>
      <c r="W450">
        <v>25.761199999999999</v>
      </c>
      <c r="X450">
        <v>39654</v>
      </c>
      <c r="Y450" t="s">
        <v>4331</v>
      </c>
      <c r="AA450" t="s">
        <v>38</v>
      </c>
      <c r="AB450" t="s">
        <v>39</v>
      </c>
      <c r="AC450" t="s">
        <v>4332</v>
      </c>
      <c r="AD450" t="s">
        <v>46</v>
      </c>
      <c r="AE450" t="s">
        <v>140</v>
      </c>
      <c r="AF450" t="s">
        <v>4333</v>
      </c>
      <c r="AG450" t="s">
        <v>4334</v>
      </c>
      <c r="AH450"/>
      <c r="AI450" s="2" t="str">
        <f t="shared" ref="AI450:AI513" si="35">IF(AE450="", "no info", IF(OR(ISNUMBER(SEARCH("kt", AE450)), ISNUMBER(SEARCH("avokeittiö", AE450))), "Open", IF(ISNUMBER(SEARCH("kk", AE450)), "Kitchenette", "Independent")))</f>
        <v>Open</v>
      </c>
      <c r="AJ450" s="2" t="str">
        <f t="shared" ref="AJ450:AJ513" si="36">IF(AE450="", "no info", IF(OR(ISNUMBER(SEARCH(" s ", AE450)), ISNUMBER(SEARCH("sauna", AE450)), ISNUMBER(SEARCH("+ s", AE450))), "YES", "NO"))</f>
        <v>YES</v>
      </c>
      <c r="AK450" s="1" t="str">
        <f t="shared" ref="AK450:AK513" si="37">IF(AE450="", "no info", IF(OR(ISNUMBER(SEARCH("las.p", AE450)), ISNUMBER(SEARCH("lasitettu", AE450))), "Glazed Balcony", IF(OR(ISNUMBER(SEARCH(" p ", AE450)), ISNUMBER(SEARCH("parveke", AE450))), "Standard Balcony", IF(OR(ISNUMBER(SEARCH("terassi", AE450)), ISNUMBER(SEARCH("kuisti", AE450))), "Terrace", "None"))))</f>
        <v>None</v>
      </c>
      <c r="AL450" s="1" t="str">
        <f t="shared" ref="AL450:AL513" si="38">IF(AE450="", "no info", IF(OR(ISNUMBER(SEARCH("2wc", AE450)), ISNUMBER(SEARCH("2xwc", AE450))), "2 Toilets", "1 Toilet"))</f>
        <v>1 Toilet</v>
      </c>
      <c r="AM450" s="1" t="str">
        <f t="shared" ref="AM450:AM513" si="39">IF(AE450="", "no info", IF(OR(ISNUMBER(SEARCH("vh", AE450)), ISNUMBER(SEARCH("var", AE450))), "YES", "NO"))</f>
        <v>NO</v>
      </c>
      <c r="AN450" s="1" t="str">
        <f>VLOOKUP(J450, 'Regions and Cities'!A:B, 2, FALSE)</f>
        <v>Keski-Suomi</v>
      </c>
    </row>
    <row r="451" spans="1:40" x14ac:dyDescent="0.3">
      <c r="A451" t="s">
        <v>4111</v>
      </c>
      <c r="B451" t="s">
        <v>4112</v>
      </c>
      <c r="C451" t="s">
        <v>4113</v>
      </c>
      <c r="D451" t="s">
        <v>142</v>
      </c>
      <c r="E451" t="s">
        <v>143</v>
      </c>
      <c r="F451" t="s">
        <v>144</v>
      </c>
      <c r="G451" t="s">
        <v>967</v>
      </c>
      <c r="H451">
        <v>190</v>
      </c>
      <c r="I451" t="s">
        <v>4114</v>
      </c>
      <c r="J451" t="s">
        <v>348</v>
      </c>
      <c r="K451" t="s">
        <v>4115</v>
      </c>
      <c r="L451" t="s">
        <v>4116</v>
      </c>
      <c r="M451" t="s">
        <v>37</v>
      </c>
      <c r="N451" t="s">
        <v>4117</v>
      </c>
      <c r="O451" t="s">
        <v>4118</v>
      </c>
      <c r="P451" t="s">
        <v>4119</v>
      </c>
      <c r="Q451" t="s">
        <v>4120</v>
      </c>
      <c r="R451" t="s">
        <v>37</v>
      </c>
      <c r="S451" t="s">
        <v>37</v>
      </c>
      <c r="T451">
        <v>61.33023</v>
      </c>
      <c r="U451" t="s">
        <v>4121</v>
      </c>
      <c r="V451" t="s">
        <v>4122</v>
      </c>
      <c r="W451">
        <v>23.752210000000002</v>
      </c>
      <c r="X451">
        <v>445000</v>
      </c>
      <c r="Y451" t="s">
        <v>4123</v>
      </c>
      <c r="AA451" t="s">
        <v>63</v>
      </c>
      <c r="AB451" t="s">
        <v>39</v>
      </c>
      <c r="AC451" t="s">
        <v>480</v>
      </c>
      <c r="AD451" t="s">
        <v>64</v>
      </c>
      <c r="AE451" t="s">
        <v>4124</v>
      </c>
      <c r="AF451" t="s">
        <v>4125</v>
      </c>
      <c r="AG451" t="s">
        <v>4126</v>
      </c>
      <c r="AH451">
        <v>190</v>
      </c>
      <c r="AI451" s="2" t="str">
        <f t="shared" si="35"/>
        <v>Independent</v>
      </c>
      <c r="AJ451" s="2" t="str">
        <f t="shared" si="36"/>
        <v>NO</v>
      </c>
      <c r="AK451" s="1" t="str">
        <f t="shared" si="37"/>
        <v>Standard Balcony</v>
      </c>
      <c r="AL451" s="1" t="str">
        <f t="shared" si="38"/>
        <v>1 Toilet</v>
      </c>
      <c r="AM451" s="1" t="str">
        <f t="shared" si="39"/>
        <v>YES</v>
      </c>
      <c r="AN451" s="1" t="str">
        <f>VLOOKUP(J451, 'Regions and Cities'!A:B, 2, FALSE)</f>
        <v>Pirkanmaa</v>
      </c>
    </row>
    <row r="452" spans="1:40" x14ac:dyDescent="0.3">
      <c r="A452" t="s">
        <v>4685</v>
      </c>
      <c r="B452" t="s">
        <v>4686</v>
      </c>
      <c r="C452" t="s">
        <v>4687</v>
      </c>
      <c r="D452" t="s">
        <v>1292</v>
      </c>
      <c r="E452" t="s">
        <v>1293</v>
      </c>
      <c r="F452" t="s">
        <v>79</v>
      </c>
      <c r="G452" t="s">
        <v>4688</v>
      </c>
      <c r="H452">
        <v>88</v>
      </c>
      <c r="I452" t="s">
        <v>454</v>
      </c>
      <c r="J452" t="s">
        <v>361</v>
      </c>
      <c r="K452" t="s">
        <v>4689</v>
      </c>
      <c r="L452" t="s">
        <v>4690</v>
      </c>
      <c r="M452" t="s">
        <v>37</v>
      </c>
      <c r="N452" t="s">
        <v>4691</v>
      </c>
      <c r="O452" t="s">
        <v>4692</v>
      </c>
      <c r="P452" t="s">
        <v>4693</v>
      </c>
      <c r="R452" t="s">
        <v>37</v>
      </c>
      <c r="S452" t="s">
        <v>37</v>
      </c>
      <c r="T452">
        <v>62.764944999999997</v>
      </c>
      <c r="U452" t="s">
        <v>4694</v>
      </c>
      <c r="V452" t="s">
        <v>4695</v>
      </c>
      <c r="W452">
        <v>22.844373999999998</v>
      </c>
      <c r="X452">
        <v>240000</v>
      </c>
      <c r="Y452" t="s">
        <v>4696</v>
      </c>
      <c r="AA452" t="s">
        <v>45</v>
      </c>
      <c r="AB452" t="s">
        <v>39</v>
      </c>
      <c r="AC452" t="s">
        <v>480</v>
      </c>
      <c r="AD452" t="s">
        <v>75</v>
      </c>
      <c r="AE452" t="s">
        <v>4697</v>
      </c>
      <c r="AF452" t="s">
        <v>4698</v>
      </c>
      <c r="AG452" t="s">
        <v>4699</v>
      </c>
      <c r="AH452">
        <v>88</v>
      </c>
      <c r="AI452" s="2" t="str">
        <f t="shared" si="35"/>
        <v>Kitchenette</v>
      </c>
      <c r="AJ452" s="2" t="str">
        <f t="shared" si="36"/>
        <v>YES</v>
      </c>
      <c r="AK452" s="1" t="str">
        <f t="shared" si="37"/>
        <v>None</v>
      </c>
      <c r="AL452" s="1" t="str">
        <f t="shared" si="38"/>
        <v>1 Toilet</v>
      </c>
      <c r="AM452" s="1" t="str">
        <f t="shared" si="39"/>
        <v>NO</v>
      </c>
      <c r="AN452" s="1" t="str">
        <f>VLOOKUP(J452, 'Regions and Cities'!A:B, 2, FALSE)</f>
        <v>Etelä-Pohjanmaa</v>
      </c>
    </row>
    <row r="453" spans="1:40" x14ac:dyDescent="0.3">
      <c r="A453" t="s">
        <v>3515</v>
      </c>
      <c r="B453" t="s">
        <v>3516</v>
      </c>
      <c r="C453" t="s">
        <v>3517</v>
      </c>
      <c r="D453" t="s">
        <v>84</v>
      </c>
      <c r="E453" t="s">
        <v>85</v>
      </c>
      <c r="F453" t="s">
        <v>79</v>
      </c>
      <c r="G453" t="s">
        <v>3518</v>
      </c>
      <c r="H453">
        <v>41</v>
      </c>
      <c r="I453" t="s">
        <v>1221</v>
      </c>
      <c r="J453" t="s">
        <v>367</v>
      </c>
      <c r="K453" t="s">
        <v>131</v>
      </c>
      <c r="L453" t="s">
        <v>3519</v>
      </c>
      <c r="M453" t="s">
        <v>37</v>
      </c>
      <c r="N453" t="s">
        <v>3520</v>
      </c>
      <c r="O453" t="s">
        <v>3521</v>
      </c>
      <c r="P453" t="s">
        <v>3522</v>
      </c>
      <c r="Q453" t="s">
        <v>3523</v>
      </c>
      <c r="R453" t="s">
        <v>37</v>
      </c>
      <c r="S453" t="s">
        <v>37</v>
      </c>
      <c r="T453">
        <v>60.406008999999997</v>
      </c>
      <c r="U453" t="s">
        <v>3524</v>
      </c>
      <c r="V453" t="s">
        <v>3525</v>
      </c>
      <c r="W453">
        <v>22.373918</v>
      </c>
      <c r="X453">
        <v>124000</v>
      </c>
      <c r="Y453" t="s">
        <v>3526</v>
      </c>
      <c r="AA453" t="s">
        <v>38</v>
      </c>
      <c r="AB453" t="s">
        <v>39</v>
      </c>
      <c r="AC453" t="s">
        <v>480</v>
      </c>
      <c r="AD453" t="s">
        <v>202</v>
      </c>
      <c r="AE453" t="s">
        <v>3527</v>
      </c>
      <c r="AF453" t="s">
        <v>3528</v>
      </c>
      <c r="AG453" t="s">
        <v>3529</v>
      </c>
      <c r="AH453">
        <v>41</v>
      </c>
      <c r="AI453" s="2" t="str">
        <f t="shared" si="35"/>
        <v>Independent</v>
      </c>
      <c r="AJ453" s="2" t="str">
        <f t="shared" si="36"/>
        <v>YES</v>
      </c>
      <c r="AK453" s="1" t="str">
        <f t="shared" si="37"/>
        <v>None</v>
      </c>
      <c r="AL453" s="1" t="str">
        <f t="shared" si="38"/>
        <v>1 Toilet</v>
      </c>
      <c r="AM453" s="1" t="str">
        <f t="shared" si="39"/>
        <v>NO</v>
      </c>
      <c r="AN453" s="1" t="str">
        <f>VLOOKUP(J453, 'Regions and Cities'!A:B, 2, FALSE)</f>
        <v>Varsinais-Suomi</v>
      </c>
    </row>
    <row r="454" spans="1:40" x14ac:dyDescent="0.3">
      <c r="A454" t="s">
        <v>3165</v>
      </c>
      <c r="B454" t="s">
        <v>3166</v>
      </c>
      <c r="C454" t="s">
        <v>3167</v>
      </c>
      <c r="D454" t="s">
        <v>263</v>
      </c>
      <c r="E454" t="s">
        <v>264</v>
      </c>
      <c r="F454" t="s">
        <v>70</v>
      </c>
      <c r="G454" t="s">
        <v>3168</v>
      </c>
      <c r="H454">
        <v>118.1</v>
      </c>
      <c r="J454" t="s">
        <v>265</v>
      </c>
      <c r="K454" t="s">
        <v>3169</v>
      </c>
      <c r="L454" t="s">
        <v>3170</v>
      </c>
      <c r="M454" t="s">
        <v>37</v>
      </c>
      <c r="N454" t="s">
        <v>3171</v>
      </c>
      <c r="O454" t="s">
        <v>3172</v>
      </c>
      <c r="P454" t="s">
        <v>3173</v>
      </c>
      <c r="Q454" t="s">
        <v>3174</v>
      </c>
      <c r="R454" t="s">
        <v>111</v>
      </c>
      <c r="S454" t="s">
        <v>37</v>
      </c>
      <c r="T454">
        <v>65.001317999999998</v>
      </c>
      <c r="U454" t="s">
        <v>3175</v>
      </c>
      <c r="V454" t="s">
        <v>3176</v>
      </c>
      <c r="W454">
        <v>25.539577999999999</v>
      </c>
      <c r="X454">
        <v>575000</v>
      </c>
      <c r="Y454" t="s">
        <v>3177</v>
      </c>
      <c r="AA454" t="s">
        <v>63</v>
      </c>
      <c r="AB454" t="s">
        <v>39</v>
      </c>
      <c r="AC454" t="s">
        <v>480</v>
      </c>
      <c r="AD454" t="s">
        <v>55</v>
      </c>
      <c r="AE454" t="s">
        <v>3178</v>
      </c>
      <c r="AF454" t="s">
        <v>3179</v>
      </c>
      <c r="AG454" t="s">
        <v>3180</v>
      </c>
      <c r="AH454">
        <v>128.1</v>
      </c>
      <c r="AI454" s="2" t="str">
        <f t="shared" si="35"/>
        <v>Independent</v>
      </c>
      <c r="AJ454" s="2" t="str">
        <f t="shared" si="36"/>
        <v>YES</v>
      </c>
      <c r="AK454" s="1" t="str">
        <f t="shared" si="37"/>
        <v>None</v>
      </c>
      <c r="AL454" s="1" t="str">
        <f t="shared" si="38"/>
        <v>1 Toilet</v>
      </c>
      <c r="AM454" s="1" t="str">
        <f t="shared" si="39"/>
        <v>NO</v>
      </c>
      <c r="AN454" s="1" t="str">
        <f>VLOOKUP(J454, 'Regions and Cities'!A:B, 2, FALSE)</f>
        <v>Pohjois-Pohjanmaa</v>
      </c>
    </row>
    <row r="455" spans="1:40" x14ac:dyDescent="0.3">
      <c r="A455" t="s">
        <v>6460</v>
      </c>
      <c r="B455" t="s">
        <v>6461</v>
      </c>
      <c r="C455" t="s">
        <v>6462</v>
      </c>
      <c r="D455" t="s">
        <v>1747</v>
      </c>
      <c r="E455" t="s">
        <v>1748</v>
      </c>
      <c r="F455" t="s">
        <v>1749</v>
      </c>
      <c r="G455" t="s">
        <v>3626</v>
      </c>
      <c r="H455">
        <v>143</v>
      </c>
      <c r="I455" t="s">
        <v>2387</v>
      </c>
      <c r="J455" t="s">
        <v>101</v>
      </c>
      <c r="K455" t="s">
        <v>6463</v>
      </c>
      <c r="L455" t="s">
        <v>6464</v>
      </c>
      <c r="M455" t="s">
        <v>37</v>
      </c>
      <c r="N455" t="s">
        <v>6465</v>
      </c>
      <c r="O455" t="s">
        <v>6466</v>
      </c>
      <c r="P455" t="s">
        <v>6467</v>
      </c>
      <c r="Q455" t="s">
        <v>6468</v>
      </c>
      <c r="R455" t="s">
        <v>37</v>
      </c>
      <c r="S455" t="s">
        <v>37</v>
      </c>
      <c r="T455">
        <v>60.980800000000002</v>
      </c>
      <c r="U455" t="s">
        <v>6469</v>
      </c>
      <c r="V455" t="s">
        <v>6470</v>
      </c>
      <c r="W455">
        <v>25.74417</v>
      </c>
      <c r="X455">
        <v>339000</v>
      </c>
      <c r="Y455" t="s">
        <v>1228</v>
      </c>
      <c r="AA455" t="s">
        <v>63</v>
      </c>
      <c r="AB455" t="s">
        <v>39</v>
      </c>
      <c r="AC455" t="s">
        <v>480</v>
      </c>
      <c r="AD455" t="s">
        <v>55</v>
      </c>
      <c r="AE455" t="s">
        <v>6471</v>
      </c>
      <c r="AF455" t="s">
        <v>6472</v>
      </c>
      <c r="AG455" t="s">
        <v>6473</v>
      </c>
      <c r="AH455">
        <v>193</v>
      </c>
      <c r="AI455" s="2" t="str">
        <f t="shared" si="35"/>
        <v>Independent</v>
      </c>
      <c r="AJ455" s="2" t="str">
        <f t="shared" si="36"/>
        <v>NO</v>
      </c>
      <c r="AK455" s="1" t="str">
        <f t="shared" si="37"/>
        <v>Standard Balcony</v>
      </c>
      <c r="AL455" s="1" t="str">
        <f t="shared" si="38"/>
        <v>1 Toilet</v>
      </c>
      <c r="AM455" s="1" t="str">
        <f t="shared" si="39"/>
        <v>YES</v>
      </c>
      <c r="AN455" s="1" t="str">
        <f>VLOOKUP(J455, 'Regions and Cities'!A:B, 2, FALSE)</f>
        <v>Päijät-Häme</v>
      </c>
    </row>
    <row r="456" spans="1:40" x14ac:dyDescent="0.3">
      <c r="A456" t="s">
        <v>5849</v>
      </c>
      <c r="B456" t="s">
        <v>5850</v>
      </c>
      <c r="C456" t="s">
        <v>5851</v>
      </c>
      <c r="D456" t="s">
        <v>5852</v>
      </c>
      <c r="E456" t="s">
        <v>5853</v>
      </c>
      <c r="F456" t="s">
        <v>79</v>
      </c>
      <c r="G456" t="s">
        <v>5854</v>
      </c>
      <c r="H456">
        <v>106.6</v>
      </c>
      <c r="I456" t="s">
        <v>286</v>
      </c>
      <c r="J456" t="s">
        <v>114</v>
      </c>
      <c r="K456" t="s">
        <v>5855</v>
      </c>
      <c r="L456" t="s">
        <v>5856</v>
      </c>
      <c r="M456" t="s">
        <v>37</v>
      </c>
      <c r="N456" t="s">
        <v>5857</v>
      </c>
      <c r="O456" t="s">
        <v>5858</v>
      </c>
      <c r="P456" t="s">
        <v>5859</v>
      </c>
      <c r="R456" t="s">
        <v>37</v>
      </c>
      <c r="S456" t="s">
        <v>37</v>
      </c>
      <c r="T456">
        <v>60.249904000000001</v>
      </c>
      <c r="U456" t="s">
        <v>5860</v>
      </c>
      <c r="V456" t="s">
        <v>5861</v>
      </c>
      <c r="W456">
        <v>23.743645000000001</v>
      </c>
      <c r="X456">
        <v>169000</v>
      </c>
      <c r="Y456" t="s">
        <v>1088</v>
      </c>
      <c r="AA456" t="s">
        <v>63</v>
      </c>
      <c r="AB456" t="s">
        <v>39</v>
      </c>
      <c r="AC456" t="s">
        <v>480</v>
      </c>
      <c r="AD456" t="s">
        <v>55</v>
      </c>
      <c r="AE456" t="s">
        <v>3874</v>
      </c>
      <c r="AF456" t="s">
        <v>5862</v>
      </c>
      <c r="AG456" t="s">
        <v>5863</v>
      </c>
      <c r="AH456">
        <v>168.5</v>
      </c>
      <c r="AI456" s="2" t="str">
        <f t="shared" si="35"/>
        <v>Independent</v>
      </c>
      <c r="AJ456" s="2" t="str">
        <f t="shared" si="36"/>
        <v>NO</v>
      </c>
      <c r="AK456" s="1" t="str">
        <f t="shared" si="37"/>
        <v>None</v>
      </c>
      <c r="AL456" s="1" t="str">
        <f t="shared" si="38"/>
        <v>1 Toilet</v>
      </c>
      <c r="AM456" s="1" t="str">
        <f t="shared" si="39"/>
        <v>NO</v>
      </c>
      <c r="AN456" s="1" t="str">
        <f>VLOOKUP(J456, 'Regions and Cities'!A:B, 2, FALSE)</f>
        <v>Uusimaa</v>
      </c>
    </row>
    <row r="457" spans="1:40" x14ac:dyDescent="0.3">
      <c r="A457" t="s">
        <v>1609</v>
      </c>
      <c r="B457" t="s">
        <v>1610</v>
      </c>
      <c r="C457" t="s">
        <v>1611</v>
      </c>
      <c r="D457" t="s">
        <v>1596</v>
      </c>
      <c r="E457" t="s">
        <v>1597</v>
      </c>
      <c r="F457" t="s">
        <v>1598</v>
      </c>
      <c r="H457">
        <v>68.5</v>
      </c>
      <c r="I457" t="s">
        <v>1310</v>
      </c>
      <c r="J457" t="s">
        <v>265</v>
      </c>
      <c r="K457" t="s">
        <v>1612</v>
      </c>
      <c r="L457" t="s">
        <v>1613</v>
      </c>
      <c r="M457" t="s">
        <v>37</v>
      </c>
      <c r="N457" t="s">
        <v>1614</v>
      </c>
      <c r="O457" t="s">
        <v>1615</v>
      </c>
      <c r="R457" t="s">
        <v>111</v>
      </c>
      <c r="S457" t="s">
        <v>37</v>
      </c>
      <c r="T457">
        <v>65.089748999999998</v>
      </c>
      <c r="U457" t="s">
        <v>1616</v>
      </c>
      <c r="V457" t="s">
        <v>1617</v>
      </c>
      <c r="W457">
        <v>25.396833999999998</v>
      </c>
      <c r="X457">
        <v>209000</v>
      </c>
      <c r="Y457" t="s">
        <v>1484</v>
      </c>
      <c r="AA457" t="s">
        <v>45</v>
      </c>
      <c r="AB457" t="s">
        <v>39</v>
      </c>
      <c r="AC457" t="s">
        <v>1605</v>
      </c>
      <c r="AD457" t="s">
        <v>46</v>
      </c>
      <c r="AE457" t="s">
        <v>1618</v>
      </c>
      <c r="AF457" t="s">
        <v>1619</v>
      </c>
      <c r="AG457" t="s">
        <v>1620</v>
      </c>
      <c r="AH457">
        <v>75.5</v>
      </c>
      <c r="AI457" s="2" t="str">
        <f t="shared" si="35"/>
        <v>Independent</v>
      </c>
      <c r="AJ457" s="2" t="str">
        <f t="shared" si="36"/>
        <v>NO</v>
      </c>
      <c r="AK457" s="1" t="str">
        <f t="shared" si="37"/>
        <v>None</v>
      </c>
      <c r="AL457" s="1" t="str">
        <f t="shared" si="38"/>
        <v>1 Toilet</v>
      </c>
      <c r="AM457" s="1" t="str">
        <f t="shared" si="39"/>
        <v>YES</v>
      </c>
      <c r="AN457" s="1" t="str">
        <f>VLOOKUP(J457, 'Regions and Cities'!A:B, 2, FALSE)</f>
        <v>Pohjois-Pohjanmaa</v>
      </c>
    </row>
    <row r="458" spans="1:40" x14ac:dyDescent="0.3">
      <c r="A458" t="s">
        <v>1593</v>
      </c>
      <c r="B458" t="s">
        <v>1594</v>
      </c>
      <c r="C458" t="s">
        <v>1595</v>
      </c>
      <c r="D458" t="s">
        <v>1596</v>
      </c>
      <c r="E458" t="s">
        <v>1597</v>
      </c>
      <c r="F458" t="s">
        <v>1598</v>
      </c>
      <c r="H458">
        <v>75</v>
      </c>
      <c r="I458" t="s">
        <v>1310</v>
      </c>
      <c r="J458" t="s">
        <v>265</v>
      </c>
      <c r="K458" t="s">
        <v>1599</v>
      </c>
      <c r="L458" t="s">
        <v>1600</v>
      </c>
      <c r="M458" t="s">
        <v>37</v>
      </c>
      <c r="N458" t="s">
        <v>1601</v>
      </c>
      <c r="O458" t="s">
        <v>1602</v>
      </c>
      <c r="R458" t="s">
        <v>111</v>
      </c>
      <c r="S458" t="s">
        <v>37</v>
      </c>
      <c r="T458">
        <v>65.089748999999998</v>
      </c>
      <c r="U458" t="s">
        <v>1603</v>
      </c>
      <c r="V458" t="s">
        <v>1604</v>
      </c>
      <c r="W458">
        <v>25.396833999999998</v>
      </c>
      <c r="X458">
        <v>229000</v>
      </c>
      <c r="Y458" t="s">
        <v>1041</v>
      </c>
      <c r="AA458" t="s">
        <v>45</v>
      </c>
      <c r="AB458" t="s">
        <v>39</v>
      </c>
      <c r="AC458" t="s">
        <v>1605</v>
      </c>
      <c r="AD458" t="s">
        <v>75</v>
      </c>
      <c r="AE458" t="s">
        <v>1606</v>
      </c>
      <c r="AF458" t="s">
        <v>1607</v>
      </c>
      <c r="AG458" t="s">
        <v>1608</v>
      </c>
      <c r="AH458">
        <v>82</v>
      </c>
      <c r="AI458" s="2" t="str">
        <f t="shared" si="35"/>
        <v>Independent</v>
      </c>
      <c r="AJ458" s="2" t="str">
        <f t="shared" si="36"/>
        <v>NO</v>
      </c>
      <c r="AK458" s="1" t="str">
        <f t="shared" si="37"/>
        <v>None</v>
      </c>
      <c r="AL458" s="1" t="str">
        <f t="shared" si="38"/>
        <v>1 Toilet</v>
      </c>
      <c r="AM458" s="1" t="str">
        <f t="shared" si="39"/>
        <v>YES</v>
      </c>
      <c r="AN458" s="1" t="str">
        <f>VLOOKUP(J458, 'Regions and Cities'!A:B, 2, FALSE)</f>
        <v>Pohjois-Pohjanmaa</v>
      </c>
    </row>
    <row r="459" spans="1:40" x14ac:dyDescent="0.3">
      <c r="A459" t="s">
        <v>6329</v>
      </c>
      <c r="B459" t="s">
        <v>6330</v>
      </c>
      <c r="C459" t="s">
        <v>2413</v>
      </c>
      <c r="D459" t="s">
        <v>68</v>
      </c>
      <c r="E459" t="s">
        <v>69</v>
      </c>
      <c r="F459" t="s">
        <v>70</v>
      </c>
      <c r="G459" t="s">
        <v>6331</v>
      </c>
      <c r="H459">
        <v>104</v>
      </c>
      <c r="I459" t="s">
        <v>191</v>
      </c>
      <c r="J459" t="s">
        <v>380</v>
      </c>
      <c r="K459" t="s">
        <v>2414</v>
      </c>
      <c r="L459" t="s">
        <v>6332</v>
      </c>
      <c r="M459" t="s">
        <v>37</v>
      </c>
      <c r="N459" t="s">
        <v>6333</v>
      </c>
      <c r="O459" t="s">
        <v>6334</v>
      </c>
      <c r="P459" t="s">
        <v>6335</v>
      </c>
      <c r="R459" t="s">
        <v>37</v>
      </c>
      <c r="S459" t="s">
        <v>37</v>
      </c>
      <c r="T459">
        <v>62.337299999999999</v>
      </c>
      <c r="U459" t="s">
        <v>6336</v>
      </c>
      <c r="V459" t="s">
        <v>6337</v>
      </c>
      <c r="W459">
        <v>25.843139999999998</v>
      </c>
      <c r="X459">
        <v>310000</v>
      </c>
      <c r="Y459" t="s">
        <v>1970</v>
      </c>
      <c r="AA459" t="s">
        <v>63</v>
      </c>
      <c r="AB459" t="s">
        <v>39</v>
      </c>
      <c r="AC459" t="s">
        <v>2973</v>
      </c>
      <c r="AD459" t="s">
        <v>55</v>
      </c>
      <c r="AE459" t="s">
        <v>6338</v>
      </c>
      <c r="AF459" t="s">
        <v>6339</v>
      </c>
      <c r="AG459" t="s">
        <v>6340</v>
      </c>
      <c r="AH459">
        <v>119</v>
      </c>
      <c r="AI459" s="2" t="str">
        <f t="shared" si="35"/>
        <v>Independent</v>
      </c>
      <c r="AJ459" s="2" t="str">
        <f t="shared" si="36"/>
        <v>YES</v>
      </c>
      <c r="AK459" s="1" t="str">
        <f t="shared" si="37"/>
        <v>None</v>
      </c>
      <c r="AL459" s="1" t="str">
        <f t="shared" si="38"/>
        <v>1 Toilet</v>
      </c>
      <c r="AM459" s="1" t="str">
        <f t="shared" si="39"/>
        <v>NO</v>
      </c>
      <c r="AN459" s="1" t="str">
        <f>VLOOKUP(J459, 'Regions and Cities'!A:B, 2, FALSE)</f>
        <v>Keski-Suomi</v>
      </c>
    </row>
    <row r="460" spans="1:40" x14ac:dyDescent="0.3">
      <c r="A460" t="s">
        <v>8029</v>
      </c>
      <c r="B460" t="s">
        <v>8030</v>
      </c>
      <c r="C460" t="s">
        <v>116</v>
      </c>
      <c r="D460" t="s">
        <v>8031</v>
      </c>
      <c r="E460" t="s">
        <v>8032</v>
      </c>
      <c r="F460" t="s">
        <v>8033</v>
      </c>
      <c r="H460">
        <v>172</v>
      </c>
      <c r="I460" t="s">
        <v>909</v>
      </c>
      <c r="J460" t="s">
        <v>116</v>
      </c>
      <c r="L460" t="s">
        <v>8034</v>
      </c>
      <c r="M460" t="s">
        <v>37</v>
      </c>
      <c r="N460" t="s">
        <v>8035</v>
      </c>
      <c r="O460" t="s">
        <v>8036</v>
      </c>
      <c r="R460" t="s">
        <v>37</v>
      </c>
      <c r="S460" t="s">
        <v>37</v>
      </c>
      <c r="T460">
        <v>60.371158000000001</v>
      </c>
      <c r="U460" t="s">
        <v>8037</v>
      </c>
      <c r="V460" t="s">
        <v>8038</v>
      </c>
      <c r="W460">
        <v>25.075068000000002</v>
      </c>
      <c r="X460">
        <v>169000</v>
      </c>
      <c r="Y460" t="s">
        <v>1088</v>
      </c>
      <c r="AA460" t="s">
        <v>63</v>
      </c>
      <c r="AB460" t="s">
        <v>39</v>
      </c>
      <c r="AC460" t="s">
        <v>6510</v>
      </c>
      <c r="AD460" t="s">
        <v>75</v>
      </c>
      <c r="AE460" t="s">
        <v>8039</v>
      </c>
      <c r="AF460" t="s">
        <v>8040</v>
      </c>
      <c r="AG460" t="s">
        <v>8041</v>
      </c>
      <c r="AH460">
        <v>172</v>
      </c>
      <c r="AI460" s="2" t="str">
        <f t="shared" si="35"/>
        <v>Independent</v>
      </c>
      <c r="AJ460" s="2" t="str">
        <f t="shared" si="36"/>
        <v>NO</v>
      </c>
      <c r="AK460" s="1" t="str">
        <f t="shared" si="37"/>
        <v>None</v>
      </c>
      <c r="AL460" s="1" t="str">
        <f t="shared" si="38"/>
        <v>1 Toilet</v>
      </c>
      <c r="AM460" s="1" t="str">
        <f t="shared" si="39"/>
        <v>NO</v>
      </c>
      <c r="AN460" s="1" t="str">
        <f>VLOOKUP(J460, 'Regions and Cities'!A:B, 2, FALSE)</f>
        <v>Uusimaa</v>
      </c>
    </row>
    <row r="461" spans="1:40" x14ac:dyDescent="0.3">
      <c r="A461" t="s">
        <v>1191</v>
      </c>
      <c r="B461" t="s">
        <v>1192</v>
      </c>
      <c r="C461" t="s">
        <v>1076</v>
      </c>
      <c r="D461" t="s">
        <v>552</v>
      </c>
      <c r="E461" t="s">
        <v>553</v>
      </c>
      <c r="F461" t="s">
        <v>554</v>
      </c>
      <c r="G461" t="s">
        <v>1179</v>
      </c>
      <c r="H461">
        <v>77</v>
      </c>
      <c r="I461" t="s">
        <v>188</v>
      </c>
      <c r="J461" t="s">
        <v>208</v>
      </c>
      <c r="K461" t="s">
        <v>131</v>
      </c>
      <c r="L461" t="s">
        <v>1193</v>
      </c>
      <c r="M461" t="s">
        <v>111</v>
      </c>
      <c r="N461" t="s">
        <v>1194</v>
      </c>
      <c r="O461" t="s">
        <v>1195</v>
      </c>
      <c r="P461" t="s">
        <v>1196</v>
      </c>
      <c r="R461" t="s">
        <v>37</v>
      </c>
      <c r="S461" t="s">
        <v>37</v>
      </c>
      <c r="T461">
        <v>66.500879999999995</v>
      </c>
      <c r="U461" t="s">
        <v>1197</v>
      </c>
      <c r="V461" t="s">
        <v>1198</v>
      </c>
      <c r="W461">
        <v>25.73236</v>
      </c>
      <c r="X461">
        <v>165000</v>
      </c>
      <c r="Y461" t="s">
        <v>44</v>
      </c>
      <c r="AA461" t="s">
        <v>38</v>
      </c>
      <c r="AB461" t="s">
        <v>39</v>
      </c>
      <c r="AC461" t="s">
        <v>480</v>
      </c>
      <c r="AD461" t="s">
        <v>46</v>
      </c>
      <c r="AE461" t="s">
        <v>1199</v>
      </c>
      <c r="AF461" t="s">
        <v>1200</v>
      </c>
      <c r="AG461" t="s">
        <v>1201</v>
      </c>
      <c r="AH461">
        <v>77</v>
      </c>
      <c r="AI461" s="2" t="str">
        <f t="shared" si="35"/>
        <v>Independent</v>
      </c>
      <c r="AJ461" s="2" t="str">
        <f t="shared" si="36"/>
        <v>NO</v>
      </c>
      <c r="AK461" s="1" t="str">
        <f t="shared" si="37"/>
        <v>Standard Balcony</v>
      </c>
      <c r="AL461" s="1" t="str">
        <f t="shared" si="38"/>
        <v>1 Toilet</v>
      </c>
      <c r="AM461" s="1" t="str">
        <f t="shared" si="39"/>
        <v>NO</v>
      </c>
      <c r="AN461" s="1" t="str">
        <f>VLOOKUP(J461, 'Regions and Cities'!A:B, 2, FALSE)</f>
        <v>Lappi</v>
      </c>
    </row>
    <row r="462" spans="1:40" x14ac:dyDescent="0.3">
      <c r="A462" t="s">
        <v>9210</v>
      </c>
      <c r="B462" t="s">
        <v>9211</v>
      </c>
      <c r="C462" t="s">
        <v>3783</v>
      </c>
      <c r="D462" t="s">
        <v>5510</v>
      </c>
      <c r="E462" t="s">
        <v>5511</v>
      </c>
      <c r="F462" t="s">
        <v>1797</v>
      </c>
      <c r="G462" t="s">
        <v>5512</v>
      </c>
      <c r="H462">
        <v>82.5</v>
      </c>
      <c r="I462" t="s">
        <v>224</v>
      </c>
      <c r="J462" t="s">
        <v>139</v>
      </c>
      <c r="K462" t="s">
        <v>3784</v>
      </c>
      <c r="L462" t="s">
        <v>9212</v>
      </c>
      <c r="M462" t="s">
        <v>37</v>
      </c>
      <c r="N462" t="s">
        <v>9213</v>
      </c>
      <c r="O462" t="s">
        <v>9214</v>
      </c>
      <c r="P462" t="s">
        <v>9215</v>
      </c>
      <c r="Q462" t="s">
        <v>9216</v>
      </c>
      <c r="R462" t="s">
        <v>37</v>
      </c>
      <c r="S462" t="s">
        <v>37</v>
      </c>
      <c r="T462">
        <v>61.497213000000002</v>
      </c>
      <c r="U462" t="s">
        <v>9217</v>
      </c>
      <c r="V462" t="s">
        <v>9218</v>
      </c>
      <c r="W462">
        <v>23.810877000000001</v>
      </c>
      <c r="X462">
        <v>235000</v>
      </c>
      <c r="Y462" t="s">
        <v>234</v>
      </c>
      <c r="AA462" t="s">
        <v>38</v>
      </c>
      <c r="AB462" t="s">
        <v>39</v>
      </c>
      <c r="AC462" t="s">
        <v>6510</v>
      </c>
      <c r="AD462" t="s">
        <v>75</v>
      </c>
      <c r="AE462" t="s">
        <v>9219</v>
      </c>
      <c r="AF462" t="s">
        <v>9220</v>
      </c>
      <c r="AG462" t="s">
        <v>9221</v>
      </c>
      <c r="AH462">
        <v>82.5</v>
      </c>
      <c r="AI462" s="2" t="str">
        <f t="shared" si="35"/>
        <v>Independent</v>
      </c>
      <c r="AJ462" s="2" t="str">
        <f t="shared" si="36"/>
        <v>NO</v>
      </c>
      <c r="AK462" s="1" t="str">
        <f t="shared" si="37"/>
        <v>None</v>
      </c>
      <c r="AL462" s="1" t="str">
        <f t="shared" si="38"/>
        <v>1 Toilet</v>
      </c>
      <c r="AM462" s="1" t="str">
        <f t="shared" si="39"/>
        <v>YES</v>
      </c>
      <c r="AN462" s="1" t="str">
        <f>VLOOKUP(J462, 'Regions and Cities'!A:B, 2, FALSE)</f>
        <v>Pirkanmaa</v>
      </c>
    </row>
    <row r="463" spans="1:40" x14ac:dyDescent="0.3">
      <c r="A463" t="s">
        <v>6845</v>
      </c>
      <c r="B463" t="s">
        <v>6846</v>
      </c>
      <c r="C463" t="s">
        <v>6847</v>
      </c>
      <c r="D463" t="s">
        <v>2551</v>
      </c>
      <c r="E463" t="s">
        <v>2552</v>
      </c>
      <c r="F463" t="s">
        <v>79</v>
      </c>
      <c r="H463">
        <v>72</v>
      </c>
      <c r="I463" t="s">
        <v>216</v>
      </c>
      <c r="J463" t="s">
        <v>382</v>
      </c>
      <c r="K463" t="s">
        <v>131</v>
      </c>
      <c r="L463" t="s">
        <v>6848</v>
      </c>
      <c r="M463" t="s">
        <v>37</v>
      </c>
      <c r="N463" t="s">
        <v>6849</v>
      </c>
      <c r="O463" t="s">
        <v>6850</v>
      </c>
      <c r="P463" t="s">
        <v>6851</v>
      </c>
      <c r="R463" t="s">
        <v>37</v>
      </c>
      <c r="S463" t="s">
        <v>37</v>
      </c>
      <c r="T463">
        <v>60.635187000000002</v>
      </c>
      <c r="U463" t="s">
        <v>6852</v>
      </c>
      <c r="V463" t="s">
        <v>6853</v>
      </c>
      <c r="W463">
        <v>25.313717</v>
      </c>
      <c r="X463">
        <v>69000</v>
      </c>
      <c r="Y463" t="s">
        <v>712</v>
      </c>
      <c r="AA463" t="s">
        <v>38</v>
      </c>
      <c r="AB463" t="s">
        <v>39</v>
      </c>
      <c r="AC463" t="s">
        <v>6510</v>
      </c>
      <c r="AD463" t="s">
        <v>46</v>
      </c>
      <c r="AE463" t="s">
        <v>6854</v>
      </c>
      <c r="AF463" t="s">
        <v>6855</v>
      </c>
      <c r="AG463" t="s">
        <v>6856</v>
      </c>
      <c r="AH463">
        <v>72</v>
      </c>
      <c r="AI463" s="2" t="str">
        <f t="shared" si="35"/>
        <v>Independent</v>
      </c>
      <c r="AJ463" s="2" t="str">
        <f t="shared" si="36"/>
        <v>NO</v>
      </c>
      <c r="AK463" s="1" t="str">
        <f t="shared" si="37"/>
        <v>Glazed Balcony</v>
      </c>
      <c r="AL463" s="1" t="str">
        <f t="shared" si="38"/>
        <v>1 Toilet</v>
      </c>
      <c r="AM463" s="1" t="str">
        <f t="shared" si="39"/>
        <v>YES</v>
      </c>
      <c r="AN463" s="1" t="str">
        <f>VLOOKUP(J463, 'Regions and Cities'!A:B, 2, FALSE)</f>
        <v>Uusimaa</v>
      </c>
    </row>
    <row r="464" spans="1:40" x14ac:dyDescent="0.3">
      <c r="A464" t="s">
        <v>1232</v>
      </c>
      <c r="B464" t="s">
        <v>1233</v>
      </c>
      <c r="C464" t="s">
        <v>1234</v>
      </c>
      <c r="D464" t="s">
        <v>1235</v>
      </c>
      <c r="E464" t="s">
        <v>1236</v>
      </c>
      <c r="F464" t="s">
        <v>50</v>
      </c>
      <c r="G464" t="s">
        <v>1237</v>
      </c>
      <c r="H464">
        <v>60</v>
      </c>
      <c r="I464" t="s">
        <v>219</v>
      </c>
      <c r="J464" t="s">
        <v>116</v>
      </c>
      <c r="K464" t="s">
        <v>1238</v>
      </c>
      <c r="L464" t="s">
        <v>1239</v>
      </c>
      <c r="M464" t="s">
        <v>37</v>
      </c>
      <c r="N464" t="s">
        <v>1240</v>
      </c>
      <c r="O464" t="s">
        <v>1241</v>
      </c>
      <c r="P464" t="s">
        <v>1242</v>
      </c>
      <c r="R464" t="s">
        <v>37</v>
      </c>
      <c r="S464" t="s">
        <v>37</v>
      </c>
      <c r="T464">
        <v>60.318779999999997</v>
      </c>
      <c r="U464" t="s">
        <v>1243</v>
      </c>
      <c r="V464" t="s">
        <v>1244</v>
      </c>
      <c r="W464">
        <v>25.064859999999999</v>
      </c>
      <c r="X464">
        <v>75000</v>
      </c>
      <c r="Y464" t="s">
        <v>108</v>
      </c>
      <c r="AA464" t="s">
        <v>38</v>
      </c>
      <c r="AB464" t="s">
        <v>39</v>
      </c>
      <c r="AC464" t="s">
        <v>480</v>
      </c>
      <c r="AD464" t="s">
        <v>40</v>
      </c>
      <c r="AE464" t="s">
        <v>1245</v>
      </c>
      <c r="AF464" t="s">
        <v>1246</v>
      </c>
      <c r="AG464" t="s">
        <v>1247</v>
      </c>
      <c r="AH464">
        <v>60</v>
      </c>
      <c r="AI464" s="2" t="str">
        <f t="shared" si="35"/>
        <v>Independent</v>
      </c>
      <c r="AJ464" s="2" t="str">
        <f t="shared" si="36"/>
        <v>NO</v>
      </c>
      <c r="AK464" s="1" t="str">
        <f t="shared" si="37"/>
        <v>Glazed Balcony</v>
      </c>
      <c r="AL464" s="1" t="str">
        <f t="shared" si="38"/>
        <v>1 Toilet</v>
      </c>
      <c r="AM464" s="1" t="str">
        <f t="shared" si="39"/>
        <v>NO</v>
      </c>
      <c r="AN464" s="1" t="str">
        <f>VLOOKUP(J464, 'Regions and Cities'!A:B, 2, FALSE)</f>
        <v>Uusimaa</v>
      </c>
    </row>
    <row r="465" spans="1:40" x14ac:dyDescent="0.3">
      <c r="A465" t="s">
        <v>9222</v>
      </c>
      <c r="B465" t="s">
        <v>9223</v>
      </c>
      <c r="C465" t="s">
        <v>9224</v>
      </c>
      <c r="D465" t="s">
        <v>7208</v>
      </c>
      <c r="E465" t="s">
        <v>7209</v>
      </c>
      <c r="F465" t="s">
        <v>70</v>
      </c>
      <c r="G465" t="s">
        <v>9225</v>
      </c>
      <c r="H465">
        <v>59.5</v>
      </c>
      <c r="I465" t="s">
        <v>286</v>
      </c>
      <c r="J465" t="s">
        <v>110</v>
      </c>
      <c r="K465" t="s">
        <v>9226</v>
      </c>
      <c r="L465" t="s">
        <v>9227</v>
      </c>
      <c r="M465" t="s">
        <v>37</v>
      </c>
      <c r="N465" t="s">
        <v>9228</v>
      </c>
      <c r="O465" t="s">
        <v>9229</v>
      </c>
      <c r="P465" t="s">
        <v>9230</v>
      </c>
      <c r="Q465" t="s">
        <v>9231</v>
      </c>
      <c r="R465" t="s">
        <v>37</v>
      </c>
      <c r="S465" t="s">
        <v>37</v>
      </c>
      <c r="T465">
        <v>60.428879999999999</v>
      </c>
      <c r="U465" t="s">
        <v>9232</v>
      </c>
      <c r="V465" t="s">
        <v>9233</v>
      </c>
      <c r="W465">
        <v>22.293358999999999</v>
      </c>
      <c r="X465">
        <v>109000</v>
      </c>
      <c r="Y465" t="s">
        <v>976</v>
      </c>
      <c r="AA465" t="s">
        <v>38</v>
      </c>
      <c r="AB465" t="s">
        <v>39</v>
      </c>
      <c r="AC465" t="s">
        <v>6510</v>
      </c>
      <c r="AD465" t="s">
        <v>40</v>
      </c>
      <c r="AE465" t="s">
        <v>9234</v>
      </c>
      <c r="AF465" t="s">
        <v>9235</v>
      </c>
      <c r="AG465" t="s">
        <v>9236</v>
      </c>
      <c r="AH465">
        <v>59.5</v>
      </c>
      <c r="AI465" s="2" t="str">
        <f t="shared" si="35"/>
        <v>Independent</v>
      </c>
      <c r="AJ465" s="2" t="str">
        <f t="shared" si="36"/>
        <v>NO</v>
      </c>
      <c r="AK465" s="1" t="str">
        <f t="shared" si="37"/>
        <v>None</v>
      </c>
      <c r="AL465" s="1" t="str">
        <f t="shared" si="38"/>
        <v>1 Toilet</v>
      </c>
      <c r="AM465" s="1" t="str">
        <f t="shared" si="39"/>
        <v>NO</v>
      </c>
      <c r="AN465" s="1" t="str">
        <f>VLOOKUP(J465, 'Regions and Cities'!A:B, 2, FALSE)</f>
        <v>Varsinais-Suomi</v>
      </c>
    </row>
    <row r="466" spans="1:40" x14ac:dyDescent="0.3">
      <c r="A466" t="s">
        <v>4505</v>
      </c>
      <c r="B466" t="s">
        <v>4506</v>
      </c>
      <c r="C466" t="s">
        <v>4507</v>
      </c>
      <c r="D466" t="s">
        <v>4508</v>
      </c>
      <c r="E466" t="s">
        <v>4509</v>
      </c>
      <c r="G466" t="s">
        <v>4510</v>
      </c>
      <c r="H466">
        <v>56.5</v>
      </c>
      <c r="I466" t="s">
        <v>294</v>
      </c>
      <c r="J466" t="s">
        <v>137</v>
      </c>
      <c r="K466" t="s">
        <v>4511</v>
      </c>
      <c r="L466" t="s">
        <v>4512</v>
      </c>
      <c r="M466" t="s">
        <v>37</v>
      </c>
      <c r="N466" t="s">
        <v>4513</v>
      </c>
      <c r="O466" t="s">
        <v>4514</v>
      </c>
      <c r="P466" t="s">
        <v>4515</v>
      </c>
      <c r="R466" t="s">
        <v>37</v>
      </c>
      <c r="S466" t="s">
        <v>37</v>
      </c>
      <c r="T466">
        <v>60.192357999999999</v>
      </c>
      <c r="U466" t="s">
        <v>4516</v>
      </c>
      <c r="V466" t="s">
        <v>4517</v>
      </c>
      <c r="W466">
        <v>25.031348999999999</v>
      </c>
      <c r="X466">
        <v>265000</v>
      </c>
      <c r="Y466" t="s">
        <v>3720</v>
      </c>
      <c r="AA466" t="s">
        <v>38</v>
      </c>
      <c r="AB466" t="s">
        <v>39</v>
      </c>
      <c r="AC466" t="s">
        <v>480</v>
      </c>
      <c r="AD466" t="s">
        <v>40</v>
      </c>
      <c r="AE466" t="s">
        <v>4518</v>
      </c>
      <c r="AF466" t="s">
        <v>4519</v>
      </c>
      <c r="AG466" t="s">
        <v>4520</v>
      </c>
      <c r="AH466">
        <v>56.5</v>
      </c>
      <c r="AI466" s="2" t="str">
        <f t="shared" si="35"/>
        <v>Independent</v>
      </c>
      <c r="AJ466" s="2" t="str">
        <f t="shared" si="36"/>
        <v>NO</v>
      </c>
      <c r="AK466" s="1" t="str">
        <f t="shared" si="37"/>
        <v>Terrace</v>
      </c>
      <c r="AL466" s="1" t="str">
        <f t="shared" si="38"/>
        <v>1 Toilet</v>
      </c>
      <c r="AM466" s="1" t="str">
        <f t="shared" si="39"/>
        <v>NO</v>
      </c>
      <c r="AN466" s="1" t="str">
        <f>VLOOKUP(J466, 'Regions and Cities'!A:B, 2, FALSE)</f>
        <v>Uusimaa</v>
      </c>
    </row>
    <row r="467" spans="1:40" x14ac:dyDescent="0.3">
      <c r="A467" t="s">
        <v>9147</v>
      </c>
      <c r="B467" t="s">
        <v>9148</v>
      </c>
      <c r="C467" t="s">
        <v>9149</v>
      </c>
      <c r="D467" t="s">
        <v>1445</v>
      </c>
      <c r="E467" t="s">
        <v>1446</v>
      </c>
      <c r="F467" t="s">
        <v>105</v>
      </c>
      <c r="G467" t="s">
        <v>9150</v>
      </c>
      <c r="H467">
        <v>47.5</v>
      </c>
      <c r="I467" t="s">
        <v>156</v>
      </c>
      <c r="J467" t="s">
        <v>357</v>
      </c>
      <c r="K467" t="s">
        <v>193</v>
      </c>
      <c r="L467" t="s">
        <v>9151</v>
      </c>
      <c r="M467" t="s">
        <v>37</v>
      </c>
      <c r="N467" t="s">
        <v>9152</v>
      </c>
      <c r="O467" t="s">
        <v>9153</v>
      </c>
      <c r="P467" t="s">
        <v>9154</v>
      </c>
      <c r="R467" t="s">
        <v>37</v>
      </c>
      <c r="S467" t="s">
        <v>37</v>
      </c>
      <c r="T467">
        <v>62.12668</v>
      </c>
      <c r="U467" t="s">
        <v>9155</v>
      </c>
      <c r="V467" t="s">
        <v>9156</v>
      </c>
      <c r="W467">
        <v>25.681407</v>
      </c>
      <c r="X467">
        <v>55000</v>
      </c>
      <c r="Y467" t="s">
        <v>240</v>
      </c>
      <c r="AA467" t="s">
        <v>808</v>
      </c>
      <c r="AB467" t="s">
        <v>39</v>
      </c>
      <c r="AC467" t="s">
        <v>6510</v>
      </c>
      <c r="AD467" t="s">
        <v>40</v>
      </c>
      <c r="AE467" t="s">
        <v>8330</v>
      </c>
      <c r="AF467" t="s">
        <v>9157</v>
      </c>
      <c r="AG467" t="s">
        <v>9158</v>
      </c>
      <c r="AH467">
        <v>47.5</v>
      </c>
      <c r="AI467" s="2" t="str">
        <f t="shared" si="35"/>
        <v>Independent</v>
      </c>
      <c r="AJ467" s="2" t="str">
        <f t="shared" si="36"/>
        <v>NO</v>
      </c>
      <c r="AK467" s="1" t="str">
        <f t="shared" si="37"/>
        <v>None</v>
      </c>
      <c r="AL467" s="1" t="str">
        <f t="shared" si="38"/>
        <v>1 Toilet</v>
      </c>
      <c r="AM467" s="1" t="str">
        <f t="shared" si="39"/>
        <v>NO</v>
      </c>
      <c r="AN467" s="1" t="str">
        <f>VLOOKUP(J467, 'Regions and Cities'!A:B, 2, FALSE)</f>
        <v>Keski-Suomi</v>
      </c>
    </row>
    <row r="468" spans="1:40" x14ac:dyDescent="0.3">
      <c r="A468" t="s">
        <v>8606</v>
      </c>
      <c r="B468" t="s">
        <v>8607</v>
      </c>
      <c r="C468" t="s">
        <v>8608</v>
      </c>
      <c r="D468" t="s">
        <v>1889</v>
      </c>
      <c r="E468" t="s">
        <v>1890</v>
      </c>
      <c r="F468" t="s">
        <v>1032</v>
      </c>
      <c r="G468" t="s">
        <v>8609</v>
      </c>
      <c r="H468">
        <v>27</v>
      </c>
      <c r="I468" t="s">
        <v>119</v>
      </c>
      <c r="J468" t="s">
        <v>378</v>
      </c>
      <c r="K468" t="s">
        <v>8610</v>
      </c>
      <c r="L468" t="s">
        <v>8611</v>
      </c>
      <c r="M468" t="s">
        <v>37</v>
      </c>
      <c r="N468" t="s">
        <v>8612</v>
      </c>
      <c r="O468" t="s">
        <v>8613</v>
      </c>
      <c r="P468" t="s">
        <v>8614</v>
      </c>
      <c r="R468" t="s">
        <v>37</v>
      </c>
      <c r="S468" t="s">
        <v>37</v>
      </c>
      <c r="T468">
        <v>61.693356000000001</v>
      </c>
      <c r="U468" t="s">
        <v>8615</v>
      </c>
      <c r="V468" t="s">
        <v>8616</v>
      </c>
      <c r="W468">
        <v>27.261096999999999</v>
      </c>
      <c r="X468">
        <v>39500</v>
      </c>
      <c r="Y468" t="s">
        <v>8617</v>
      </c>
      <c r="AA468" t="s">
        <v>38</v>
      </c>
      <c r="AB468" t="s">
        <v>39</v>
      </c>
      <c r="AC468" t="s">
        <v>6510</v>
      </c>
      <c r="AD468" t="s">
        <v>202</v>
      </c>
      <c r="AE468" t="s">
        <v>8618</v>
      </c>
      <c r="AF468" t="s">
        <v>8619</v>
      </c>
      <c r="AG468" t="s">
        <v>8620</v>
      </c>
      <c r="AH468">
        <v>27</v>
      </c>
      <c r="AI468" s="2" t="str">
        <f t="shared" si="35"/>
        <v>Kitchenette</v>
      </c>
      <c r="AJ468" s="2" t="str">
        <f t="shared" si="36"/>
        <v>NO</v>
      </c>
      <c r="AK468" s="1" t="str">
        <f t="shared" si="37"/>
        <v>None</v>
      </c>
      <c r="AL468" s="1" t="str">
        <f t="shared" si="38"/>
        <v>1 Toilet</v>
      </c>
      <c r="AM468" s="1" t="str">
        <f t="shared" si="39"/>
        <v>NO</v>
      </c>
      <c r="AN468" s="1" t="str">
        <f>VLOOKUP(J468, 'Regions and Cities'!A:B, 2, FALSE)</f>
        <v>Etelä-Savo</v>
      </c>
    </row>
    <row r="469" spans="1:40" x14ac:dyDescent="0.3">
      <c r="A469" t="s">
        <v>2873</v>
      </c>
      <c r="B469" t="s">
        <v>2874</v>
      </c>
      <c r="C469" t="s">
        <v>2875</v>
      </c>
      <c r="D469" t="s">
        <v>2876</v>
      </c>
      <c r="E469" t="s">
        <v>2877</v>
      </c>
      <c r="F469" t="s">
        <v>2878</v>
      </c>
      <c r="H469">
        <v>114</v>
      </c>
      <c r="I469" t="s">
        <v>556</v>
      </c>
      <c r="J469" t="s">
        <v>385</v>
      </c>
      <c r="K469" t="s">
        <v>2879</v>
      </c>
      <c r="L469" t="s">
        <v>2880</v>
      </c>
      <c r="M469" t="s">
        <v>37</v>
      </c>
      <c r="N469" t="s">
        <v>2881</v>
      </c>
      <c r="O469" t="s">
        <v>2882</v>
      </c>
      <c r="R469" t="s">
        <v>37</v>
      </c>
      <c r="S469" t="s">
        <v>37</v>
      </c>
      <c r="T469">
        <v>60.355575000000002</v>
      </c>
      <c r="U469" t="s">
        <v>2883</v>
      </c>
      <c r="V469" t="s">
        <v>2884</v>
      </c>
      <c r="W469">
        <v>24.339015</v>
      </c>
      <c r="X469">
        <v>156000</v>
      </c>
      <c r="Y469" t="s">
        <v>2885</v>
      </c>
      <c r="AA469" t="s">
        <v>45</v>
      </c>
      <c r="AB469" t="s">
        <v>39</v>
      </c>
      <c r="AC469" t="s">
        <v>480</v>
      </c>
      <c r="AD469" t="s">
        <v>55</v>
      </c>
      <c r="AE469" t="s">
        <v>2886</v>
      </c>
      <c r="AF469" t="s">
        <v>2887</v>
      </c>
      <c r="AG469" t="s">
        <v>2888</v>
      </c>
      <c r="AH469">
        <v>137</v>
      </c>
      <c r="AI469" s="2" t="str">
        <f t="shared" si="35"/>
        <v>Independent</v>
      </c>
      <c r="AJ469" s="2" t="str">
        <f t="shared" si="36"/>
        <v>NO</v>
      </c>
      <c r="AK469" s="1" t="str">
        <f t="shared" si="37"/>
        <v>None</v>
      </c>
      <c r="AL469" s="1" t="str">
        <f t="shared" si="38"/>
        <v>1 Toilet</v>
      </c>
      <c r="AM469" s="1" t="str">
        <f t="shared" si="39"/>
        <v>YES</v>
      </c>
      <c r="AN469" s="1" t="str">
        <f>VLOOKUP(J469, 'Regions and Cities'!A:B, 2, FALSE)</f>
        <v>Uusimaa</v>
      </c>
    </row>
    <row r="470" spans="1:40" x14ac:dyDescent="0.3">
      <c r="A470" t="s">
        <v>4280</v>
      </c>
      <c r="B470" t="s">
        <v>4281</v>
      </c>
      <c r="C470" t="s">
        <v>4282</v>
      </c>
      <c r="D470" t="s">
        <v>4283</v>
      </c>
      <c r="E470" t="s">
        <v>4284</v>
      </c>
      <c r="F470" t="s">
        <v>4285</v>
      </c>
      <c r="H470">
        <v>70.5</v>
      </c>
      <c r="I470" t="s">
        <v>109</v>
      </c>
      <c r="J470" t="s">
        <v>364</v>
      </c>
      <c r="K470" t="s">
        <v>4286</v>
      </c>
      <c r="L470" t="s">
        <v>4287</v>
      </c>
      <c r="M470" t="s">
        <v>37</v>
      </c>
      <c r="N470" t="s">
        <v>4288</v>
      </c>
      <c r="O470" t="s">
        <v>4289</v>
      </c>
      <c r="R470" t="s">
        <v>37</v>
      </c>
      <c r="S470" t="s">
        <v>37</v>
      </c>
      <c r="T470">
        <v>64.691649999999996</v>
      </c>
      <c r="U470" t="s">
        <v>4290</v>
      </c>
      <c r="V470" t="s">
        <v>4291</v>
      </c>
      <c r="W470">
        <v>24.537310000000002</v>
      </c>
      <c r="X470">
        <v>159000</v>
      </c>
      <c r="Y470" t="s">
        <v>83</v>
      </c>
      <c r="AA470" t="s">
        <v>54</v>
      </c>
      <c r="AB470" t="s">
        <v>39</v>
      </c>
      <c r="AC470" t="s">
        <v>480</v>
      </c>
      <c r="AD470" t="s">
        <v>46</v>
      </c>
      <c r="AE470" t="s">
        <v>4292</v>
      </c>
      <c r="AF470" t="s">
        <v>4293</v>
      </c>
      <c r="AG470" t="s">
        <v>4294</v>
      </c>
      <c r="AH470">
        <v>95.5</v>
      </c>
      <c r="AI470" s="2" t="str">
        <f t="shared" si="35"/>
        <v>Independent</v>
      </c>
      <c r="AJ470" s="2" t="str">
        <f t="shared" si="36"/>
        <v>NO</v>
      </c>
      <c r="AK470" s="1" t="str">
        <f t="shared" si="37"/>
        <v>None</v>
      </c>
      <c r="AL470" s="1" t="str">
        <f t="shared" si="38"/>
        <v>1 Toilet</v>
      </c>
      <c r="AM470" s="1" t="str">
        <f t="shared" si="39"/>
        <v>YES</v>
      </c>
      <c r="AN470" s="1" t="str">
        <f>VLOOKUP(J470, 'Regions and Cities'!A:B, 2, FALSE)</f>
        <v>Pohjois-Pohjanmaa</v>
      </c>
    </row>
    <row r="471" spans="1:40" x14ac:dyDescent="0.3">
      <c r="A471" t="s">
        <v>5769</v>
      </c>
      <c r="B471" t="s">
        <v>5770</v>
      </c>
      <c r="C471" t="s">
        <v>2241</v>
      </c>
      <c r="D471" t="s">
        <v>5771</v>
      </c>
      <c r="E471" t="s">
        <v>5772</v>
      </c>
      <c r="H471">
        <v>161</v>
      </c>
      <c r="I471" t="s">
        <v>125</v>
      </c>
      <c r="J471" t="s">
        <v>192</v>
      </c>
      <c r="K471" t="s">
        <v>2245</v>
      </c>
      <c r="L471" t="s">
        <v>5773</v>
      </c>
      <c r="M471" t="s">
        <v>37</v>
      </c>
      <c r="N471" t="s">
        <v>5774</v>
      </c>
      <c r="O471" t="s">
        <v>5775</v>
      </c>
      <c r="R471" t="s">
        <v>37</v>
      </c>
      <c r="S471" t="s">
        <v>37</v>
      </c>
      <c r="T471">
        <v>60.381630000000001</v>
      </c>
      <c r="U471" t="s">
        <v>5776</v>
      </c>
      <c r="V471" t="s">
        <v>5777</v>
      </c>
      <c r="W471">
        <v>25.08764</v>
      </c>
      <c r="X471">
        <v>643000</v>
      </c>
      <c r="Y471" t="s">
        <v>5778</v>
      </c>
      <c r="AA471" t="s">
        <v>63</v>
      </c>
      <c r="AB471" t="s">
        <v>39</v>
      </c>
      <c r="AC471" t="s">
        <v>480</v>
      </c>
      <c r="AD471" t="s">
        <v>55</v>
      </c>
      <c r="AE471" t="s">
        <v>5779</v>
      </c>
      <c r="AF471" t="s">
        <v>5780</v>
      </c>
      <c r="AG471" t="s">
        <v>5781</v>
      </c>
      <c r="AH471">
        <v>245</v>
      </c>
      <c r="AI471" s="2" t="str">
        <f t="shared" si="35"/>
        <v>Independent</v>
      </c>
      <c r="AJ471" s="2" t="str">
        <f t="shared" si="36"/>
        <v>YES</v>
      </c>
      <c r="AK471" s="1" t="str">
        <f t="shared" si="37"/>
        <v>None</v>
      </c>
      <c r="AL471" s="1" t="str">
        <f t="shared" si="38"/>
        <v>1 Toilet</v>
      </c>
      <c r="AM471" s="1" t="str">
        <f t="shared" si="39"/>
        <v>NO</v>
      </c>
      <c r="AN471" s="1" t="str">
        <f>VLOOKUP(J471, 'Regions and Cities'!A:B, 2, FALSE)</f>
        <v>Uusimaa</v>
      </c>
    </row>
    <row r="472" spans="1:40" x14ac:dyDescent="0.3">
      <c r="A472" t="s">
        <v>7851</v>
      </c>
      <c r="B472" t="s">
        <v>7852</v>
      </c>
      <c r="C472" t="s">
        <v>5825</v>
      </c>
      <c r="D472" t="s">
        <v>5595</v>
      </c>
      <c r="E472" t="s">
        <v>5596</v>
      </c>
      <c r="F472" t="s">
        <v>105</v>
      </c>
      <c r="G472" t="s">
        <v>7853</v>
      </c>
      <c r="H472">
        <v>130</v>
      </c>
      <c r="I472" t="s">
        <v>1858</v>
      </c>
      <c r="J472" t="s">
        <v>265</v>
      </c>
      <c r="K472" t="s">
        <v>5826</v>
      </c>
      <c r="L472" t="s">
        <v>7854</v>
      </c>
      <c r="M472" t="s">
        <v>111</v>
      </c>
      <c r="N472" t="s">
        <v>7855</v>
      </c>
      <c r="O472" t="s">
        <v>7856</v>
      </c>
      <c r="P472" t="s">
        <v>7857</v>
      </c>
      <c r="R472" t="s">
        <v>37</v>
      </c>
      <c r="S472" t="s">
        <v>37</v>
      </c>
      <c r="T472">
        <v>65.102723999999995</v>
      </c>
      <c r="U472" t="s">
        <v>7858</v>
      </c>
      <c r="V472" t="s">
        <v>7859</v>
      </c>
      <c r="W472">
        <v>25.415150000000001</v>
      </c>
      <c r="X472">
        <v>219000</v>
      </c>
      <c r="Y472" t="s">
        <v>115</v>
      </c>
      <c r="AA472" t="s">
        <v>63</v>
      </c>
      <c r="AB472" t="s">
        <v>39</v>
      </c>
      <c r="AC472" t="s">
        <v>6510</v>
      </c>
      <c r="AD472" t="s">
        <v>55</v>
      </c>
      <c r="AE472" t="s">
        <v>7860</v>
      </c>
      <c r="AF472" t="s">
        <v>7861</v>
      </c>
      <c r="AG472" t="s">
        <v>7862</v>
      </c>
      <c r="AH472">
        <v>144</v>
      </c>
      <c r="AI472" s="2" t="str">
        <f t="shared" si="35"/>
        <v>Independent</v>
      </c>
      <c r="AJ472" s="2" t="str">
        <f t="shared" si="36"/>
        <v>NO</v>
      </c>
      <c r="AK472" s="1" t="str">
        <f t="shared" si="37"/>
        <v>None</v>
      </c>
      <c r="AL472" s="1" t="str">
        <f t="shared" si="38"/>
        <v>1 Toilet</v>
      </c>
      <c r="AM472" s="1" t="str">
        <f t="shared" si="39"/>
        <v>YES</v>
      </c>
      <c r="AN472" s="1" t="str">
        <f>VLOOKUP(J472, 'Regions and Cities'!A:B, 2, FALSE)</f>
        <v>Pohjois-Pohjanmaa</v>
      </c>
    </row>
    <row r="473" spans="1:40" x14ac:dyDescent="0.3">
      <c r="A473" t="s">
        <v>6800</v>
      </c>
      <c r="B473" t="s">
        <v>6801</v>
      </c>
      <c r="C473" t="s">
        <v>6672</v>
      </c>
      <c r="D473" t="s">
        <v>1946</v>
      </c>
      <c r="E473" t="s">
        <v>1947</v>
      </c>
      <c r="F473" t="s">
        <v>1948</v>
      </c>
      <c r="H473">
        <v>61.6</v>
      </c>
      <c r="I473" t="s">
        <v>2696</v>
      </c>
      <c r="J473" t="s">
        <v>137</v>
      </c>
      <c r="K473" t="s">
        <v>6673</v>
      </c>
      <c r="L473" t="s">
        <v>6802</v>
      </c>
      <c r="M473" t="s">
        <v>37</v>
      </c>
      <c r="N473" t="s">
        <v>6803</v>
      </c>
      <c r="O473" t="s">
        <v>6804</v>
      </c>
      <c r="R473" t="s">
        <v>37</v>
      </c>
      <c r="S473" t="s">
        <v>37</v>
      </c>
      <c r="T473">
        <v>60.19652</v>
      </c>
      <c r="U473" t="s">
        <v>6805</v>
      </c>
      <c r="V473" t="s">
        <v>6806</v>
      </c>
      <c r="W473">
        <v>24.899483</v>
      </c>
      <c r="X473">
        <v>338000</v>
      </c>
      <c r="Y473" t="s">
        <v>3131</v>
      </c>
      <c r="AA473" t="s">
        <v>38</v>
      </c>
      <c r="AB473" t="s">
        <v>39</v>
      </c>
      <c r="AC473" t="s">
        <v>6510</v>
      </c>
      <c r="AD473" t="s">
        <v>40</v>
      </c>
      <c r="AE473" t="s">
        <v>6807</v>
      </c>
      <c r="AF473" t="s">
        <v>6808</v>
      </c>
      <c r="AG473" t="s">
        <v>6809</v>
      </c>
      <c r="AH473">
        <v>61.6</v>
      </c>
      <c r="AI473" s="2" t="str">
        <f t="shared" si="35"/>
        <v>Kitchenette</v>
      </c>
      <c r="AJ473" s="2" t="str">
        <f t="shared" si="36"/>
        <v>NO</v>
      </c>
      <c r="AK473" s="1" t="str">
        <f t="shared" si="37"/>
        <v>None</v>
      </c>
      <c r="AL473" s="1" t="str">
        <f t="shared" si="38"/>
        <v>1 Toilet</v>
      </c>
      <c r="AM473" s="1" t="str">
        <f t="shared" si="39"/>
        <v>NO</v>
      </c>
      <c r="AN473" s="1" t="str">
        <f>VLOOKUP(J473, 'Regions and Cities'!A:B, 2, FALSE)</f>
        <v>Uusimaa</v>
      </c>
    </row>
    <row r="474" spans="1:40" x14ac:dyDescent="0.3">
      <c r="A474" t="s">
        <v>6998</v>
      </c>
      <c r="B474" t="s">
        <v>6999</v>
      </c>
      <c r="C474" t="s">
        <v>4324</v>
      </c>
      <c r="D474" t="s">
        <v>1445</v>
      </c>
      <c r="E474" t="s">
        <v>1446</v>
      </c>
      <c r="F474" t="s">
        <v>105</v>
      </c>
      <c r="G474" t="s">
        <v>7000</v>
      </c>
      <c r="H474">
        <v>42.5</v>
      </c>
      <c r="I474" t="s">
        <v>35</v>
      </c>
      <c r="J474" t="s">
        <v>73</v>
      </c>
      <c r="K474" t="s">
        <v>4325</v>
      </c>
      <c r="L474" t="s">
        <v>7001</v>
      </c>
      <c r="M474" t="s">
        <v>37</v>
      </c>
      <c r="N474" t="s">
        <v>7002</v>
      </c>
      <c r="O474" t="s">
        <v>7003</v>
      </c>
      <c r="P474" t="s">
        <v>7004</v>
      </c>
      <c r="R474" t="s">
        <v>37</v>
      </c>
      <c r="S474" t="s">
        <v>37</v>
      </c>
      <c r="T474">
        <v>62.252482999999998</v>
      </c>
      <c r="U474" t="s">
        <v>7005</v>
      </c>
      <c r="V474" t="s">
        <v>7006</v>
      </c>
      <c r="W474">
        <v>25.755547</v>
      </c>
      <c r="X474">
        <v>169000</v>
      </c>
      <c r="Y474" t="s">
        <v>1088</v>
      </c>
      <c r="AA474" t="s">
        <v>38</v>
      </c>
      <c r="AB474" t="s">
        <v>39</v>
      </c>
      <c r="AC474" t="s">
        <v>6510</v>
      </c>
      <c r="AD474" t="s">
        <v>40</v>
      </c>
      <c r="AE474" t="s">
        <v>7007</v>
      </c>
      <c r="AF474" t="s">
        <v>7008</v>
      </c>
      <c r="AG474" t="s">
        <v>7009</v>
      </c>
      <c r="AH474">
        <v>42.5</v>
      </c>
      <c r="AI474" s="2" t="str">
        <f t="shared" si="35"/>
        <v>Open</v>
      </c>
      <c r="AJ474" s="2" t="str">
        <f t="shared" si="36"/>
        <v>NO</v>
      </c>
      <c r="AK474" s="1" t="str">
        <f t="shared" si="37"/>
        <v>Glazed Balcony</v>
      </c>
      <c r="AL474" s="1" t="str">
        <f t="shared" si="38"/>
        <v>1 Toilet</v>
      </c>
      <c r="AM474" s="1" t="str">
        <f t="shared" si="39"/>
        <v>NO</v>
      </c>
      <c r="AN474" s="1" t="str">
        <f>VLOOKUP(J474, 'Regions and Cities'!A:B, 2, FALSE)</f>
        <v>Keski-Suomi</v>
      </c>
    </row>
    <row r="475" spans="1:40" x14ac:dyDescent="0.3">
      <c r="A475" t="s">
        <v>6303</v>
      </c>
      <c r="B475" t="s">
        <v>6304</v>
      </c>
      <c r="C475" t="s">
        <v>6305</v>
      </c>
      <c r="D475" t="s">
        <v>178</v>
      </c>
      <c r="E475" t="s">
        <v>179</v>
      </c>
      <c r="F475" t="s">
        <v>180</v>
      </c>
      <c r="H475">
        <v>46.5</v>
      </c>
      <c r="I475" t="s">
        <v>183</v>
      </c>
      <c r="J475" t="s">
        <v>418</v>
      </c>
      <c r="K475" t="s">
        <v>6306</v>
      </c>
      <c r="L475" t="s">
        <v>6307</v>
      </c>
      <c r="M475" t="s">
        <v>37</v>
      </c>
      <c r="N475" t="s">
        <v>6308</v>
      </c>
      <c r="O475" t="s">
        <v>6309</v>
      </c>
      <c r="R475" t="s">
        <v>37</v>
      </c>
      <c r="S475" t="s">
        <v>37</v>
      </c>
      <c r="T475">
        <v>61.070099999999996</v>
      </c>
      <c r="U475" t="s">
        <v>6310</v>
      </c>
      <c r="V475" t="s">
        <v>6311</v>
      </c>
      <c r="W475">
        <v>28.174399999999999</v>
      </c>
      <c r="X475">
        <v>25112.48</v>
      </c>
      <c r="Y475" t="s">
        <v>6312</v>
      </c>
      <c r="AA475" t="s">
        <v>38</v>
      </c>
      <c r="AB475" t="s">
        <v>39</v>
      </c>
      <c r="AC475" t="s">
        <v>480</v>
      </c>
      <c r="AD475" t="s">
        <v>40</v>
      </c>
      <c r="AE475" t="s">
        <v>165</v>
      </c>
      <c r="AF475" t="s">
        <v>6313</v>
      </c>
      <c r="AG475" t="s">
        <v>6314</v>
      </c>
      <c r="AH475"/>
      <c r="AI475" s="2" t="str">
        <f t="shared" si="35"/>
        <v>Independent</v>
      </c>
      <c r="AJ475" s="2" t="str">
        <f t="shared" si="36"/>
        <v>YES</v>
      </c>
      <c r="AK475" s="1" t="str">
        <f t="shared" si="37"/>
        <v>None</v>
      </c>
      <c r="AL475" s="1" t="str">
        <f t="shared" si="38"/>
        <v>1 Toilet</v>
      </c>
      <c r="AM475" s="1" t="str">
        <f t="shared" si="39"/>
        <v>NO</v>
      </c>
      <c r="AN475" s="1" t="str">
        <f>VLOOKUP(J475, 'Regions and Cities'!A:B, 2, FALSE)</f>
        <v>Etelä-Karjala</v>
      </c>
    </row>
    <row r="476" spans="1:40" x14ac:dyDescent="0.3">
      <c r="A476" t="s">
        <v>2961</v>
      </c>
      <c r="B476" t="s">
        <v>2962</v>
      </c>
      <c r="C476" t="s">
        <v>2963</v>
      </c>
      <c r="D476" t="s">
        <v>2964</v>
      </c>
      <c r="E476" t="s">
        <v>2965</v>
      </c>
      <c r="F476" t="s">
        <v>2966</v>
      </c>
      <c r="H476">
        <v>136</v>
      </c>
      <c r="I476" t="s">
        <v>296</v>
      </c>
      <c r="J476" t="s">
        <v>387</v>
      </c>
      <c r="K476" t="s">
        <v>2967</v>
      </c>
      <c r="L476" t="s">
        <v>2968</v>
      </c>
      <c r="M476" t="s">
        <v>37</v>
      </c>
      <c r="N476" t="s">
        <v>2969</v>
      </c>
      <c r="O476" t="s">
        <v>2970</v>
      </c>
      <c r="R476" t="s">
        <v>37</v>
      </c>
      <c r="S476" t="s">
        <v>37</v>
      </c>
      <c r="T476">
        <v>61.383997999999998</v>
      </c>
      <c r="U476" t="s">
        <v>2971</v>
      </c>
      <c r="V476" t="s">
        <v>2972</v>
      </c>
      <c r="W476">
        <v>21.961703</v>
      </c>
      <c r="X476">
        <v>59000</v>
      </c>
      <c r="Y476" t="s">
        <v>544</v>
      </c>
      <c r="AA476" t="s">
        <v>63</v>
      </c>
      <c r="AB476" t="s">
        <v>39</v>
      </c>
      <c r="AC476" t="s">
        <v>2973</v>
      </c>
      <c r="AD476" t="s">
        <v>55</v>
      </c>
      <c r="AE476" t="s">
        <v>2974</v>
      </c>
      <c r="AF476" t="s">
        <v>2975</v>
      </c>
      <c r="AG476" t="s">
        <v>2976</v>
      </c>
      <c r="AH476">
        <v>184</v>
      </c>
      <c r="AI476" s="2" t="str">
        <f t="shared" si="35"/>
        <v>Independent</v>
      </c>
      <c r="AJ476" s="2" t="str">
        <f t="shared" si="36"/>
        <v>YES</v>
      </c>
      <c r="AK476" s="1" t="str">
        <f t="shared" si="37"/>
        <v>None</v>
      </c>
      <c r="AL476" s="1" t="str">
        <f t="shared" si="38"/>
        <v>1 Toilet</v>
      </c>
      <c r="AM476" s="1" t="str">
        <f t="shared" si="39"/>
        <v>NO</v>
      </c>
      <c r="AN476" s="1" t="str">
        <f>VLOOKUP(J476, 'Regions and Cities'!A:B, 2, FALSE)</f>
        <v>Satakunta</v>
      </c>
    </row>
    <row r="477" spans="1:40" x14ac:dyDescent="0.3">
      <c r="A477" t="s">
        <v>3344</v>
      </c>
      <c r="B477" t="s">
        <v>3345</v>
      </c>
      <c r="C477" t="s">
        <v>3346</v>
      </c>
      <c r="D477" t="s">
        <v>3347</v>
      </c>
      <c r="E477" t="s">
        <v>3348</v>
      </c>
      <c r="F477" t="s">
        <v>105</v>
      </c>
      <c r="G477" t="s">
        <v>3349</v>
      </c>
      <c r="H477">
        <v>43</v>
      </c>
      <c r="I477" t="s">
        <v>216</v>
      </c>
      <c r="J477" t="s">
        <v>139</v>
      </c>
      <c r="K477" t="s">
        <v>3350</v>
      </c>
      <c r="L477" t="s">
        <v>3351</v>
      </c>
      <c r="M477" t="s">
        <v>37</v>
      </c>
      <c r="N477" t="s">
        <v>3352</v>
      </c>
      <c r="O477" t="s">
        <v>3353</v>
      </c>
      <c r="P477" t="s">
        <v>3354</v>
      </c>
      <c r="Q477" t="s">
        <v>3355</v>
      </c>
      <c r="R477" t="s">
        <v>37</v>
      </c>
      <c r="S477" t="s">
        <v>37</v>
      </c>
      <c r="T477">
        <v>61.499468</v>
      </c>
      <c r="U477" t="s">
        <v>3356</v>
      </c>
      <c r="V477" t="s">
        <v>3357</v>
      </c>
      <c r="W477">
        <v>23.777231</v>
      </c>
      <c r="X477">
        <v>140000</v>
      </c>
      <c r="Y477" t="s">
        <v>3358</v>
      </c>
      <c r="AA477" t="s">
        <v>38</v>
      </c>
      <c r="AB477" t="s">
        <v>39</v>
      </c>
      <c r="AC477" t="s">
        <v>480</v>
      </c>
      <c r="AD477" t="s">
        <v>40</v>
      </c>
      <c r="AE477" t="s">
        <v>3359</v>
      </c>
      <c r="AF477" t="s">
        <v>3360</v>
      </c>
      <c r="AG477" t="s">
        <v>3361</v>
      </c>
      <c r="AH477">
        <v>43</v>
      </c>
      <c r="AI477" s="2" t="str">
        <f t="shared" si="35"/>
        <v>Kitchenette</v>
      </c>
      <c r="AJ477" s="2" t="str">
        <f t="shared" si="36"/>
        <v>NO</v>
      </c>
      <c r="AK477" s="1" t="str">
        <f t="shared" si="37"/>
        <v>None</v>
      </c>
      <c r="AL477" s="1" t="str">
        <f t="shared" si="38"/>
        <v>1 Toilet</v>
      </c>
      <c r="AM477" s="1" t="str">
        <f t="shared" si="39"/>
        <v>YES</v>
      </c>
      <c r="AN477" s="1" t="str">
        <f>VLOOKUP(J477, 'Regions and Cities'!A:B, 2, FALSE)</f>
        <v>Pirkanmaa</v>
      </c>
    </row>
    <row r="478" spans="1:40" x14ac:dyDescent="0.3">
      <c r="A478" t="s">
        <v>2487</v>
      </c>
      <c r="B478" t="s">
        <v>2488</v>
      </c>
      <c r="C478" t="s">
        <v>2489</v>
      </c>
      <c r="D478" t="s">
        <v>2353</v>
      </c>
      <c r="E478" t="s">
        <v>2354</v>
      </c>
      <c r="F478" t="s">
        <v>2355</v>
      </c>
      <c r="G478" t="s">
        <v>2490</v>
      </c>
      <c r="H478">
        <v>100.5</v>
      </c>
      <c r="I478" t="s">
        <v>454</v>
      </c>
      <c r="J478" t="s">
        <v>73</v>
      </c>
      <c r="K478" t="s">
        <v>2491</v>
      </c>
      <c r="L478" t="s">
        <v>2492</v>
      </c>
      <c r="M478" t="s">
        <v>37</v>
      </c>
      <c r="N478" t="s">
        <v>2493</v>
      </c>
      <c r="O478" t="s">
        <v>2494</v>
      </c>
      <c r="P478" t="s">
        <v>2495</v>
      </c>
      <c r="R478" t="s">
        <v>37</v>
      </c>
      <c r="S478" t="s">
        <v>37</v>
      </c>
      <c r="T478">
        <v>62.221440000000001</v>
      </c>
      <c r="U478" t="s">
        <v>2496</v>
      </c>
      <c r="V478" t="s">
        <v>2497</v>
      </c>
      <c r="W478">
        <v>25.712019999999999</v>
      </c>
      <c r="X478">
        <v>269000</v>
      </c>
      <c r="Y478" t="s">
        <v>1145</v>
      </c>
      <c r="AA478" t="s">
        <v>54</v>
      </c>
      <c r="AB478" t="s">
        <v>39</v>
      </c>
      <c r="AC478" t="s">
        <v>2498</v>
      </c>
      <c r="AD478" t="s">
        <v>46</v>
      </c>
      <c r="AE478" t="s">
        <v>2499</v>
      </c>
      <c r="AF478" t="s">
        <v>2500</v>
      </c>
      <c r="AG478" t="s">
        <v>2501</v>
      </c>
      <c r="AH478">
        <v>100.5</v>
      </c>
      <c r="AI478" s="2" t="str">
        <f t="shared" si="35"/>
        <v>Independent</v>
      </c>
      <c r="AJ478" s="2" t="str">
        <f t="shared" si="36"/>
        <v>NO</v>
      </c>
      <c r="AK478" s="1" t="str">
        <f t="shared" si="37"/>
        <v>Glazed Balcony</v>
      </c>
      <c r="AL478" s="1" t="str">
        <f t="shared" si="38"/>
        <v>1 Toilet</v>
      </c>
      <c r="AM478" s="1" t="str">
        <f t="shared" si="39"/>
        <v>NO</v>
      </c>
      <c r="AN478" s="1" t="str">
        <f>VLOOKUP(J478, 'Regions and Cities'!A:B, 2, FALSE)</f>
        <v>Keski-Suomi</v>
      </c>
    </row>
    <row r="479" spans="1:40" x14ac:dyDescent="0.3">
      <c r="A479" t="s">
        <v>9695</v>
      </c>
      <c r="B479" t="s">
        <v>9696</v>
      </c>
      <c r="C479" t="s">
        <v>9697</v>
      </c>
      <c r="D479" t="s">
        <v>1357</v>
      </c>
      <c r="E479" t="s">
        <v>1358</v>
      </c>
      <c r="F479" t="s">
        <v>105</v>
      </c>
      <c r="H479">
        <v>162</v>
      </c>
      <c r="I479" t="s">
        <v>9698</v>
      </c>
      <c r="J479" t="s">
        <v>139</v>
      </c>
      <c r="K479" t="s">
        <v>9699</v>
      </c>
      <c r="L479" t="s">
        <v>9700</v>
      </c>
      <c r="M479" t="s">
        <v>37</v>
      </c>
      <c r="N479" t="s">
        <v>9701</v>
      </c>
      <c r="O479" t="s">
        <v>9702</v>
      </c>
      <c r="R479" t="s">
        <v>37</v>
      </c>
      <c r="S479" t="s">
        <v>37</v>
      </c>
      <c r="T479">
        <v>61.506295999999999</v>
      </c>
      <c r="U479" t="s">
        <v>9703</v>
      </c>
      <c r="V479" t="s">
        <v>9704</v>
      </c>
      <c r="W479">
        <v>23.703392000000001</v>
      </c>
      <c r="X479">
        <v>520000</v>
      </c>
      <c r="Y479" t="s">
        <v>9332</v>
      </c>
      <c r="AA479" t="s">
        <v>63</v>
      </c>
      <c r="AB479" t="s">
        <v>39</v>
      </c>
      <c r="AC479" t="s">
        <v>6510</v>
      </c>
      <c r="AD479" t="s">
        <v>75</v>
      </c>
      <c r="AE479" t="s">
        <v>9705</v>
      </c>
      <c r="AF479" t="s">
        <v>9706</v>
      </c>
      <c r="AG479" t="s">
        <v>9707</v>
      </c>
      <c r="AH479">
        <v>188</v>
      </c>
      <c r="AI479" s="2" t="str">
        <f t="shared" si="35"/>
        <v>Kitchenette</v>
      </c>
      <c r="AJ479" s="2" t="str">
        <f t="shared" si="36"/>
        <v>NO</v>
      </c>
      <c r="AK479" s="1" t="str">
        <f t="shared" si="37"/>
        <v>None</v>
      </c>
      <c r="AL479" s="1" t="str">
        <f t="shared" si="38"/>
        <v>1 Toilet</v>
      </c>
      <c r="AM479" s="1" t="str">
        <f t="shared" si="39"/>
        <v>NO</v>
      </c>
      <c r="AN479" s="1" t="str">
        <f>VLOOKUP(J479, 'Regions and Cities'!A:B, 2, FALSE)</f>
        <v>Pirkanmaa</v>
      </c>
    </row>
    <row r="480" spans="1:40" x14ac:dyDescent="0.3">
      <c r="A480" t="s">
        <v>6922</v>
      </c>
      <c r="B480" t="s">
        <v>6923</v>
      </c>
      <c r="C480" t="s">
        <v>6924</v>
      </c>
      <c r="H480">
        <v>120</v>
      </c>
      <c r="I480" t="s">
        <v>106</v>
      </c>
      <c r="J480" t="s">
        <v>422</v>
      </c>
      <c r="K480" t="s">
        <v>6925</v>
      </c>
      <c r="L480" t="s">
        <v>6926</v>
      </c>
      <c r="M480" t="s">
        <v>37</v>
      </c>
      <c r="N480" t="s">
        <v>6927</v>
      </c>
      <c r="O480" t="s">
        <v>6928</v>
      </c>
      <c r="R480" t="s">
        <v>37</v>
      </c>
      <c r="S480" t="s">
        <v>111</v>
      </c>
      <c r="T480">
        <v>62.052379999999999</v>
      </c>
      <c r="U480" t="s">
        <v>6929</v>
      </c>
      <c r="V480" t="s">
        <v>6930</v>
      </c>
      <c r="W480">
        <v>29.418579000000001</v>
      </c>
      <c r="X480">
        <v>46000</v>
      </c>
      <c r="Y480" t="s">
        <v>1711</v>
      </c>
      <c r="Z480" t="s">
        <v>6931</v>
      </c>
      <c r="AA480" t="s">
        <v>63</v>
      </c>
      <c r="AB480" t="s">
        <v>39</v>
      </c>
      <c r="AC480" t="s">
        <v>6510</v>
      </c>
      <c r="AD480" t="s">
        <v>75</v>
      </c>
      <c r="AE480" t="s">
        <v>6932</v>
      </c>
      <c r="AF480" t="s">
        <v>6933</v>
      </c>
      <c r="AG480" t="s">
        <v>6934</v>
      </c>
      <c r="AH480"/>
      <c r="AI480" s="2" t="str">
        <f t="shared" si="35"/>
        <v>Independent</v>
      </c>
      <c r="AJ480" s="2" t="str">
        <f t="shared" si="36"/>
        <v>YES</v>
      </c>
      <c r="AK480" s="1" t="str">
        <f t="shared" si="37"/>
        <v>None</v>
      </c>
      <c r="AL480" s="1" t="str">
        <f t="shared" si="38"/>
        <v>1 Toilet</v>
      </c>
      <c r="AM480" s="1" t="str">
        <f t="shared" si="39"/>
        <v>NO</v>
      </c>
      <c r="AN480" s="1" t="str">
        <f>VLOOKUP(J480, 'Regions and Cities'!A:B, 2, FALSE)</f>
        <v>Etelä-Savo</v>
      </c>
    </row>
    <row r="481" spans="1:40" x14ac:dyDescent="0.3">
      <c r="A481" t="s">
        <v>6622</v>
      </c>
      <c r="B481" t="s">
        <v>6623</v>
      </c>
      <c r="C481" t="s">
        <v>6624</v>
      </c>
      <c r="D481" t="s">
        <v>6625</v>
      </c>
      <c r="E481" t="s">
        <v>6626</v>
      </c>
      <c r="F481" t="s">
        <v>1032</v>
      </c>
      <c r="G481" t="s">
        <v>6627</v>
      </c>
      <c r="H481">
        <v>119</v>
      </c>
      <c r="I481" t="s">
        <v>219</v>
      </c>
      <c r="J481" t="s">
        <v>418</v>
      </c>
      <c r="K481" t="s">
        <v>6628</v>
      </c>
      <c r="L481" t="s">
        <v>6629</v>
      </c>
      <c r="M481" t="s">
        <v>37</v>
      </c>
      <c r="N481" t="s">
        <v>6630</v>
      </c>
      <c r="O481" t="s">
        <v>6631</v>
      </c>
      <c r="P481" t="s">
        <v>6632</v>
      </c>
      <c r="Q481" t="s">
        <v>6633</v>
      </c>
      <c r="R481" t="s">
        <v>37</v>
      </c>
      <c r="S481" t="s">
        <v>37</v>
      </c>
      <c r="T481">
        <v>61.068041999999998</v>
      </c>
      <c r="U481" t="s">
        <v>6634</v>
      </c>
      <c r="V481" t="s">
        <v>6635</v>
      </c>
      <c r="W481">
        <v>28.314146000000001</v>
      </c>
      <c r="X481">
        <v>125000</v>
      </c>
      <c r="Y481" t="s">
        <v>6636</v>
      </c>
      <c r="AA481" t="s">
        <v>63</v>
      </c>
      <c r="AB481" t="s">
        <v>39</v>
      </c>
      <c r="AC481" t="s">
        <v>6510</v>
      </c>
      <c r="AD481" t="s">
        <v>75</v>
      </c>
      <c r="AE481" t="s">
        <v>6637</v>
      </c>
      <c r="AF481" t="s">
        <v>6638</v>
      </c>
      <c r="AG481" t="s">
        <v>6639</v>
      </c>
      <c r="AH481">
        <v>139</v>
      </c>
      <c r="AI481" s="2" t="str">
        <f t="shared" si="35"/>
        <v>Independent</v>
      </c>
      <c r="AJ481" s="2" t="str">
        <f t="shared" si="36"/>
        <v>NO</v>
      </c>
      <c r="AK481" s="1" t="str">
        <f t="shared" si="37"/>
        <v>None</v>
      </c>
      <c r="AL481" s="1" t="str">
        <f t="shared" si="38"/>
        <v>1 Toilet</v>
      </c>
      <c r="AM481" s="1" t="str">
        <f t="shared" si="39"/>
        <v>YES</v>
      </c>
      <c r="AN481" s="1" t="str">
        <f>VLOOKUP(J481, 'Regions and Cities'!A:B, 2, FALSE)</f>
        <v>Etelä-Karjala</v>
      </c>
    </row>
    <row r="482" spans="1:40" x14ac:dyDescent="0.3">
      <c r="A482" t="s">
        <v>6682</v>
      </c>
      <c r="B482" t="s">
        <v>6683</v>
      </c>
      <c r="C482" t="s">
        <v>3755</v>
      </c>
      <c r="D482" t="s">
        <v>6684</v>
      </c>
      <c r="E482" t="s">
        <v>6685</v>
      </c>
      <c r="F482" t="s">
        <v>105</v>
      </c>
      <c r="G482" t="s">
        <v>6686</v>
      </c>
      <c r="H482">
        <v>37</v>
      </c>
      <c r="I482" t="s">
        <v>3712</v>
      </c>
      <c r="J482" t="s">
        <v>392</v>
      </c>
      <c r="K482" t="s">
        <v>131</v>
      </c>
      <c r="L482" t="s">
        <v>6687</v>
      </c>
      <c r="M482" t="s">
        <v>37</v>
      </c>
      <c r="N482" t="s">
        <v>6688</v>
      </c>
      <c r="O482" t="s">
        <v>6689</v>
      </c>
      <c r="P482" t="s">
        <v>6690</v>
      </c>
      <c r="R482" t="s">
        <v>37</v>
      </c>
      <c r="S482" t="s">
        <v>37</v>
      </c>
      <c r="T482">
        <v>63.095167000000004</v>
      </c>
      <c r="U482" t="s">
        <v>6691</v>
      </c>
      <c r="V482" t="s">
        <v>6692</v>
      </c>
      <c r="W482">
        <v>21.620176000000001</v>
      </c>
      <c r="X482">
        <v>178000</v>
      </c>
      <c r="Y482" t="s">
        <v>6693</v>
      </c>
      <c r="AA482" t="s">
        <v>38</v>
      </c>
      <c r="AB482" t="s">
        <v>39</v>
      </c>
      <c r="AC482" t="s">
        <v>6510</v>
      </c>
      <c r="AD482" t="s">
        <v>40</v>
      </c>
      <c r="AE482" t="s">
        <v>6694</v>
      </c>
      <c r="AF482" t="s">
        <v>6695</v>
      </c>
      <c r="AG482" t="s">
        <v>6696</v>
      </c>
      <c r="AH482">
        <v>37</v>
      </c>
      <c r="AI482" s="2" t="str">
        <f t="shared" si="35"/>
        <v>Open</v>
      </c>
      <c r="AJ482" s="2" t="str">
        <f t="shared" si="36"/>
        <v>NO</v>
      </c>
      <c r="AK482" s="1" t="str">
        <f t="shared" si="37"/>
        <v>Glazed Balcony</v>
      </c>
      <c r="AL482" s="1" t="str">
        <f t="shared" si="38"/>
        <v>1 Toilet</v>
      </c>
      <c r="AM482" s="1" t="str">
        <f t="shared" si="39"/>
        <v>NO</v>
      </c>
      <c r="AN482" s="1" t="str">
        <f>VLOOKUP(J482, 'Regions and Cities'!A:B, 2, FALSE)</f>
        <v>Pohjanmaa</v>
      </c>
    </row>
    <row r="483" spans="1:40" x14ac:dyDescent="0.3">
      <c r="A483" t="s">
        <v>4586</v>
      </c>
      <c r="B483" t="s">
        <v>4587</v>
      </c>
      <c r="C483" t="s">
        <v>4588</v>
      </c>
      <c r="D483" t="s">
        <v>4589</v>
      </c>
      <c r="E483" t="s">
        <v>4590</v>
      </c>
      <c r="F483" t="s">
        <v>187</v>
      </c>
      <c r="H483">
        <v>120</v>
      </c>
      <c r="I483" t="s">
        <v>2622</v>
      </c>
      <c r="J483" t="s">
        <v>367</v>
      </c>
      <c r="K483" t="s">
        <v>4591</v>
      </c>
      <c r="L483" t="s">
        <v>4592</v>
      </c>
      <c r="M483" t="s">
        <v>37</v>
      </c>
      <c r="N483" t="s">
        <v>4593</v>
      </c>
      <c r="O483" t="s">
        <v>4594</v>
      </c>
      <c r="R483" t="s">
        <v>37</v>
      </c>
      <c r="S483" t="s">
        <v>37</v>
      </c>
      <c r="T483">
        <v>60.410620000000002</v>
      </c>
      <c r="U483" t="s">
        <v>4595</v>
      </c>
      <c r="V483" t="s">
        <v>4596</v>
      </c>
      <c r="W483">
        <v>22.351130000000001</v>
      </c>
      <c r="X483">
        <v>278000</v>
      </c>
      <c r="Y483" t="s">
        <v>271</v>
      </c>
      <c r="AA483" t="s">
        <v>54</v>
      </c>
      <c r="AB483" t="s">
        <v>39</v>
      </c>
      <c r="AC483" t="s">
        <v>480</v>
      </c>
      <c r="AD483" t="s">
        <v>75</v>
      </c>
      <c r="AE483" t="s">
        <v>4597</v>
      </c>
      <c r="AF483" t="s">
        <v>4598</v>
      </c>
      <c r="AG483" t="s">
        <v>4599</v>
      </c>
      <c r="AH483">
        <v>170</v>
      </c>
      <c r="AI483" s="2" t="str">
        <f t="shared" si="35"/>
        <v>Independent</v>
      </c>
      <c r="AJ483" s="2" t="str">
        <f t="shared" si="36"/>
        <v>NO</v>
      </c>
      <c r="AK483" s="1" t="str">
        <f t="shared" si="37"/>
        <v>None</v>
      </c>
      <c r="AL483" s="1" t="str">
        <f t="shared" si="38"/>
        <v>1 Toilet</v>
      </c>
      <c r="AM483" s="1" t="str">
        <f t="shared" si="39"/>
        <v>YES</v>
      </c>
      <c r="AN483" s="1" t="str">
        <f>VLOOKUP(J483, 'Regions and Cities'!A:B, 2, FALSE)</f>
        <v>Varsinais-Suomi</v>
      </c>
    </row>
    <row r="484" spans="1:40" x14ac:dyDescent="0.3">
      <c r="A484" t="s">
        <v>7878</v>
      </c>
      <c r="B484" t="s">
        <v>7879</v>
      </c>
      <c r="C484" t="s">
        <v>194</v>
      </c>
      <c r="H484">
        <v>85.5</v>
      </c>
      <c r="I484" t="s">
        <v>294</v>
      </c>
      <c r="J484" t="s">
        <v>73</v>
      </c>
      <c r="K484" t="s">
        <v>195</v>
      </c>
      <c r="L484" t="s">
        <v>7880</v>
      </c>
      <c r="M484" t="s">
        <v>37</v>
      </c>
      <c r="N484" t="s">
        <v>7881</v>
      </c>
      <c r="O484" t="s">
        <v>7882</v>
      </c>
      <c r="R484" t="s">
        <v>37</v>
      </c>
      <c r="S484" t="s">
        <v>111</v>
      </c>
      <c r="T484">
        <v>62.289472000000004</v>
      </c>
      <c r="U484" t="s">
        <v>7883</v>
      </c>
      <c r="V484" t="s">
        <v>7884</v>
      </c>
      <c r="W484">
        <v>25.760095</v>
      </c>
      <c r="X484">
        <v>209000</v>
      </c>
      <c r="Y484" t="s">
        <v>1484</v>
      </c>
      <c r="Z484" t="s">
        <v>7885</v>
      </c>
      <c r="AA484" t="s">
        <v>45</v>
      </c>
      <c r="AB484" t="s">
        <v>39</v>
      </c>
      <c r="AC484" t="s">
        <v>6510</v>
      </c>
      <c r="AD484" t="s">
        <v>46</v>
      </c>
      <c r="AE484" t="s">
        <v>7886</v>
      </c>
      <c r="AF484" t="s">
        <v>7887</v>
      </c>
      <c r="AG484" t="s">
        <v>7888</v>
      </c>
      <c r="AH484"/>
      <c r="AI484" s="2" t="str">
        <f t="shared" si="35"/>
        <v>Independent</v>
      </c>
      <c r="AJ484" s="2" t="str">
        <f t="shared" si="36"/>
        <v>YES</v>
      </c>
      <c r="AK484" s="1" t="str">
        <f t="shared" si="37"/>
        <v>None</v>
      </c>
      <c r="AL484" s="1" t="str">
        <f t="shared" si="38"/>
        <v>1 Toilet</v>
      </c>
      <c r="AM484" s="1" t="str">
        <f t="shared" si="39"/>
        <v>YES</v>
      </c>
      <c r="AN484" s="1" t="str">
        <f>VLOOKUP(J484, 'Regions and Cities'!A:B, 2, FALSE)</f>
        <v>Keski-Suomi</v>
      </c>
    </row>
    <row r="485" spans="1:40" x14ac:dyDescent="0.3">
      <c r="A485" t="s">
        <v>3705</v>
      </c>
      <c r="B485" t="s">
        <v>3706</v>
      </c>
      <c r="C485" t="s">
        <v>3707</v>
      </c>
      <c r="D485" t="s">
        <v>3708</v>
      </c>
      <c r="E485" t="s">
        <v>3709</v>
      </c>
      <c r="F485" t="s">
        <v>3710</v>
      </c>
      <c r="G485" t="s">
        <v>3711</v>
      </c>
      <c r="H485">
        <v>104</v>
      </c>
      <c r="I485" t="s">
        <v>3712</v>
      </c>
      <c r="J485" t="s">
        <v>265</v>
      </c>
      <c r="K485" t="s">
        <v>3713</v>
      </c>
      <c r="L485" t="s">
        <v>3714</v>
      </c>
      <c r="M485" t="s">
        <v>37</v>
      </c>
      <c r="N485" t="s">
        <v>3715</v>
      </c>
      <c r="O485" t="s">
        <v>3716</v>
      </c>
      <c r="P485" t="s">
        <v>3717</v>
      </c>
      <c r="R485" t="s">
        <v>37</v>
      </c>
      <c r="S485" t="s">
        <v>37</v>
      </c>
      <c r="T485">
        <v>65.044499999999999</v>
      </c>
      <c r="U485" t="s">
        <v>3718</v>
      </c>
      <c r="V485" t="s">
        <v>3719</v>
      </c>
      <c r="W485">
        <v>25.614909999999998</v>
      </c>
      <c r="X485">
        <v>265000</v>
      </c>
      <c r="Y485" t="s">
        <v>3720</v>
      </c>
      <c r="AA485" t="s">
        <v>54</v>
      </c>
      <c r="AB485" t="s">
        <v>39</v>
      </c>
      <c r="AC485" t="s">
        <v>3721</v>
      </c>
      <c r="AD485" t="s">
        <v>75</v>
      </c>
      <c r="AE485" t="s">
        <v>217</v>
      </c>
      <c r="AF485" t="s">
        <v>3722</v>
      </c>
      <c r="AG485" t="s">
        <v>3723</v>
      </c>
      <c r="AH485">
        <v>104</v>
      </c>
      <c r="AI485" s="2" t="str">
        <f t="shared" si="35"/>
        <v>Independent</v>
      </c>
      <c r="AJ485" s="2" t="str">
        <f t="shared" si="36"/>
        <v>NO</v>
      </c>
      <c r="AK485" s="1" t="str">
        <f t="shared" si="37"/>
        <v>None</v>
      </c>
      <c r="AL485" s="1" t="str">
        <f t="shared" si="38"/>
        <v>1 Toilet</v>
      </c>
      <c r="AM485" s="1" t="str">
        <f t="shared" si="39"/>
        <v>NO</v>
      </c>
      <c r="AN485" s="1" t="str">
        <f>VLOOKUP(J485, 'Regions and Cities'!A:B, 2, FALSE)</f>
        <v>Pohjois-Pohjanmaa</v>
      </c>
    </row>
    <row r="486" spans="1:40" x14ac:dyDescent="0.3">
      <c r="A486" t="s">
        <v>7947</v>
      </c>
      <c r="B486" t="s">
        <v>7948</v>
      </c>
      <c r="C486" t="s">
        <v>7139</v>
      </c>
      <c r="D486" t="s">
        <v>7949</v>
      </c>
      <c r="E486" t="s">
        <v>7950</v>
      </c>
      <c r="F486" t="s">
        <v>105</v>
      </c>
      <c r="H486">
        <v>81.5</v>
      </c>
      <c r="I486" t="s">
        <v>3236</v>
      </c>
      <c r="J486" t="s">
        <v>137</v>
      </c>
      <c r="K486" t="s">
        <v>7143</v>
      </c>
      <c r="L486" t="s">
        <v>7951</v>
      </c>
      <c r="M486" t="s">
        <v>37</v>
      </c>
      <c r="N486" t="s">
        <v>7952</v>
      </c>
      <c r="O486" t="s">
        <v>7953</v>
      </c>
      <c r="R486" t="s">
        <v>37</v>
      </c>
      <c r="S486" t="s">
        <v>37</v>
      </c>
      <c r="T486">
        <v>60.281163999999997</v>
      </c>
      <c r="U486" t="s">
        <v>7954</v>
      </c>
      <c r="V486" t="s">
        <v>7955</v>
      </c>
      <c r="W486">
        <v>24.999127000000001</v>
      </c>
      <c r="X486">
        <v>239000</v>
      </c>
      <c r="Y486" t="s">
        <v>290</v>
      </c>
      <c r="AA486" t="s">
        <v>45</v>
      </c>
      <c r="AB486" t="s">
        <v>39</v>
      </c>
      <c r="AC486" t="s">
        <v>6510</v>
      </c>
      <c r="AD486" t="s">
        <v>46</v>
      </c>
      <c r="AE486" t="s">
        <v>7956</v>
      </c>
      <c r="AF486" t="s">
        <v>7957</v>
      </c>
      <c r="AG486" t="s">
        <v>7958</v>
      </c>
      <c r="AH486">
        <v>81.5</v>
      </c>
      <c r="AI486" s="2" t="str">
        <f t="shared" si="35"/>
        <v>Independent</v>
      </c>
      <c r="AJ486" s="2" t="str">
        <f t="shared" si="36"/>
        <v>YES</v>
      </c>
      <c r="AK486" s="1" t="str">
        <f t="shared" si="37"/>
        <v>Glazed Balcony</v>
      </c>
      <c r="AL486" s="1" t="str">
        <f t="shared" si="38"/>
        <v>1 Toilet</v>
      </c>
      <c r="AM486" s="1" t="str">
        <f t="shared" si="39"/>
        <v>NO</v>
      </c>
      <c r="AN486" s="1" t="str">
        <f>VLOOKUP(J486, 'Regions and Cities'!A:B, 2, FALSE)</f>
        <v>Uusimaa</v>
      </c>
    </row>
    <row r="487" spans="1:40" x14ac:dyDescent="0.3">
      <c r="A487" t="s">
        <v>3694</v>
      </c>
      <c r="B487" t="s">
        <v>3695</v>
      </c>
      <c r="C487" t="s">
        <v>2805</v>
      </c>
      <c r="D487" t="s">
        <v>1717</v>
      </c>
      <c r="E487" t="s">
        <v>1718</v>
      </c>
      <c r="F487" t="s">
        <v>1719</v>
      </c>
      <c r="H487">
        <v>87.5</v>
      </c>
      <c r="I487" t="s">
        <v>1858</v>
      </c>
      <c r="J487" t="s">
        <v>137</v>
      </c>
      <c r="K487" t="s">
        <v>2806</v>
      </c>
      <c r="L487" t="s">
        <v>3696</v>
      </c>
      <c r="M487" t="s">
        <v>37</v>
      </c>
      <c r="N487" t="s">
        <v>3697</v>
      </c>
      <c r="O487" t="s">
        <v>3698</v>
      </c>
      <c r="R487" t="s">
        <v>37</v>
      </c>
      <c r="S487" t="s">
        <v>37</v>
      </c>
      <c r="T487">
        <v>60.205272999999998</v>
      </c>
      <c r="U487" t="s">
        <v>3699</v>
      </c>
      <c r="V487" t="s">
        <v>3700</v>
      </c>
      <c r="W487">
        <v>25.137903000000001</v>
      </c>
      <c r="X487">
        <v>30487.41</v>
      </c>
      <c r="Y487" t="s">
        <v>3701</v>
      </c>
      <c r="AA487" t="s">
        <v>38</v>
      </c>
      <c r="AB487" t="s">
        <v>39</v>
      </c>
      <c r="AC487" t="s">
        <v>3702</v>
      </c>
      <c r="AD487" t="s">
        <v>75</v>
      </c>
      <c r="AE487" t="s">
        <v>1866</v>
      </c>
      <c r="AF487" t="s">
        <v>3703</v>
      </c>
      <c r="AG487" t="s">
        <v>3704</v>
      </c>
      <c r="AH487"/>
      <c r="AI487" s="2" t="str">
        <f t="shared" si="35"/>
        <v>Independent</v>
      </c>
      <c r="AJ487" s="2" t="str">
        <f t="shared" si="36"/>
        <v>YES</v>
      </c>
      <c r="AK487" s="1" t="str">
        <f t="shared" si="37"/>
        <v>None</v>
      </c>
      <c r="AL487" s="1" t="str">
        <f t="shared" si="38"/>
        <v>1 Toilet</v>
      </c>
      <c r="AM487" s="1" t="str">
        <f t="shared" si="39"/>
        <v>NO</v>
      </c>
      <c r="AN487" s="1" t="str">
        <f>VLOOKUP(J487, 'Regions and Cities'!A:B, 2, FALSE)</f>
        <v>Uusimaa</v>
      </c>
    </row>
    <row r="488" spans="1:40" x14ac:dyDescent="0.3">
      <c r="A488" t="s">
        <v>9072</v>
      </c>
      <c r="B488" t="s">
        <v>9073</v>
      </c>
      <c r="C488" t="s">
        <v>9074</v>
      </c>
      <c r="D488" t="s">
        <v>9075</v>
      </c>
      <c r="E488" t="s">
        <v>9076</v>
      </c>
      <c r="F488" t="s">
        <v>50</v>
      </c>
      <c r="G488" t="s">
        <v>9077</v>
      </c>
      <c r="H488">
        <v>72</v>
      </c>
      <c r="I488" t="s">
        <v>1180</v>
      </c>
      <c r="J488" t="s">
        <v>116</v>
      </c>
      <c r="K488" t="s">
        <v>9078</v>
      </c>
      <c r="L488" t="s">
        <v>9079</v>
      </c>
      <c r="M488" t="s">
        <v>37</v>
      </c>
      <c r="N488" t="s">
        <v>9080</v>
      </c>
      <c r="O488" t="s">
        <v>9081</v>
      </c>
      <c r="P488" t="s">
        <v>9082</v>
      </c>
      <c r="Q488" t="s">
        <v>9083</v>
      </c>
      <c r="R488" t="s">
        <v>37</v>
      </c>
      <c r="S488" t="s">
        <v>37</v>
      </c>
      <c r="T488">
        <v>60.347749999999998</v>
      </c>
      <c r="U488" t="s">
        <v>9084</v>
      </c>
      <c r="V488" t="s">
        <v>9085</v>
      </c>
      <c r="W488">
        <v>25.132280000000002</v>
      </c>
      <c r="X488">
        <v>219000</v>
      </c>
      <c r="Y488" t="s">
        <v>115</v>
      </c>
      <c r="AA488" t="s">
        <v>808</v>
      </c>
      <c r="AB488" t="s">
        <v>39</v>
      </c>
      <c r="AC488" t="s">
        <v>6510</v>
      </c>
      <c r="AD488" t="s">
        <v>75</v>
      </c>
      <c r="AE488" t="s">
        <v>9086</v>
      </c>
      <c r="AF488" t="s">
        <v>9087</v>
      </c>
      <c r="AG488" t="s">
        <v>9088</v>
      </c>
      <c r="AH488">
        <v>72</v>
      </c>
      <c r="AI488" s="2" t="str">
        <f t="shared" si="35"/>
        <v>Independent</v>
      </c>
      <c r="AJ488" s="2" t="str">
        <f t="shared" si="36"/>
        <v>NO</v>
      </c>
      <c r="AK488" s="1" t="str">
        <f t="shared" si="37"/>
        <v>None</v>
      </c>
      <c r="AL488" s="1" t="str">
        <f t="shared" si="38"/>
        <v>1 Toilet</v>
      </c>
      <c r="AM488" s="1" t="str">
        <f t="shared" si="39"/>
        <v>YES</v>
      </c>
      <c r="AN488" s="1" t="str">
        <f>VLOOKUP(J488, 'Regions and Cities'!A:B, 2, FALSE)</f>
        <v>Uusimaa</v>
      </c>
    </row>
    <row r="489" spans="1:40" x14ac:dyDescent="0.3">
      <c r="A489" t="s">
        <v>6151</v>
      </c>
      <c r="B489" t="s">
        <v>6152</v>
      </c>
      <c r="C489" t="s">
        <v>6153</v>
      </c>
      <c r="D489" t="s">
        <v>3053</v>
      </c>
      <c r="E489" t="s">
        <v>3504</v>
      </c>
      <c r="H489">
        <v>40</v>
      </c>
      <c r="I489" t="s">
        <v>286</v>
      </c>
      <c r="J489" t="s">
        <v>395</v>
      </c>
      <c r="K489" t="s">
        <v>6154</v>
      </c>
      <c r="L489" t="s">
        <v>6155</v>
      </c>
      <c r="M489" t="s">
        <v>37</v>
      </c>
      <c r="N489" t="s">
        <v>6156</v>
      </c>
      <c r="O489" t="s">
        <v>6157</v>
      </c>
      <c r="R489" t="s">
        <v>37</v>
      </c>
      <c r="S489" t="s">
        <v>37</v>
      </c>
      <c r="T489">
        <v>62.728552999999998</v>
      </c>
      <c r="U489" t="s">
        <v>6158</v>
      </c>
      <c r="V489" t="s">
        <v>6159</v>
      </c>
      <c r="W489">
        <v>29.025604000000001</v>
      </c>
      <c r="X489">
        <v>9900</v>
      </c>
      <c r="Y489" t="s">
        <v>6160</v>
      </c>
      <c r="AA489" t="s">
        <v>45</v>
      </c>
      <c r="AB489" t="s">
        <v>39</v>
      </c>
      <c r="AC489" t="s">
        <v>480</v>
      </c>
      <c r="AD489" t="s">
        <v>202</v>
      </c>
      <c r="AE489" t="s">
        <v>6161</v>
      </c>
      <c r="AF489" t="s">
        <v>6162</v>
      </c>
      <c r="AG489" t="s">
        <v>6163</v>
      </c>
      <c r="AH489">
        <v>40</v>
      </c>
      <c r="AI489" s="2" t="str">
        <f t="shared" si="35"/>
        <v>Kitchenette</v>
      </c>
      <c r="AJ489" s="2" t="str">
        <f t="shared" si="36"/>
        <v>YES</v>
      </c>
      <c r="AK489" s="1" t="str">
        <f t="shared" si="37"/>
        <v>None</v>
      </c>
      <c r="AL489" s="1" t="str">
        <f t="shared" si="38"/>
        <v>1 Toilet</v>
      </c>
      <c r="AM489" s="1" t="str">
        <f t="shared" si="39"/>
        <v>NO</v>
      </c>
      <c r="AN489" s="1" t="str">
        <f>VLOOKUP(J489, 'Regions and Cities'!A:B, 2, FALSE)</f>
        <v>Pohjois-Karjala</v>
      </c>
    </row>
    <row r="490" spans="1:40" x14ac:dyDescent="0.3">
      <c r="A490" t="s">
        <v>5609</v>
      </c>
      <c r="B490" t="s">
        <v>5610</v>
      </c>
      <c r="C490" t="s">
        <v>5611</v>
      </c>
      <c r="D490" t="s">
        <v>5612</v>
      </c>
      <c r="E490" t="s">
        <v>5613</v>
      </c>
      <c r="F490" t="s">
        <v>5614</v>
      </c>
      <c r="H490">
        <v>88</v>
      </c>
      <c r="I490" t="s">
        <v>1221</v>
      </c>
      <c r="J490" t="s">
        <v>265</v>
      </c>
      <c r="K490" t="s">
        <v>5615</v>
      </c>
      <c r="L490" t="s">
        <v>5616</v>
      </c>
      <c r="M490" t="s">
        <v>37</v>
      </c>
      <c r="N490" t="s">
        <v>5617</v>
      </c>
      <c r="O490" t="s">
        <v>5618</v>
      </c>
      <c r="R490" t="s">
        <v>37</v>
      </c>
      <c r="S490" t="s">
        <v>37</v>
      </c>
      <c r="T490">
        <v>64.944469999999995</v>
      </c>
      <c r="U490" t="s">
        <v>5619</v>
      </c>
      <c r="V490" t="s">
        <v>5620</v>
      </c>
      <c r="W490">
        <v>25.382629999999999</v>
      </c>
      <c r="X490">
        <v>139000</v>
      </c>
      <c r="Y490" t="s">
        <v>74</v>
      </c>
      <c r="AA490" t="s">
        <v>45</v>
      </c>
      <c r="AB490" t="s">
        <v>39</v>
      </c>
      <c r="AC490" t="s">
        <v>5621</v>
      </c>
      <c r="AD490" t="s">
        <v>75</v>
      </c>
      <c r="AE490" t="s">
        <v>5622</v>
      </c>
      <c r="AF490" t="s">
        <v>5623</v>
      </c>
      <c r="AG490" t="s">
        <v>5624</v>
      </c>
      <c r="AH490">
        <v>88</v>
      </c>
      <c r="AI490" s="2" t="str">
        <f t="shared" si="35"/>
        <v>Independent</v>
      </c>
      <c r="AJ490" s="2" t="str">
        <f t="shared" si="36"/>
        <v>YES</v>
      </c>
      <c r="AK490" s="1" t="str">
        <f t="shared" si="37"/>
        <v>None</v>
      </c>
      <c r="AL490" s="1" t="str">
        <f t="shared" si="38"/>
        <v>1 Toilet</v>
      </c>
      <c r="AM490" s="1" t="str">
        <f t="shared" si="39"/>
        <v>NO</v>
      </c>
      <c r="AN490" s="1" t="str">
        <f>VLOOKUP(J490, 'Regions and Cities'!A:B, 2, FALSE)</f>
        <v>Pohjois-Pohjanmaa</v>
      </c>
    </row>
    <row r="491" spans="1:40" x14ac:dyDescent="0.3">
      <c r="A491" t="s">
        <v>2209</v>
      </c>
      <c r="B491" t="s">
        <v>2210</v>
      </c>
      <c r="C491" t="s">
        <v>2211</v>
      </c>
      <c r="D491" t="s">
        <v>2151</v>
      </c>
      <c r="E491" t="s">
        <v>2152</v>
      </c>
      <c r="F491" t="s">
        <v>79</v>
      </c>
      <c r="G491" t="s">
        <v>2212</v>
      </c>
      <c r="H491">
        <v>39.5</v>
      </c>
      <c r="I491" t="s">
        <v>1720</v>
      </c>
      <c r="J491" t="s">
        <v>126</v>
      </c>
      <c r="K491" t="s">
        <v>2213</v>
      </c>
      <c r="L491" t="s">
        <v>2214</v>
      </c>
      <c r="M491" t="s">
        <v>37</v>
      </c>
      <c r="N491" t="s">
        <v>2215</v>
      </c>
      <c r="O491" t="s">
        <v>2216</v>
      </c>
      <c r="P491" t="s">
        <v>2217</v>
      </c>
      <c r="R491" t="s">
        <v>37</v>
      </c>
      <c r="S491" t="s">
        <v>37</v>
      </c>
      <c r="T491">
        <v>60.225405000000002</v>
      </c>
      <c r="U491" t="s">
        <v>2218</v>
      </c>
      <c r="V491" t="s">
        <v>2219</v>
      </c>
      <c r="W491">
        <v>24.818655</v>
      </c>
      <c r="X491">
        <v>169000</v>
      </c>
      <c r="Y491" t="s">
        <v>1088</v>
      </c>
      <c r="AA491" t="s">
        <v>38</v>
      </c>
      <c r="AB491" t="s">
        <v>39</v>
      </c>
      <c r="AC491" t="s">
        <v>480</v>
      </c>
      <c r="AD491" t="s">
        <v>40</v>
      </c>
      <c r="AE491" t="s">
        <v>2220</v>
      </c>
      <c r="AF491" t="s">
        <v>2221</v>
      </c>
      <c r="AG491" t="s">
        <v>2222</v>
      </c>
      <c r="AH491">
        <v>39.5</v>
      </c>
      <c r="AI491" s="2" t="str">
        <f t="shared" si="35"/>
        <v>Independent</v>
      </c>
      <c r="AJ491" s="2" t="str">
        <f t="shared" si="36"/>
        <v>YES</v>
      </c>
      <c r="AK491" s="1" t="str">
        <f t="shared" si="37"/>
        <v>Standard Balcony</v>
      </c>
      <c r="AL491" s="1" t="str">
        <f t="shared" si="38"/>
        <v>1 Toilet</v>
      </c>
      <c r="AM491" s="1" t="str">
        <f t="shared" si="39"/>
        <v>NO</v>
      </c>
      <c r="AN491" s="1" t="str">
        <f>VLOOKUP(J491, 'Regions and Cities'!A:B, 2, FALSE)</f>
        <v>Uusimaa</v>
      </c>
    </row>
    <row r="492" spans="1:40" x14ac:dyDescent="0.3">
      <c r="A492" t="s">
        <v>1092</v>
      </c>
      <c r="B492" t="s">
        <v>1093</v>
      </c>
      <c r="C492" t="s">
        <v>1094</v>
      </c>
      <c r="D492" t="s">
        <v>1095</v>
      </c>
      <c r="E492" t="s">
        <v>1096</v>
      </c>
      <c r="F492" t="s">
        <v>105</v>
      </c>
      <c r="H492">
        <v>26</v>
      </c>
      <c r="I492" t="s">
        <v>224</v>
      </c>
      <c r="J492" t="s">
        <v>137</v>
      </c>
      <c r="K492" t="s">
        <v>1097</v>
      </c>
      <c r="L492" t="s">
        <v>1098</v>
      </c>
      <c r="M492" t="s">
        <v>111</v>
      </c>
      <c r="N492" t="s">
        <v>1099</v>
      </c>
      <c r="O492" t="s">
        <v>1100</v>
      </c>
      <c r="R492" t="s">
        <v>37</v>
      </c>
      <c r="S492" t="s">
        <v>37</v>
      </c>
      <c r="T492">
        <v>60.189045</v>
      </c>
      <c r="U492" t="s">
        <v>1101</v>
      </c>
      <c r="V492" t="s">
        <v>1102</v>
      </c>
      <c r="W492">
        <v>24.951730000000001</v>
      </c>
      <c r="X492">
        <v>117000</v>
      </c>
      <c r="Y492" t="s">
        <v>1103</v>
      </c>
      <c r="AA492" t="s">
        <v>38</v>
      </c>
      <c r="AB492" t="s">
        <v>39</v>
      </c>
      <c r="AC492" t="s">
        <v>480</v>
      </c>
      <c r="AD492" t="s">
        <v>202</v>
      </c>
      <c r="AE492" t="s">
        <v>1104</v>
      </c>
      <c r="AF492" t="s">
        <v>1105</v>
      </c>
      <c r="AG492" t="s">
        <v>1106</v>
      </c>
      <c r="AH492">
        <v>26</v>
      </c>
      <c r="AI492" s="2" t="str">
        <f t="shared" si="35"/>
        <v>Kitchenette</v>
      </c>
      <c r="AJ492" s="2" t="str">
        <f t="shared" si="36"/>
        <v>NO</v>
      </c>
      <c r="AK492" s="1" t="str">
        <f t="shared" si="37"/>
        <v>None</v>
      </c>
      <c r="AL492" s="1" t="str">
        <f t="shared" si="38"/>
        <v>1 Toilet</v>
      </c>
      <c r="AM492" s="1" t="str">
        <f t="shared" si="39"/>
        <v>NO</v>
      </c>
      <c r="AN492" s="1" t="str">
        <f>VLOOKUP(J492, 'Regions and Cities'!A:B, 2, FALSE)</f>
        <v>Uusimaa</v>
      </c>
    </row>
    <row r="493" spans="1:40" x14ac:dyDescent="0.3">
      <c r="A493" t="s">
        <v>5446</v>
      </c>
      <c r="B493" t="s">
        <v>5447</v>
      </c>
      <c r="C493" t="s">
        <v>5448</v>
      </c>
      <c r="D493" t="s">
        <v>277</v>
      </c>
      <c r="E493" t="s">
        <v>278</v>
      </c>
      <c r="F493" t="s">
        <v>279</v>
      </c>
      <c r="H493">
        <v>91</v>
      </c>
      <c r="I493" t="s">
        <v>3712</v>
      </c>
      <c r="J493" t="s">
        <v>265</v>
      </c>
      <c r="K493" t="s">
        <v>5449</v>
      </c>
      <c r="L493" t="s">
        <v>5450</v>
      </c>
      <c r="M493" t="s">
        <v>37</v>
      </c>
      <c r="N493" t="s">
        <v>5451</v>
      </c>
      <c r="O493" t="s">
        <v>5452</v>
      </c>
      <c r="R493" t="s">
        <v>37</v>
      </c>
      <c r="S493" t="s">
        <v>37</v>
      </c>
      <c r="T493">
        <v>65.00506</v>
      </c>
      <c r="U493" t="s">
        <v>5453</v>
      </c>
      <c r="V493" t="s">
        <v>5454</v>
      </c>
      <c r="W493">
        <v>25.606660000000002</v>
      </c>
      <c r="X493">
        <v>275000</v>
      </c>
      <c r="Y493" t="s">
        <v>4681</v>
      </c>
      <c r="AA493" t="s">
        <v>63</v>
      </c>
      <c r="AB493" t="s">
        <v>39</v>
      </c>
      <c r="AC493" t="s">
        <v>480</v>
      </c>
      <c r="AD493" t="s">
        <v>75</v>
      </c>
      <c r="AE493" t="s">
        <v>5455</v>
      </c>
      <c r="AF493" t="s">
        <v>5456</v>
      </c>
      <c r="AG493" t="s">
        <v>5457</v>
      </c>
      <c r="AH493">
        <v>91</v>
      </c>
      <c r="AI493" s="2" t="str">
        <f t="shared" si="35"/>
        <v>Independent</v>
      </c>
      <c r="AJ493" s="2" t="str">
        <f t="shared" si="36"/>
        <v>NO</v>
      </c>
      <c r="AK493" s="1" t="str">
        <f t="shared" si="37"/>
        <v>None</v>
      </c>
      <c r="AL493" s="1" t="str">
        <f t="shared" si="38"/>
        <v>1 Toilet</v>
      </c>
      <c r="AM493" s="1" t="str">
        <f t="shared" si="39"/>
        <v>YES</v>
      </c>
      <c r="AN493" s="1" t="str">
        <f>VLOOKUP(J493, 'Regions and Cities'!A:B, 2, FALSE)</f>
        <v>Pohjois-Pohjanmaa</v>
      </c>
    </row>
    <row r="494" spans="1:40" x14ac:dyDescent="0.3">
      <c r="A494" t="s">
        <v>1277</v>
      </c>
      <c r="B494" t="s">
        <v>1278</v>
      </c>
      <c r="C494" t="s">
        <v>551</v>
      </c>
      <c r="D494" t="s">
        <v>552</v>
      </c>
      <c r="E494" t="s">
        <v>553</v>
      </c>
      <c r="F494" t="s">
        <v>554</v>
      </c>
      <c r="G494" t="s">
        <v>1279</v>
      </c>
      <c r="H494">
        <v>56</v>
      </c>
      <c r="I494" t="s">
        <v>1221</v>
      </c>
      <c r="J494" t="s">
        <v>208</v>
      </c>
      <c r="K494" t="s">
        <v>557</v>
      </c>
      <c r="L494" t="s">
        <v>1280</v>
      </c>
      <c r="M494" t="s">
        <v>111</v>
      </c>
      <c r="N494" t="s">
        <v>1281</v>
      </c>
      <c r="O494" t="s">
        <v>1282</v>
      </c>
      <c r="P494" t="s">
        <v>1283</v>
      </c>
      <c r="R494" t="s">
        <v>37</v>
      </c>
      <c r="S494" t="s">
        <v>37</v>
      </c>
      <c r="T494">
        <v>66.523719999999997</v>
      </c>
      <c r="U494" t="s">
        <v>1284</v>
      </c>
      <c r="V494" t="s">
        <v>1285</v>
      </c>
      <c r="W494">
        <v>25.801169999999999</v>
      </c>
      <c r="X494">
        <v>59000</v>
      </c>
      <c r="Y494" t="s">
        <v>544</v>
      </c>
      <c r="AA494" t="s">
        <v>45</v>
      </c>
      <c r="AB494" t="s">
        <v>39</v>
      </c>
      <c r="AC494" t="s">
        <v>480</v>
      </c>
      <c r="AD494" t="s">
        <v>40</v>
      </c>
      <c r="AE494" t="s">
        <v>1286</v>
      </c>
      <c r="AF494" t="s">
        <v>1287</v>
      </c>
      <c r="AG494" t="s">
        <v>1288</v>
      </c>
      <c r="AH494">
        <v>56</v>
      </c>
      <c r="AI494" s="2" t="str">
        <f t="shared" si="35"/>
        <v>Independent</v>
      </c>
      <c r="AJ494" s="2" t="str">
        <f t="shared" si="36"/>
        <v>YES</v>
      </c>
      <c r="AK494" s="1" t="str">
        <f t="shared" si="37"/>
        <v>Terrace</v>
      </c>
      <c r="AL494" s="1" t="str">
        <f t="shared" si="38"/>
        <v>1 Toilet</v>
      </c>
      <c r="AM494" s="1" t="str">
        <f t="shared" si="39"/>
        <v>NO</v>
      </c>
      <c r="AN494" s="1" t="str">
        <f>VLOOKUP(J494, 'Regions and Cities'!A:B, 2, FALSE)</f>
        <v>Lappi</v>
      </c>
    </row>
    <row r="495" spans="1:40" x14ac:dyDescent="0.3">
      <c r="A495" t="s">
        <v>6640</v>
      </c>
      <c r="B495" t="s">
        <v>6641</v>
      </c>
      <c r="C495" t="s">
        <v>6642</v>
      </c>
      <c r="D495" t="s">
        <v>6445</v>
      </c>
      <c r="E495" t="s">
        <v>6446</v>
      </c>
      <c r="F495" t="s">
        <v>6447</v>
      </c>
      <c r="G495" t="s">
        <v>6448</v>
      </c>
      <c r="H495">
        <v>88</v>
      </c>
      <c r="I495" t="s">
        <v>51</v>
      </c>
      <c r="J495" t="s">
        <v>419</v>
      </c>
      <c r="K495" t="s">
        <v>6643</v>
      </c>
      <c r="L495" t="s">
        <v>6644</v>
      </c>
      <c r="M495" t="s">
        <v>37</v>
      </c>
      <c r="N495" t="s">
        <v>6645</v>
      </c>
      <c r="O495" t="s">
        <v>6646</v>
      </c>
      <c r="P495" t="s">
        <v>6647</v>
      </c>
      <c r="R495" t="s">
        <v>37</v>
      </c>
      <c r="S495" t="s">
        <v>37</v>
      </c>
      <c r="T495">
        <v>61.321846999999998</v>
      </c>
      <c r="U495" t="s">
        <v>6648</v>
      </c>
      <c r="V495" t="s">
        <v>6649</v>
      </c>
      <c r="W495">
        <v>25.559702999999999</v>
      </c>
      <c r="X495">
        <v>540000</v>
      </c>
      <c r="Y495" t="s">
        <v>6650</v>
      </c>
      <c r="AA495" t="s">
        <v>63</v>
      </c>
      <c r="AB495" t="s">
        <v>39</v>
      </c>
      <c r="AC495" t="s">
        <v>6510</v>
      </c>
      <c r="AD495" t="s">
        <v>46</v>
      </c>
      <c r="AE495" t="s">
        <v>6651</v>
      </c>
      <c r="AF495" t="s">
        <v>6652</v>
      </c>
      <c r="AG495" t="s">
        <v>6653</v>
      </c>
      <c r="AH495">
        <v>98</v>
      </c>
      <c r="AI495" s="2" t="str">
        <f t="shared" si="35"/>
        <v>Independent</v>
      </c>
      <c r="AJ495" s="2" t="str">
        <f t="shared" si="36"/>
        <v>NO</v>
      </c>
      <c r="AK495" s="1" t="str">
        <f t="shared" si="37"/>
        <v>None</v>
      </c>
      <c r="AL495" s="1" t="str">
        <f t="shared" si="38"/>
        <v>1 Toilet</v>
      </c>
      <c r="AM495" s="1" t="str">
        <f t="shared" si="39"/>
        <v>NO</v>
      </c>
      <c r="AN495" s="1" t="str">
        <f>VLOOKUP(J495, 'Regions and Cities'!A:B, 2, FALSE)</f>
        <v>Päijät-Häme</v>
      </c>
    </row>
    <row r="496" spans="1:40" x14ac:dyDescent="0.3">
      <c r="A496" t="s">
        <v>5219</v>
      </c>
      <c r="B496" t="s">
        <v>5220</v>
      </c>
      <c r="C496" t="s">
        <v>5221</v>
      </c>
      <c r="D496" t="s">
        <v>68</v>
      </c>
      <c r="E496" t="s">
        <v>69</v>
      </c>
      <c r="F496" t="s">
        <v>70</v>
      </c>
      <c r="G496" t="s">
        <v>71</v>
      </c>
      <c r="H496">
        <v>68</v>
      </c>
      <c r="I496" t="s">
        <v>156</v>
      </c>
      <c r="J496" t="s">
        <v>73</v>
      </c>
      <c r="K496" t="s">
        <v>5222</v>
      </c>
      <c r="L496" t="s">
        <v>5223</v>
      </c>
      <c r="M496" t="s">
        <v>37</v>
      </c>
      <c r="N496" t="s">
        <v>5224</v>
      </c>
      <c r="O496" t="s">
        <v>5225</v>
      </c>
      <c r="P496" t="s">
        <v>5226</v>
      </c>
      <c r="R496" t="s">
        <v>37</v>
      </c>
      <c r="S496" t="s">
        <v>37</v>
      </c>
      <c r="T496">
        <v>62.273975999999998</v>
      </c>
      <c r="U496" t="s">
        <v>5227</v>
      </c>
      <c r="V496" t="s">
        <v>5228</v>
      </c>
      <c r="W496">
        <v>25.803944999999999</v>
      </c>
      <c r="X496">
        <v>59000</v>
      </c>
      <c r="Y496" t="s">
        <v>544</v>
      </c>
      <c r="AA496" t="s">
        <v>38</v>
      </c>
      <c r="AB496" t="s">
        <v>39</v>
      </c>
      <c r="AC496" t="s">
        <v>5229</v>
      </c>
      <c r="AD496" t="s">
        <v>46</v>
      </c>
      <c r="AE496" t="s">
        <v>5230</v>
      </c>
      <c r="AF496" t="s">
        <v>5231</v>
      </c>
      <c r="AG496" t="s">
        <v>5232</v>
      </c>
      <c r="AH496">
        <v>68</v>
      </c>
      <c r="AI496" s="2" t="str">
        <f t="shared" si="35"/>
        <v>Independent</v>
      </c>
      <c r="AJ496" s="2" t="str">
        <f t="shared" si="36"/>
        <v>NO</v>
      </c>
      <c r="AK496" s="1" t="str">
        <f t="shared" si="37"/>
        <v>None</v>
      </c>
      <c r="AL496" s="1" t="str">
        <f t="shared" si="38"/>
        <v>1 Toilet</v>
      </c>
      <c r="AM496" s="1" t="str">
        <f t="shared" si="39"/>
        <v>NO</v>
      </c>
      <c r="AN496" s="1" t="str">
        <f>VLOOKUP(J496, 'Regions and Cities'!A:B, 2, FALSE)</f>
        <v>Keski-Suomi</v>
      </c>
    </row>
    <row r="497" spans="1:40" x14ac:dyDescent="0.3">
      <c r="A497" t="s">
        <v>2280</v>
      </c>
      <c r="B497" t="s">
        <v>2281</v>
      </c>
      <c r="C497" t="s">
        <v>2282</v>
      </c>
      <c r="D497" t="s">
        <v>1292</v>
      </c>
      <c r="E497" t="s">
        <v>1293</v>
      </c>
      <c r="F497" t="s">
        <v>79</v>
      </c>
      <c r="G497" t="s">
        <v>1294</v>
      </c>
      <c r="H497">
        <v>166</v>
      </c>
      <c r="I497" t="s">
        <v>2283</v>
      </c>
      <c r="J497" t="s">
        <v>361</v>
      </c>
      <c r="K497" t="s">
        <v>2284</v>
      </c>
      <c r="L497" t="s">
        <v>2285</v>
      </c>
      <c r="M497" t="s">
        <v>37</v>
      </c>
      <c r="N497" t="s">
        <v>2286</v>
      </c>
      <c r="O497" t="s">
        <v>2287</v>
      </c>
      <c r="P497" t="s">
        <v>2288</v>
      </c>
      <c r="Q497" t="s">
        <v>2289</v>
      </c>
      <c r="R497" t="s">
        <v>37</v>
      </c>
      <c r="S497" t="s">
        <v>37</v>
      </c>
      <c r="T497">
        <v>62.798368000000004</v>
      </c>
      <c r="U497" t="s">
        <v>2290</v>
      </c>
      <c r="V497" t="s">
        <v>2291</v>
      </c>
      <c r="W497">
        <v>22.900953999999999</v>
      </c>
      <c r="X497">
        <v>280000</v>
      </c>
      <c r="Y497" t="s">
        <v>2292</v>
      </c>
      <c r="AA497" t="s">
        <v>63</v>
      </c>
      <c r="AB497" t="s">
        <v>39</v>
      </c>
      <c r="AC497" t="s">
        <v>480</v>
      </c>
      <c r="AD497" t="s">
        <v>64</v>
      </c>
      <c r="AE497" t="s">
        <v>2293</v>
      </c>
      <c r="AF497" t="s">
        <v>2294</v>
      </c>
      <c r="AG497" t="s">
        <v>2295</v>
      </c>
      <c r="AH497">
        <v>193</v>
      </c>
      <c r="AI497" s="2" t="str">
        <f t="shared" si="35"/>
        <v>Independent</v>
      </c>
      <c r="AJ497" s="2" t="str">
        <f t="shared" si="36"/>
        <v>YES</v>
      </c>
      <c r="AK497" s="1" t="str">
        <f t="shared" si="37"/>
        <v>None</v>
      </c>
      <c r="AL497" s="1" t="str">
        <f t="shared" si="38"/>
        <v>1 Toilet</v>
      </c>
      <c r="AM497" s="1" t="str">
        <f t="shared" si="39"/>
        <v>NO</v>
      </c>
      <c r="AN497" s="1" t="str">
        <f>VLOOKUP(J497, 'Regions and Cities'!A:B, 2, FALSE)</f>
        <v>Etelä-Pohjanmaa</v>
      </c>
    </row>
    <row r="498" spans="1:40" x14ac:dyDescent="0.3">
      <c r="A498" t="s">
        <v>6279</v>
      </c>
      <c r="B498" t="s">
        <v>6280</v>
      </c>
      <c r="C498" t="s">
        <v>6281</v>
      </c>
      <c r="D498" t="s">
        <v>178</v>
      </c>
      <c r="E498" t="s">
        <v>179</v>
      </c>
      <c r="F498" t="s">
        <v>180</v>
      </c>
      <c r="H498">
        <v>79</v>
      </c>
      <c r="I498" t="s">
        <v>201</v>
      </c>
      <c r="J498" t="s">
        <v>397</v>
      </c>
      <c r="K498" t="s">
        <v>6282</v>
      </c>
      <c r="L498" t="s">
        <v>6283</v>
      </c>
      <c r="M498" t="s">
        <v>37</v>
      </c>
      <c r="N498" t="s">
        <v>6284</v>
      </c>
      <c r="O498" t="s">
        <v>6285</v>
      </c>
      <c r="R498" t="s">
        <v>37</v>
      </c>
      <c r="S498" t="s">
        <v>37</v>
      </c>
      <c r="T498">
        <v>60.087000000000003</v>
      </c>
      <c r="U498" t="s">
        <v>6286</v>
      </c>
      <c r="V498" t="s">
        <v>6287</v>
      </c>
      <c r="W498">
        <v>24.411200000000001</v>
      </c>
      <c r="X498">
        <v>39550.370000000003</v>
      </c>
      <c r="Y498" t="s">
        <v>6288</v>
      </c>
      <c r="AA498" t="s">
        <v>54</v>
      </c>
      <c r="AB498" t="s">
        <v>39</v>
      </c>
      <c r="AC498" t="s">
        <v>480</v>
      </c>
      <c r="AD498" t="s">
        <v>46</v>
      </c>
      <c r="AE498" t="s">
        <v>196</v>
      </c>
      <c r="AF498" t="s">
        <v>6289</v>
      </c>
      <c r="AG498" t="s">
        <v>6290</v>
      </c>
      <c r="AH498"/>
      <c r="AI498" s="2" t="str">
        <f t="shared" si="35"/>
        <v>Independent</v>
      </c>
      <c r="AJ498" s="2" t="str">
        <f t="shared" si="36"/>
        <v>YES</v>
      </c>
      <c r="AK498" s="1" t="str">
        <f t="shared" si="37"/>
        <v>None</v>
      </c>
      <c r="AL498" s="1" t="str">
        <f t="shared" si="38"/>
        <v>1 Toilet</v>
      </c>
      <c r="AM498" s="1" t="str">
        <f t="shared" si="39"/>
        <v>NO</v>
      </c>
      <c r="AN498" s="1" t="str">
        <f>VLOOKUP(J498, 'Regions and Cities'!A:B, 2, FALSE)</f>
        <v>Uusimaa</v>
      </c>
    </row>
    <row r="499" spans="1:40" x14ac:dyDescent="0.3">
      <c r="A499" t="s">
        <v>6164</v>
      </c>
      <c r="B499" t="s">
        <v>6165</v>
      </c>
      <c r="C499" t="s">
        <v>6166</v>
      </c>
      <c r="D499" t="s">
        <v>6167</v>
      </c>
      <c r="E499" t="s">
        <v>6168</v>
      </c>
      <c r="F499" t="s">
        <v>768</v>
      </c>
      <c r="H499">
        <v>231</v>
      </c>
      <c r="I499" t="s">
        <v>190</v>
      </c>
      <c r="J499" t="s">
        <v>397</v>
      </c>
      <c r="K499" t="s">
        <v>6169</v>
      </c>
      <c r="L499" t="s">
        <v>6170</v>
      </c>
      <c r="M499" t="s">
        <v>37</v>
      </c>
      <c r="N499" t="s">
        <v>6171</v>
      </c>
      <c r="O499" t="s">
        <v>6172</v>
      </c>
      <c r="R499" t="s">
        <v>37</v>
      </c>
      <c r="S499" t="s">
        <v>37</v>
      </c>
      <c r="T499">
        <v>60.17248</v>
      </c>
      <c r="U499" t="s">
        <v>6173</v>
      </c>
      <c r="V499" t="s">
        <v>6174</v>
      </c>
      <c r="W499">
        <v>24.518889999999999</v>
      </c>
      <c r="X499">
        <v>898000</v>
      </c>
      <c r="Y499" t="s">
        <v>6175</v>
      </c>
      <c r="AA499" t="s">
        <v>63</v>
      </c>
      <c r="AB499" t="s">
        <v>39</v>
      </c>
      <c r="AC499" t="s">
        <v>268</v>
      </c>
      <c r="AD499" t="s">
        <v>64</v>
      </c>
      <c r="AE499" t="s">
        <v>6176</v>
      </c>
      <c r="AF499" t="s">
        <v>6177</v>
      </c>
      <c r="AG499" t="s">
        <v>6178</v>
      </c>
      <c r="AH499">
        <v>323</v>
      </c>
      <c r="AI499" s="2" t="str">
        <f t="shared" si="35"/>
        <v>Independent</v>
      </c>
      <c r="AJ499" s="2" t="str">
        <f t="shared" si="36"/>
        <v>NO</v>
      </c>
      <c r="AK499" s="1" t="str">
        <f t="shared" si="37"/>
        <v>None</v>
      </c>
      <c r="AL499" s="1" t="str">
        <f t="shared" si="38"/>
        <v>1 Toilet</v>
      </c>
      <c r="AM499" s="1" t="str">
        <f t="shared" si="39"/>
        <v>YES</v>
      </c>
      <c r="AN499" s="1" t="str">
        <f>VLOOKUP(J499, 'Regions and Cities'!A:B, 2, FALSE)</f>
        <v>Uusimaa</v>
      </c>
    </row>
    <row r="500" spans="1:40" x14ac:dyDescent="0.3">
      <c r="A500" t="s">
        <v>6514</v>
      </c>
      <c r="B500" t="s">
        <v>6515</v>
      </c>
      <c r="C500" t="s">
        <v>6516</v>
      </c>
      <c r="D500" t="s">
        <v>6517</v>
      </c>
      <c r="E500" t="s">
        <v>6518</v>
      </c>
      <c r="F500" t="s">
        <v>79</v>
      </c>
      <c r="G500" t="s">
        <v>6519</v>
      </c>
      <c r="H500">
        <v>57</v>
      </c>
      <c r="I500" t="s">
        <v>909</v>
      </c>
      <c r="J500" t="s">
        <v>359</v>
      </c>
      <c r="K500" t="s">
        <v>6520</v>
      </c>
      <c r="L500" t="s">
        <v>6521</v>
      </c>
      <c r="M500" t="s">
        <v>37</v>
      </c>
      <c r="N500" t="s">
        <v>6522</v>
      </c>
      <c r="O500" t="s">
        <v>6523</v>
      </c>
      <c r="P500" t="s">
        <v>6524</v>
      </c>
      <c r="Q500" t="s">
        <v>6525</v>
      </c>
      <c r="R500" t="s">
        <v>37</v>
      </c>
      <c r="S500" t="s">
        <v>37</v>
      </c>
      <c r="T500">
        <v>61.135312999999996</v>
      </c>
      <c r="U500" t="s">
        <v>6526</v>
      </c>
      <c r="V500" t="s">
        <v>6527</v>
      </c>
      <c r="W500">
        <v>21.484840999999999</v>
      </c>
      <c r="X500">
        <v>74000</v>
      </c>
      <c r="Y500" t="s">
        <v>5403</v>
      </c>
      <c r="AA500" t="s">
        <v>38</v>
      </c>
      <c r="AB500" t="s">
        <v>39</v>
      </c>
      <c r="AC500" t="s">
        <v>6510</v>
      </c>
      <c r="AD500" t="s">
        <v>40</v>
      </c>
      <c r="AE500" t="s">
        <v>917</v>
      </c>
      <c r="AF500" t="s">
        <v>6528</v>
      </c>
      <c r="AG500" t="s">
        <v>6529</v>
      </c>
      <c r="AH500">
        <v>57</v>
      </c>
      <c r="AI500" s="2" t="str">
        <f t="shared" si="35"/>
        <v>Independent</v>
      </c>
      <c r="AJ500" s="2" t="str">
        <f t="shared" si="36"/>
        <v>NO</v>
      </c>
      <c r="AK500" s="1" t="str">
        <f t="shared" si="37"/>
        <v>None</v>
      </c>
      <c r="AL500" s="1" t="str">
        <f t="shared" si="38"/>
        <v>1 Toilet</v>
      </c>
      <c r="AM500" s="1" t="str">
        <f t="shared" si="39"/>
        <v>NO</v>
      </c>
      <c r="AN500" s="1" t="str">
        <f>VLOOKUP(J500, 'Regions and Cities'!A:B, 2, FALSE)</f>
        <v>Satakunta</v>
      </c>
    </row>
    <row r="501" spans="1:40" x14ac:dyDescent="0.3">
      <c r="A501" t="s">
        <v>3373</v>
      </c>
      <c r="B501" t="s">
        <v>3374</v>
      </c>
      <c r="C501" t="s">
        <v>3375</v>
      </c>
      <c r="D501" t="s">
        <v>168</v>
      </c>
      <c r="E501" t="s">
        <v>169</v>
      </c>
      <c r="F501" t="s">
        <v>170</v>
      </c>
      <c r="H501">
        <v>73</v>
      </c>
      <c r="I501" t="s">
        <v>1310</v>
      </c>
      <c r="J501" t="s">
        <v>116</v>
      </c>
      <c r="K501" t="s">
        <v>3376</v>
      </c>
      <c r="L501" t="s">
        <v>3377</v>
      </c>
      <c r="M501" t="s">
        <v>37</v>
      </c>
      <c r="N501" t="s">
        <v>3378</v>
      </c>
      <c r="O501" t="s">
        <v>3379</v>
      </c>
      <c r="R501" t="s">
        <v>111</v>
      </c>
      <c r="S501" t="s">
        <v>37</v>
      </c>
      <c r="T501">
        <v>60.299906</v>
      </c>
      <c r="U501" t="s">
        <v>3380</v>
      </c>
      <c r="V501" t="s">
        <v>3381</v>
      </c>
      <c r="W501">
        <v>24.977751000000001</v>
      </c>
      <c r="X501">
        <v>279800</v>
      </c>
      <c r="Y501" t="s">
        <v>3382</v>
      </c>
      <c r="AA501" t="s">
        <v>38</v>
      </c>
      <c r="AB501" t="s">
        <v>39</v>
      </c>
      <c r="AC501" t="s">
        <v>480</v>
      </c>
      <c r="AD501" t="s">
        <v>75</v>
      </c>
      <c r="AE501" t="s">
        <v>3383</v>
      </c>
      <c r="AF501" t="s">
        <v>3384</v>
      </c>
      <c r="AG501" t="s">
        <v>3385</v>
      </c>
      <c r="AH501">
        <v>94</v>
      </c>
      <c r="AI501" s="2" t="str">
        <f t="shared" si="35"/>
        <v>Open</v>
      </c>
      <c r="AJ501" s="2" t="str">
        <f t="shared" si="36"/>
        <v>YES</v>
      </c>
      <c r="AK501" s="1" t="str">
        <f t="shared" si="37"/>
        <v>Standard Balcony</v>
      </c>
      <c r="AL501" s="1" t="str">
        <f t="shared" si="38"/>
        <v>1 Toilet</v>
      </c>
      <c r="AM501" s="1" t="str">
        <f t="shared" si="39"/>
        <v>NO</v>
      </c>
      <c r="AN501" s="1" t="str">
        <f>VLOOKUP(J501, 'Regions and Cities'!A:B, 2, FALSE)</f>
        <v>Uusimaa</v>
      </c>
    </row>
    <row r="502" spans="1:40" x14ac:dyDescent="0.3">
      <c r="A502" t="s">
        <v>5497</v>
      </c>
      <c r="B502" t="s">
        <v>5498</v>
      </c>
      <c r="C502" t="s">
        <v>4762</v>
      </c>
      <c r="D502" t="s">
        <v>4403</v>
      </c>
      <c r="E502" t="s">
        <v>4404</v>
      </c>
      <c r="F502" t="s">
        <v>4405</v>
      </c>
      <c r="H502">
        <v>80</v>
      </c>
      <c r="I502" t="s">
        <v>216</v>
      </c>
      <c r="J502" t="s">
        <v>405</v>
      </c>
      <c r="K502" t="s">
        <v>4763</v>
      </c>
      <c r="L502" t="s">
        <v>5499</v>
      </c>
      <c r="M502" t="s">
        <v>37</v>
      </c>
      <c r="N502" t="s">
        <v>5500</v>
      </c>
      <c r="O502" t="s">
        <v>5501</v>
      </c>
      <c r="R502" t="s">
        <v>37</v>
      </c>
      <c r="S502" t="s">
        <v>37</v>
      </c>
      <c r="T502">
        <v>60.601816999999997</v>
      </c>
      <c r="U502" t="s">
        <v>5502</v>
      </c>
      <c r="V502" t="s">
        <v>5503</v>
      </c>
      <c r="W502">
        <v>27.177593000000002</v>
      </c>
      <c r="X502">
        <v>39000</v>
      </c>
      <c r="Y502" t="s">
        <v>122</v>
      </c>
      <c r="AA502" t="s">
        <v>45</v>
      </c>
      <c r="AB502" t="s">
        <v>39</v>
      </c>
      <c r="AC502" t="s">
        <v>480</v>
      </c>
      <c r="AD502" t="s">
        <v>46</v>
      </c>
      <c r="AE502" t="s">
        <v>5504</v>
      </c>
      <c r="AF502" t="s">
        <v>5505</v>
      </c>
      <c r="AG502" t="s">
        <v>5506</v>
      </c>
      <c r="AH502">
        <v>80</v>
      </c>
      <c r="AI502" s="2" t="str">
        <f t="shared" si="35"/>
        <v>Independent</v>
      </c>
      <c r="AJ502" s="2" t="str">
        <f t="shared" si="36"/>
        <v>YES</v>
      </c>
      <c r="AK502" s="1" t="str">
        <f t="shared" si="37"/>
        <v>None</v>
      </c>
      <c r="AL502" s="1" t="str">
        <f t="shared" si="38"/>
        <v>1 Toilet</v>
      </c>
      <c r="AM502" s="1" t="str">
        <f t="shared" si="39"/>
        <v>YES</v>
      </c>
      <c r="AN502" s="1" t="str">
        <f>VLOOKUP(J502, 'Regions and Cities'!A:B, 2, FALSE)</f>
        <v>Kymenlaakso</v>
      </c>
    </row>
    <row r="503" spans="1:40" x14ac:dyDescent="0.3">
      <c r="A503" t="s">
        <v>9902</v>
      </c>
      <c r="B503" t="s">
        <v>9903</v>
      </c>
      <c r="C503" t="s">
        <v>9904</v>
      </c>
      <c r="D503" t="s">
        <v>9905</v>
      </c>
      <c r="E503" t="s">
        <v>9906</v>
      </c>
      <c r="F503" t="s">
        <v>105</v>
      </c>
      <c r="H503">
        <v>166</v>
      </c>
      <c r="I503" t="s">
        <v>861</v>
      </c>
      <c r="J503" t="s">
        <v>362</v>
      </c>
      <c r="K503" t="s">
        <v>9907</v>
      </c>
      <c r="L503" t="s">
        <v>9908</v>
      </c>
      <c r="M503" t="s">
        <v>37</v>
      </c>
      <c r="N503" t="s">
        <v>9909</v>
      </c>
      <c r="O503" t="s">
        <v>9910</v>
      </c>
      <c r="R503" t="s">
        <v>37</v>
      </c>
      <c r="S503" t="s">
        <v>37</v>
      </c>
      <c r="T503">
        <v>61.461734</v>
      </c>
      <c r="U503" t="s">
        <v>9911</v>
      </c>
      <c r="V503" t="s">
        <v>9912</v>
      </c>
      <c r="W503">
        <v>24.037125</v>
      </c>
      <c r="X503">
        <v>438000</v>
      </c>
      <c r="Y503" t="s">
        <v>4472</v>
      </c>
      <c r="AA503" t="s">
        <v>63</v>
      </c>
      <c r="AB503" t="s">
        <v>39</v>
      </c>
      <c r="AC503" t="s">
        <v>6510</v>
      </c>
      <c r="AD503" t="s">
        <v>55</v>
      </c>
      <c r="AE503" t="s">
        <v>9913</v>
      </c>
      <c r="AF503" t="s">
        <v>9914</v>
      </c>
      <c r="AG503" t="s">
        <v>9915</v>
      </c>
      <c r="AH503">
        <v>326</v>
      </c>
      <c r="AI503" s="2" t="str">
        <f t="shared" si="35"/>
        <v>Independent</v>
      </c>
      <c r="AJ503" s="2" t="str">
        <f t="shared" si="36"/>
        <v>NO</v>
      </c>
      <c r="AK503" s="1" t="str">
        <f t="shared" si="37"/>
        <v>None</v>
      </c>
      <c r="AL503" s="1" t="str">
        <f t="shared" si="38"/>
        <v>1 Toilet</v>
      </c>
      <c r="AM503" s="1" t="str">
        <f t="shared" si="39"/>
        <v>YES</v>
      </c>
      <c r="AN503" s="1" t="str">
        <f>VLOOKUP(J503, 'Regions and Cities'!A:B, 2, FALSE)</f>
        <v>Pirkanmaa</v>
      </c>
    </row>
    <row r="504" spans="1:40" x14ac:dyDescent="0.3">
      <c r="A504" t="s">
        <v>4365</v>
      </c>
      <c r="B504" t="s">
        <v>4366</v>
      </c>
      <c r="C504" t="s">
        <v>4367</v>
      </c>
      <c r="D504" t="s">
        <v>4368</v>
      </c>
      <c r="E504" t="s">
        <v>4369</v>
      </c>
      <c r="F504" t="s">
        <v>1493</v>
      </c>
      <c r="H504">
        <v>124</v>
      </c>
      <c r="I504" t="s">
        <v>156</v>
      </c>
      <c r="J504" t="s">
        <v>404</v>
      </c>
      <c r="K504" t="s">
        <v>4370</v>
      </c>
      <c r="L504" t="s">
        <v>4371</v>
      </c>
      <c r="M504" t="s">
        <v>37</v>
      </c>
      <c r="N504" t="s">
        <v>4372</v>
      </c>
      <c r="O504" t="s">
        <v>4373</v>
      </c>
      <c r="R504" t="s">
        <v>37</v>
      </c>
      <c r="S504" t="s">
        <v>37</v>
      </c>
      <c r="T504">
        <v>60.503408</v>
      </c>
      <c r="U504" t="s">
        <v>4374</v>
      </c>
      <c r="V504" t="s">
        <v>4375</v>
      </c>
      <c r="W504">
        <v>26.967407999999999</v>
      </c>
      <c r="X504">
        <v>198000</v>
      </c>
      <c r="Y504" t="s">
        <v>267</v>
      </c>
      <c r="AA504" t="s">
        <v>63</v>
      </c>
      <c r="AB504" t="s">
        <v>39</v>
      </c>
      <c r="AC504" t="s">
        <v>480</v>
      </c>
      <c r="AD504" t="s">
        <v>64</v>
      </c>
      <c r="AE504" t="s">
        <v>4376</v>
      </c>
      <c r="AF504" t="s">
        <v>4377</v>
      </c>
      <c r="AG504" t="s">
        <v>4378</v>
      </c>
      <c r="AH504">
        <v>168</v>
      </c>
      <c r="AI504" s="2" t="str">
        <f t="shared" si="35"/>
        <v>Kitchenette</v>
      </c>
      <c r="AJ504" s="2" t="str">
        <f t="shared" si="36"/>
        <v>NO</v>
      </c>
      <c r="AK504" s="1" t="str">
        <f t="shared" si="37"/>
        <v>None</v>
      </c>
      <c r="AL504" s="1" t="str">
        <f t="shared" si="38"/>
        <v>1 Toilet</v>
      </c>
      <c r="AM504" s="1" t="str">
        <f t="shared" si="39"/>
        <v>NO</v>
      </c>
      <c r="AN504" s="1" t="str">
        <f>VLOOKUP(J504, 'Regions and Cities'!A:B, 2, FALSE)</f>
        <v>Kymenlaakso</v>
      </c>
    </row>
    <row r="505" spans="1:40" x14ac:dyDescent="0.3">
      <c r="A505" t="s">
        <v>8491</v>
      </c>
      <c r="B505" t="s">
        <v>8492</v>
      </c>
      <c r="C505" t="s">
        <v>8493</v>
      </c>
      <c r="D505" t="s">
        <v>2120</v>
      </c>
      <c r="E505" t="s">
        <v>2121</v>
      </c>
      <c r="F505" t="s">
        <v>79</v>
      </c>
      <c r="G505" t="s">
        <v>8494</v>
      </c>
      <c r="H505">
        <v>124</v>
      </c>
      <c r="I505" t="s">
        <v>909</v>
      </c>
      <c r="J505" t="s">
        <v>408</v>
      </c>
      <c r="K505" t="s">
        <v>8495</v>
      </c>
      <c r="L505" t="s">
        <v>8496</v>
      </c>
      <c r="M505" t="s">
        <v>37</v>
      </c>
      <c r="N505" t="s">
        <v>8497</v>
      </c>
      <c r="O505" t="s">
        <v>8498</v>
      </c>
      <c r="P505" t="s">
        <v>8499</v>
      </c>
      <c r="R505" t="s">
        <v>37</v>
      </c>
      <c r="S505" t="s">
        <v>37</v>
      </c>
      <c r="T505">
        <v>61.061076</v>
      </c>
      <c r="U505" t="s">
        <v>8500</v>
      </c>
      <c r="V505" t="s">
        <v>8501</v>
      </c>
      <c r="W505">
        <v>24.389551999999998</v>
      </c>
      <c r="X505">
        <v>149000</v>
      </c>
      <c r="Y505" t="s">
        <v>261</v>
      </c>
      <c r="AA505" t="s">
        <v>63</v>
      </c>
      <c r="AB505" t="s">
        <v>39</v>
      </c>
      <c r="AC505" t="s">
        <v>6510</v>
      </c>
      <c r="AD505" t="s">
        <v>75</v>
      </c>
      <c r="AE505" t="s">
        <v>8502</v>
      </c>
      <c r="AF505" t="s">
        <v>8503</v>
      </c>
      <c r="AG505" t="s">
        <v>8504</v>
      </c>
      <c r="AH505">
        <v>136</v>
      </c>
      <c r="AI505" s="2" t="str">
        <f t="shared" si="35"/>
        <v>Independent</v>
      </c>
      <c r="AJ505" s="2" t="str">
        <f t="shared" si="36"/>
        <v>NO</v>
      </c>
      <c r="AK505" s="1" t="str">
        <f t="shared" si="37"/>
        <v>None</v>
      </c>
      <c r="AL505" s="1" t="str">
        <f t="shared" si="38"/>
        <v>1 Toilet</v>
      </c>
      <c r="AM505" s="1" t="str">
        <f t="shared" si="39"/>
        <v>NO</v>
      </c>
      <c r="AN505" s="1" t="str">
        <f>VLOOKUP(J505, 'Regions and Cities'!A:B, 2, FALSE)</f>
        <v>Kanta-Häme</v>
      </c>
    </row>
    <row r="506" spans="1:40" x14ac:dyDescent="0.3">
      <c r="A506" t="s">
        <v>2904</v>
      </c>
      <c r="B506" t="s">
        <v>2905</v>
      </c>
      <c r="C506" t="s">
        <v>2906</v>
      </c>
      <c r="H506">
        <v>156</v>
      </c>
      <c r="I506" t="s">
        <v>96</v>
      </c>
      <c r="J506" t="s">
        <v>361</v>
      </c>
      <c r="K506" t="s">
        <v>2907</v>
      </c>
      <c r="L506" t="s">
        <v>2908</v>
      </c>
      <c r="M506" t="s">
        <v>37</v>
      </c>
      <c r="N506" t="s">
        <v>2909</v>
      </c>
      <c r="O506" t="s">
        <v>2910</v>
      </c>
      <c r="R506" t="s">
        <v>37</v>
      </c>
      <c r="S506" t="s">
        <v>111</v>
      </c>
      <c r="T506">
        <v>63.005156999999997</v>
      </c>
      <c r="U506" t="s">
        <v>2911</v>
      </c>
      <c r="V506" t="s">
        <v>2912</v>
      </c>
      <c r="W506">
        <v>22.560555999999998</v>
      </c>
      <c r="X506">
        <v>39900</v>
      </c>
      <c r="Y506" t="s">
        <v>2913</v>
      </c>
      <c r="Z506" t="s">
        <v>2914</v>
      </c>
      <c r="AA506" t="s">
        <v>63</v>
      </c>
      <c r="AB506" t="s">
        <v>39</v>
      </c>
      <c r="AC506" t="s">
        <v>2915</v>
      </c>
      <c r="AD506" t="s">
        <v>55</v>
      </c>
      <c r="AE506" t="s">
        <v>2916</v>
      </c>
      <c r="AF506" t="s">
        <v>2917</v>
      </c>
      <c r="AG506" t="s">
        <v>2918</v>
      </c>
      <c r="AH506">
        <v>464</v>
      </c>
      <c r="AI506" s="2" t="str">
        <f t="shared" si="35"/>
        <v>Independent</v>
      </c>
      <c r="AJ506" s="2" t="str">
        <f t="shared" si="36"/>
        <v>YES</v>
      </c>
      <c r="AK506" s="1" t="str">
        <f t="shared" si="37"/>
        <v>None</v>
      </c>
      <c r="AL506" s="1" t="str">
        <f t="shared" si="38"/>
        <v>1 Toilet</v>
      </c>
      <c r="AM506" s="1" t="str">
        <f t="shared" si="39"/>
        <v>YES</v>
      </c>
      <c r="AN506" s="1" t="str">
        <f>VLOOKUP(J506, 'Regions and Cities'!A:B, 2, FALSE)</f>
        <v>Etelä-Pohjanmaa</v>
      </c>
    </row>
    <row r="507" spans="1:40" x14ac:dyDescent="0.3">
      <c r="A507" t="s">
        <v>6948</v>
      </c>
      <c r="B507" t="s">
        <v>6949</v>
      </c>
      <c r="C507" t="s">
        <v>6950</v>
      </c>
      <c r="D507" t="s">
        <v>2578</v>
      </c>
      <c r="E507" t="s">
        <v>2579</v>
      </c>
      <c r="F507" t="s">
        <v>2580</v>
      </c>
      <c r="G507" t="s">
        <v>2581</v>
      </c>
      <c r="H507">
        <v>128</v>
      </c>
      <c r="I507" t="s">
        <v>237</v>
      </c>
      <c r="J507" t="s">
        <v>110</v>
      </c>
      <c r="K507" t="s">
        <v>6951</v>
      </c>
      <c r="L507" t="s">
        <v>6952</v>
      </c>
      <c r="M507" t="s">
        <v>37</v>
      </c>
      <c r="N507" t="s">
        <v>6953</v>
      </c>
      <c r="O507" t="s">
        <v>6954</v>
      </c>
      <c r="P507" t="s">
        <v>6955</v>
      </c>
      <c r="R507" t="s">
        <v>37</v>
      </c>
      <c r="S507" t="s">
        <v>37</v>
      </c>
      <c r="T507">
        <v>60.478720000000003</v>
      </c>
      <c r="U507" t="s">
        <v>6956</v>
      </c>
      <c r="V507" t="s">
        <v>6957</v>
      </c>
      <c r="W507">
        <v>22.221540000000001</v>
      </c>
      <c r="X507">
        <v>249000</v>
      </c>
      <c r="Y507" t="s">
        <v>254</v>
      </c>
      <c r="AA507" t="s">
        <v>45</v>
      </c>
      <c r="AB507" t="s">
        <v>39</v>
      </c>
      <c r="AC507" t="s">
        <v>6510</v>
      </c>
      <c r="AD507" t="s">
        <v>75</v>
      </c>
      <c r="AE507" t="s">
        <v>6958</v>
      </c>
      <c r="AF507" t="s">
        <v>6959</v>
      </c>
      <c r="AG507" t="s">
        <v>6960</v>
      </c>
      <c r="AH507">
        <v>128</v>
      </c>
      <c r="AI507" s="2" t="str">
        <f t="shared" si="35"/>
        <v>Independent</v>
      </c>
      <c r="AJ507" s="2" t="str">
        <f t="shared" si="36"/>
        <v>YES</v>
      </c>
      <c r="AK507" s="1" t="str">
        <f t="shared" si="37"/>
        <v>None</v>
      </c>
      <c r="AL507" s="1" t="str">
        <f t="shared" si="38"/>
        <v>2 Toilets</v>
      </c>
      <c r="AM507" s="1" t="str">
        <f t="shared" si="39"/>
        <v>YES</v>
      </c>
      <c r="AN507" s="1" t="str">
        <f>VLOOKUP(J507, 'Regions and Cities'!A:B, 2, FALSE)</f>
        <v>Varsinais-Suomi</v>
      </c>
    </row>
    <row r="508" spans="1:40" x14ac:dyDescent="0.3">
      <c r="A508" t="s">
        <v>3018</v>
      </c>
      <c r="B508" t="s">
        <v>3019</v>
      </c>
      <c r="C508" t="s">
        <v>3020</v>
      </c>
      <c r="D508" t="s">
        <v>3021</v>
      </c>
      <c r="E508" t="s">
        <v>3022</v>
      </c>
      <c r="H508">
        <v>33</v>
      </c>
      <c r="I508" t="s">
        <v>573</v>
      </c>
      <c r="J508" t="s">
        <v>101</v>
      </c>
      <c r="K508" t="s">
        <v>3023</v>
      </c>
      <c r="L508" t="s">
        <v>3024</v>
      </c>
      <c r="M508" t="s">
        <v>37</v>
      </c>
      <c r="N508" t="s">
        <v>3025</v>
      </c>
      <c r="O508" t="s">
        <v>3026</v>
      </c>
      <c r="R508" t="s">
        <v>37</v>
      </c>
      <c r="S508" t="s">
        <v>37</v>
      </c>
      <c r="T508">
        <v>60.933259999999997</v>
      </c>
      <c r="U508" t="s">
        <v>3027</v>
      </c>
      <c r="V508" t="s">
        <v>3028</v>
      </c>
      <c r="W508">
        <v>25.975349999999999</v>
      </c>
      <c r="X508">
        <v>21000</v>
      </c>
      <c r="Y508" t="s">
        <v>3029</v>
      </c>
      <c r="AA508" t="s">
        <v>38</v>
      </c>
      <c r="AB508" t="s">
        <v>39</v>
      </c>
      <c r="AC508" t="s">
        <v>480</v>
      </c>
      <c r="AD508" t="s">
        <v>202</v>
      </c>
      <c r="AE508" t="s">
        <v>3030</v>
      </c>
      <c r="AF508" t="s">
        <v>3031</v>
      </c>
      <c r="AG508" t="s">
        <v>3032</v>
      </c>
      <c r="AH508">
        <v>33</v>
      </c>
      <c r="AI508" s="2" t="str">
        <f t="shared" si="35"/>
        <v>Kitchenette</v>
      </c>
      <c r="AJ508" s="2" t="str">
        <f t="shared" si="36"/>
        <v>NO</v>
      </c>
      <c r="AK508" s="1" t="str">
        <f t="shared" si="37"/>
        <v>None</v>
      </c>
      <c r="AL508" s="1" t="str">
        <f t="shared" si="38"/>
        <v>1 Toilet</v>
      </c>
      <c r="AM508" s="1" t="str">
        <f t="shared" si="39"/>
        <v>NO</v>
      </c>
      <c r="AN508" s="1" t="str">
        <f>VLOOKUP(J508, 'Regions and Cities'!A:B, 2, FALSE)</f>
        <v>Päijät-Häme</v>
      </c>
    </row>
    <row r="509" spans="1:40" x14ac:dyDescent="0.3">
      <c r="A509" t="s">
        <v>4168</v>
      </c>
      <c r="B509" t="s">
        <v>4169</v>
      </c>
      <c r="C509" t="s">
        <v>4170</v>
      </c>
      <c r="D509" t="s">
        <v>4171</v>
      </c>
      <c r="E509" t="s">
        <v>4172</v>
      </c>
      <c r="F509" t="s">
        <v>105</v>
      </c>
      <c r="H509">
        <v>103</v>
      </c>
      <c r="I509" t="s">
        <v>51</v>
      </c>
      <c r="J509" t="s">
        <v>158</v>
      </c>
      <c r="K509" t="s">
        <v>4173</v>
      </c>
      <c r="L509" t="s">
        <v>4174</v>
      </c>
      <c r="M509" t="s">
        <v>37</v>
      </c>
      <c r="N509" t="s">
        <v>4175</v>
      </c>
      <c r="O509" t="s">
        <v>4176</v>
      </c>
      <c r="R509" t="s">
        <v>37</v>
      </c>
      <c r="S509" t="s">
        <v>37</v>
      </c>
      <c r="T509">
        <v>60.362869000000003</v>
      </c>
      <c r="U509" t="s">
        <v>4177</v>
      </c>
      <c r="V509" t="s">
        <v>4178</v>
      </c>
      <c r="W509">
        <v>23.287521000000002</v>
      </c>
      <c r="X509">
        <v>175000</v>
      </c>
      <c r="Y509" t="s">
        <v>611</v>
      </c>
      <c r="AA509" t="s">
        <v>63</v>
      </c>
      <c r="AB509" t="s">
        <v>39</v>
      </c>
      <c r="AC509" t="s">
        <v>480</v>
      </c>
      <c r="AD509" t="s">
        <v>75</v>
      </c>
      <c r="AE509" t="s">
        <v>4179</v>
      </c>
      <c r="AF509" t="s">
        <v>4180</v>
      </c>
      <c r="AG509" t="s">
        <v>4181</v>
      </c>
      <c r="AH509">
        <v>116</v>
      </c>
      <c r="AI509" s="2" t="str">
        <f t="shared" si="35"/>
        <v>Independent</v>
      </c>
      <c r="AJ509" s="2" t="str">
        <f t="shared" si="36"/>
        <v>NO</v>
      </c>
      <c r="AK509" s="1" t="str">
        <f t="shared" si="37"/>
        <v>None</v>
      </c>
      <c r="AL509" s="1" t="str">
        <f t="shared" si="38"/>
        <v>2 Toilets</v>
      </c>
      <c r="AM509" s="1" t="str">
        <f t="shared" si="39"/>
        <v>NO</v>
      </c>
      <c r="AN509" s="1" t="str">
        <f>VLOOKUP(J509, 'Regions and Cities'!A:B, 2, FALSE)</f>
        <v>Varsinais-Suomi</v>
      </c>
    </row>
    <row r="510" spans="1:40" x14ac:dyDescent="0.3">
      <c r="A510" t="s">
        <v>9678</v>
      </c>
      <c r="B510" t="s">
        <v>9679</v>
      </c>
      <c r="C510" t="s">
        <v>9680</v>
      </c>
      <c r="D510" t="s">
        <v>9681</v>
      </c>
      <c r="E510" t="s">
        <v>9682</v>
      </c>
      <c r="F510" t="s">
        <v>187</v>
      </c>
      <c r="G510" t="s">
        <v>9683</v>
      </c>
      <c r="H510">
        <v>95</v>
      </c>
      <c r="I510" t="s">
        <v>239</v>
      </c>
      <c r="J510" t="s">
        <v>418</v>
      </c>
      <c r="K510" t="s">
        <v>9684</v>
      </c>
      <c r="L510" t="s">
        <v>9685</v>
      </c>
      <c r="M510" t="s">
        <v>37</v>
      </c>
      <c r="N510" t="s">
        <v>9686</v>
      </c>
      <c r="O510" t="s">
        <v>9687</v>
      </c>
      <c r="P510" t="s">
        <v>9688</v>
      </c>
      <c r="Q510" t="s">
        <v>9689</v>
      </c>
      <c r="R510" t="s">
        <v>37</v>
      </c>
      <c r="S510" t="s">
        <v>37</v>
      </c>
      <c r="T510">
        <v>61.080979999999997</v>
      </c>
      <c r="U510" t="s">
        <v>9690</v>
      </c>
      <c r="V510" t="s">
        <v>9691</v>
      </c>
      <c r="W510">
        <v>28.315439999999999</v>
      </c>
      <c r="X510">
        <v>115000</v>
      </c>
      <c r="Y510" t="s">
        <v>4787</v>
      </c>
      <c r="AA510" t="s">
        <v>63</v>
      </c>
      <c r="AB510" t="s">
        <v>39</v>
      </c>
      <c r="AC510" t="s">
        <v>5121</v>
      </c>
      <c r="AD510" t="s">
        <v>75</v>
      </c>
      <c r="AE510" t="s">
        <v>9692</v>
      </c>
      <c r="AF510" t="s">
        <v>9693</v>
      </c>
      <c r="AG510" t="s">
        <v>9694</v>
      </c>
      <c r="AH510">
        <v>95</v>
      </c>
      <c r="AI510" s="2" t="str">
        <f t="shared" si="35"/>
        <v>Independent</v>
      </c>
      <c r="AJ510" s="2" t="str">
        <f t="shared" si="36"/>
        <v>YES</v>
      </c>
      <c r="AK510" s="1" t="str">
        <f t="shared" si="37"/>
        <v>None</v>
      </c>
      <c r="AL510" s="1" t="str">
        <f t="shared" si="38"/>
        <v>2 Toilets</v>
      </c>
      <c r="AM510" s="1" t="str">
        <f t="shared" si="39"/>
        <v>NO</v>
      </c>
      <c r="AN510" s="1" t="str">
        <f>VLOOKUP(J510, 'Regions and Cities'!A:B, 2, FALSE)</f>
        <v>Etelä-Karjala</v>
      </c>
    </row>
    <row r="511" spans="1:40" x14ac:dyDescent="0.3">
      <c r="A511" t="s">
        <v>4335</v>
      </c>
      <c r="B511" t="s">
        <v>4336</v>
      </c>
      <c r="C511" t="s">
        <v>4337</v>
      </c>
      <c r="D511" t="s">
        <v>647</v>
      </c>
      <c r="E511" t="s">
        <v>648</v>
      </c>
      <c r="F511" t="s">
        <v>649</v>
      </c>
      <c r="H511">
        <v>149</v>
      </c>
      <c r="I511" t="s">
        <v>51</v>
      </c>
      <c r="J511" t="s">
        <v>402</v>
      </c>
      <c r="K511" t="s">
        <v>4338</v>
      </c>
      <c r="L511" t="s">
        <v>4339</v>
      </c>
      <c r="M511" t="s">
        <v>37</v>
      </c>
      <c r="N511" t="s">
        <v>4340</v>
      </c>
      <c r="O511" t="s">
        <v>4341</v>
      </c>
      <c r="R511" t="s">
        <v>37</v>
      </c>
      <c r="S511" t="s">
        <v>37</v>
      </c>
      <c r="T511">
        <v>62.456777000000002</v>
      </c>
      <c r="U511" t="s">
        <v>4342</v>
      </c>
      <c r="V511" t="s">
        <v>4343</v>
      </c>
      <c r="W511">
        <v>25.489477000000001</v>
      </c>
      <c r="X511">
        <v>324000</v>
      </c>
      <c r="Y511" t="s">
        <v>4344</v>
      </c>
      <c r="AA511" t="s">
        <v>63</v>
      </c>
      <c r="AB511" t="s">
        <v>39</v>
      </c>
      <c r="AC511" t="s">
        <v>4345</v>
      </c>
      <c r="AD511" t="s">
        <v>64</v>
      </c>
      <c r="AE511" t="s">
        <v>4346</v>
      </c>
      <c r="AF511" t="s">
        <v>4347</v>
      </c>
      <c r="AG511" t="s">
        <v>4348</v>
      </c>
      <c r="AH511">
        <v>218</v>
      </c>
      <c r="AI511" s="2" t="str">
        <f t="shared" si="35"/>
        <v>Independent</v>
      </c>
      <c r="AJ511" s="2" t="str">
        <f t="shared" si="36"/>
        <v>YES</v>
      </c>
      <c r="AK511" s="1" t="str">
        <f t="shared" si="37"/>
        <v>Terrace</v>
      </c>
      <c r="AL511" s="1" t="str">
        <f t="shared" si="38"/>
        <v>1 Toilet</v>
      </c>
      <c r="AM511" s="1" t="str">
        <f t="shared" si="39"/>
        <v>YES</v>
      </c>
      <c r="AN511" s="1" t="str">
        <f>VLOOKUP(J511, 'Regions and Cities'!A:B, 2, FALSE)</f>
        <v>Keski-Suomi</v>
      </c>
    </row>
    <row r="512" spans="1:40" x14ac:dyDescent="0.3">
      <c r="A512" t="s">
        <v>7348</v>
      </c>
      <c r="B512" t="s">
        <v>7349</v>
      </c>
      <c r="C512" t="s">
        <v>7350</v>
      </c>
      <c r="D512" t="s">
        <v>1445</v>
      </c>
      <c r="E512" t="s">
        <v>1446</v>
      </c>
      <c r="F512" t="s">
        <v>105</v>
      </c>
      <c r="G512" t="s">
        <v>7351</v>
      </c>
      <c r="H512">
        <v>220</v>
      </c>
      <c r="I512" t="s">
        <v>2387</v>
      </c>
      <c r="J512" t="s">
        <v>73</v>
      </c>
      <c r="K512" t="s">
        <v>7352</v>
      </c>
      <c r="L512" t="s">
        <v>7353</v>
      </c>
      <c r="M512" t="s">
        <v>37</v>
      </c>
      <c r="N512" t="s">
        <v>7354</v>
      </c>
      <c r="O512" t="s">
        <v>7355</v>
      </c>
      <c r="P512" t="s">
        <v>7356</v>
      </c>
      <c r="R512" t="s">
        <v>37</v>
      </c>
      <c r="S512" t="s">
        <v>37</v>
      </c>
      <c r="T512">
        <v>62.234678000000002</v>
      </c>
      <c r="U512" t="s">
        <v>7357</v>
      </c>
      <c r="V512" t="s">
        <v>7358</v>
      </c>
      <c r="W512">
        <v>25.864685000000001</v>
      </c>
      <c r="X512">
        <v>689000</v>
      </c>
      <c r="Y512" t="s">
        <v>7359</v>
      </c>
      <c r="AA512" t="s">
        <v>63</v>
      </c>
      <c r="AB512" t="s">
        <v>39</v>
      </c>
      <c r="AC512" t="s">
        <v>6510</v>
      </c>
      <c r="AD512" t="s">
        <v>64</v>
      </c>
      <c r="AE512" t="s">
        <v>7360</v>
      </c>
      <c r="AF512" t="s">
        <v>7361</v>
      </c>
      <c r="AG512" t="s">
        <v>7362</v>
      </c>
      <c r="AH512">
        <v>318</v>
      </c>
      <c r="AI512" s="2" t="str">
        <f t="shared" si="35"/>
        <v>Independent</v>
      </c>
      <c r="AJ512" s="2" t="str">
        <f t="shared" si="36"/>
        <v>NO</v>
      </c>
      <c r="AK512" s="1" t="str">
        <f t="shared" si="37"/>
        <v>None</v>
      </c>
      <c r="AL512" s="1" t="str">
        <f t="shared" si="38"/>
        <v>1 Toilet</v>
      </c>
      <c r="AM512" s="1" t="str">
        <f t="shared" si="39"/>
        <v>NO</v>
      </c>
      <c r="AN512" s="1" t="str">
        <f>VLOOKUP(J512, 'Regions and Cities'!A:B, 2, FALSE)</f>
        <v>Keski-Suomi</v>
      </c>
    </row>
    <row r="513" spans="1:40" x14ac:dyDescent="0.3">
      <c r="A513" t="s">
        <v>999</v>
      </c>
      <c r="B513" t="s">
        <v>1000</v>
      </c>
      <c r="C513" t="s">
        <v>1001</v>
      </c>
      <c r="H513">
        <v>86</v>
      </c>
      <c r="I513" t="s">
        <v>96</v>
      </c>
      <c r="J513" t="s">
        <v>353</v>
      </c>
      <c r="K513" t="s">
        <v>1002</v>
      </c>
      <c r="L513" t="s">
        <v>1003</v>
      </c>
      <c r="M513" t="s">
        <v>37</v>
      </c>
      <c r="N513" t="s">
        <v>1004</v>
      </c>
      <c r="O513" t="s">
        <v>1005</v>
      </c>
      <c r="R513" t="s">
        <v>37</v>
      </c>
      <c r="S513" t="s">
        <v>111</v>
      </c>
      <c r="T513">
        <v>61.880904000000001</v>
      </c>
      <c r="U513" t="s">
        <v>1006</v>
      </c>
      <c r="V513" t="s">
        <v>1007</v>
      </c>
      <c r="W513">
        <v>28.817903999999999</v>
      </c>
      <c r="X513">
        <v>69000</v>
      </c>
      <c r="Y513" t="s">
        <v>712</v>
      </c>
      <c r="Z513" t="s">
        <v>1008</v>
      </c>
      <c r="AA513" t="s">
        <v>45</v>
      </c>
      <c r="AB513" t="s">
        <v>39</v>
      </c>
      <c r="AC513" t="s">
        <v>480</v>
      </c>
      <c r="AD513" t="s">
        <v>46</v>
      </c>
      <c r="AE513" t="s">
        <v>1009</v>
      </c>
      <c r="AF513" t="s">
        <v>1010</v>
      </c>
      <c r="AG513" t="s">
        <v>1011</v>
      </c>
      <c r="AH513"/>
      <c r="AI513" s="2" t="str">
        <f t="shared" si="35"/>
        <v>Independent</v>
      </c>
      <c r="AJ513" s="2" t="str">
        <f t="shared" si="36"/>
        <v>YES</v>
      </c>
      <c r="AK513" s="1" t="str">
        <f t="shared" si="37"/>
        <v>None</v>
      </c>
      <c r="AL513" s="1" t="str">
        <f t="shared" si="38"/>
        <v>1 Toilet</v>
      </c>
      <c r="AM513" s="1" t="str">
        <f t="shared" si="39"/>
        <v>YES</v>
      </c>
      <c r="AN513" s="1" t="str">
        <f>VLOOKUP(J513, 'Regions and Cities'!A:B, 2, FALSE)</f>
        <v>Keski-Suomi</v>
      </c>
    </row>
    <row r="514" spans="1:40" x14ac:dyDescent="0.3">
      <c r="A514" t="s">
        <v>4940</v>
      </c>
      <c r="B514" t="s">
        <v>4941</v>
      </c>
      <c r="C514" t="s">
        <v>4942</v>
      </c>
      <c r="D514" t="s">
        <v>291</v>
      </c>
      <c r="E514" t="s">
        <v>292</v>
      </c>
      <c r="F514" t="s">
        <v>293</v>
      </c>
      <c r="H514">
        <v>208</v>
      </c>
      <c r="I514" t="s">
        <v>490</v>
      </c>
      <c r="J514" t="s">
        <v>295</v>
      </c>
      <c r="K514" t="s">
        <v>4943</v>
      </c>
      <c r="L514" t="s">
        <v>4944</v>
      </c>
      <c r="M514" t="s">
        <v>37</v>
      </c>
      <c r="N514" t="s">
        <v>4945</v>
      </c>
      <c r="O514" t="s">
        <v>4946</v>
      </c>
      <c r="R514" t="s">
        <v>37</v>
      </c>
      <c r="S514" t="s">
        <v>37</v>
      </c>
      <c r="T514">
        <v>62.283002000000003</v>
      </c>
      <c r="U514" t="s">
        <v>4947</v>
      </c>
      <c r="V514" t="s">
        <v>4948</v>
      </c>
      <c r="W514">
        <v>24.691648000000001</v>
      </c>
      <c r="X514">
        <v>198000</v>
      </c>
      <c r="Y514" t="s">
        <v>267</v>
      </c>
      <c r="AA514" t="s">
        <v>63</v>
      </c>
      <c r="AB514" t="s">
        <v>39</v>
      </c>
      <c r="AC514" t="s">
        <v>480</v>
      </c>
      <c r="AD514" t="s">
        <v>64</v>
      </c>
      <c r="AE514" t="s">
        <v>4949</v>
      </c>
      <c r="AF514" t="s">
        <v>4950</v>
      </c>
      <c r="AG514" t="s">
        <v>4951</v>
      </c>
      <c r="AH514">
        <v>267</v>
      </c>
      <c r="AI514" s="2" t="str">
        <f t="shared" ref="AI514:AI577" si="40">IF(AE514="", "no info", IF(OR(ISNUMBER(SEARCH("kt", AE514)), ISNUMBER(SEARCH("avokeittiö", AE514))), "Open", IF(ISNUMBER(SEARCH("kk", AE514)), "Kitchenette", "Independent")))</f>
        <v>Independent</v>
      </c>
      <c r="AJ514" s="2" t="str">
        <f t="shared" ref="AJ514:AJ577" si="41">IF(AE514="", "no info", IF(OR(ISNUMBER(SEARCH(" s ", AE514)), ISNUMBER(SEARCH("sauna", AE514)), ISNUMBER(SEARCH("+ s", AE514))), "YES", "NO"))</f>
        <v>YES</v>
      </c>
      <c r="AK514" s="1" t="str">
        <f t="shared" ref="AK514:AK577" si="42">IF(AE514="", "no info", IF(OR(ISNUMBER(SEARCH("las.p", AE514)), ISNUMBER(SEARCH("lasitettu", AE514))), "Glazed Balcony", IF(OR(ISNUMBER(SEARCH(" p ", AE514)), ISNUMBER(SEARCH("parveke", AE514))), "Standard Balcony", IF(OR(ISNUMBER(SEARCH("terassi", AE514)), ISNUMBER(SEARCH("kuisti", AE514))), "Terrace", "None"))))</f>
        <v>None</v>
      </c>
      <c r="AL514" s="1" t="str">
        <f t="shared" ref="AL514:AL577" si="43">IF(AE514="", "no info", IF(OR(ISNUMBER(SEARCH("2wc", AE514)), ISNUMBER(SEARCH("2xwc", AE514))), "2 Toilets", "1 Toilet"))</f>
        <v>1 Toilet</v>
      </c>
      <c r="AM514" s="1" t="str">
        <f t="shared" ref="AM514:AM577" si="44">IF(AE514="", "no info", IF(OR(ISNUMBER(SEARCH("vh", AE514)), ISNUMBER(SEARCH("var", AE514))), "YES", "NO"))</f>
        <v>NO</v>
      </c>
      <c r="AN514" s="1" t="str">
        <f>VLOOKUP(J514, 'Regions and Cities'!A:B, 2, FALSE)</f>
        <v>Keski-Suomi</v>
      </c>
    </row>
    <row r="515" spans="1:40" x14ac:dyDescent="0.3">
      <c r="A515" t="s">
        <v>3119</v>
      </c>
      <c r="B515" t="s">
        <v>3120</v>
      </c>
      <c r="C515" t="s">
        <v>3121</v>
      </c>
      <c r="D515" t="s">
        <v>3122</v>
      </c>
      <c r="E515" t="s">
        <v>3123</v>
      </c>
      <c r="F515" t="s">
        <v>3124</v>
      </c>
      <c r="H515">
        <v>79</v>
      </c>
      <c r="I515" t="s">
        <v>43</v>
      </c>
      <c r="J515" t="s">
        <v>390</v>
      </c>
      <c r="K515" t="s">
        <v>3125</v>
      </c>
      <c r="L515" t="s">
        <v>3126</v>
      </c>
      <c r="M515" t="s">
        <v>37</v>
      </c>
      <c r="N515" t="s">
        <v>3127</v>
      </c>
      <c r="O515" t="s">
        <v>3128</v>
      </c>
      <c r="R515" t="s">
        <v>37</v>
      </c>
      <c r="S515" t="s">
        <v>37</v>
      </c>
      <c r="T515">
        <v>64.869022000000001</v>
      </c>
      <c r="U515" t="s">
        <v>3129</v>
      </c>
      <c r="V515" t="s">
        <v>3130</v>
      </c>
      <c r="W515">
        <v>25.872665000000001</v>
      </c>
      <c r="X515">
        <v>338000</v>
      </c>
      <c r="Y515" t="s">
        <v>3131</v>
      </c>
      <c r="AA515" t="s">
        <v>63</v>
      </c>
      <c r="AB515" t="s">
        <v>39</v>
      </c>
      <c r="AC515" t="s">
        <v>480</v>
      </c>
      <c r="AD515" t="s">
        <v>75</v>
      </c>
      <c r="AE515" t="s">
        <v>3132</v>
      </c>
      <c r="AF515" t="s">
        <v>3133</v>
      </c>
      <c r="AG515" t="s">
        <v>3134</v>
      </c>
      <c r="AH515">
        <v>104.6</v>
      </c>
      <c r="AI515" s="2" t="str">
        <f t="shared" si="40"/>
        <v>Independent</v>
      </c>
      <c r="AJ515" s="2" t="str">
        <f t="shared" si="41"/>
        <v>NO</v>
      </c>
      <c r="AK515" s="1" t="str">
        <f t="shared" si="42"/>
        <v>None</v>
      </c>
      <c r="AL515" s="1" t="str">
        <f t="shared" si="43"/>
        <v>1 Toilet</v>
      </c>
      <c r="AM515" s="1" t="str">
        <f t="shared" si="44"/>
        <v>NO</v>
      </c>
      <c r="AN515" s="1" t="str">
        <f>VLOOKUP(J515, 'Regions and Cities'!A:B, 2, FALSE)</f>
        <v>Pohjois-Pohjanmaa</v>
      </c>
    </row>
    <row r="516" spans="1:40" x14ac:dyDescent="0.3">
      <c r="A516" t="s">
        <v>9769</v>
      </c>
      <c r="B516" t="s">
        <v>9770</v>
      </c>
      <c r="C516" t="s">
        <v>9771</v>
      </c>
      <c r="D516" t="s">
        <v>1062</v>
      </c>
      <c r="E516" t="s">
        <v>1063</v>
      </c>
      <c r="F516" t="s">
        <v>817</v>
      </c>
      <c r="H516">
        <v>66.2</v>
      </c>
      <c r="I516" t="s">
        <v>589</v>
      </c>
      <c r="J516" t="s">
        <v>130</v>
      </c>
      <c r="K516" t="s">
        <v>9772</v>
      </c>
      <c r="L516" t="s">
        <v>9773</v>
      </c>
      <c r="M516" t="s">
        <v>37</v>
      </c>
      <c r="N516" t="s">
        <v>9774</v>
      </c>
      <c r="O516" t="s">
        <v>9775</v>
      </c>
      <c r="R516" t="s">
        <v>37</v>
      </c>
      <c r="S516" t="s">
        <v>37</v>
      </c>
      <c r="T516">
        <v>62.847776000000003</v>
      </c>
      <c r="U516" t="s">
        <v>9776</v>
      </c>
      <c r="V516" t="s">
        <v>9777</v>
      </c>
      <c r="W516">
        <v>27.633648000000001</v>
      </c>
      <c r="X516">
        <v>118500</v>
      </c>
      <c r="Y516" t="s">
        <v>9778</v>
      </c>
      <c r="AA516" t="s">
        <v>45</v>
      </c>
      <c r="AB516" t="s">
        <v>39</v>
      </c>
      <c r="AC516" t="s">
        <v>6510</v>
      </c>
      <c r="AD516" t="s">
        <v>40</v>
      </c>
      <c r="AE516" t="s">
        <v>9779</v>
      </c>
      <c r="AF516" t="s">
        <v>9780</v>
      </c>
      <c r="AG516" t="s">
        <v>9781</v>
      </c>
      <c r="AH516">
        <v>66.2</v>
      </c>
      <c r="AI516" s="2" t="str">
        <f t="shared" si="40"/>
        <v>Independent</v>
      </c>
      <c r="AJ516" s="2" t="str">
        <f t="shared" si="41"/>
        <v>NO</v>
      </c>
      <c r="AK516" s="1" t="str">
        <f t="shared" si="42"/>
        <v>Standard Balcony</v>
      </c>
      <c r="AL516" s="1" t="str">
        <f t="shared" si="43"/>
        <v>1 Toilet</v>
      </c>
      <c r="AM516" s="1" t="str">
        <f t="shared" si="44"/>
        <v>YES</v>
      </c>
      <c r="AN516" s="1" t="str">
        <f>VLOOKUP(J516, 'Regions and Cities'!A:B, 2, FALSE)</f>
        <v>Pohjois-Savo</v>
      </c>
    </row>
    <row r="517" spans="1:40" x14ac:dyDescent="0.3">
      <c r="A517" t="s">
        <v>2087</v>
      </c>
      <c r="B517" t="s">
        <v>2088</v>
      </c>
      <c r="C517" t="s">
        <v>2089</v>
      </c>
      <c r="D517" t="s">
        <v>535</v>
      </c>
      <c r="E517" t="s">
        <v>536</v>
      </c>
      <c r="F517" t="s">
        <v>79</v>
      </c>
      <c r="G517" t="s">
        <v>2090</v>
      </c>
      <c r="H517">
        <v>122</v>
      </c>
      <c r="I517" t="s">
        <v>2091</v>
      </c>
      <c r="J517" t="s">
        <v>375</v>
      </c>
      <c r="K517" t="s">
        <v>2092</v>
      </c>
      <c r="L517" t="s">
        <v>2093</v>
      </c>
      <c r="M517" t="s">
        <v>37</v>
      </c>
      <c r="N517" t="s">
        <v>2094</v>
      </c>
      <c r="O517" t="s">
        <v>2095</v>
      </c>
      <c r="P517" t="s">
        <v>2096</v>
      </c>
      <c r="R517" t="s">
        <v>37</v>
      </c>
      <c r="S517" t="s">
        <v>37</v>
      </c>
      <c r="T517">
        <v>61.431790999999997</v>
      </c>
      <c r="U517" t="s">
        <v>2097</v>
      </c>
      <c r="V517" t="s">
        <v>2098</v>
      </c>
      <c r="W517">
        <v>21.900601000000002</v>
      </c>
      <c r="X517">
        <v>272000</v>
      </c>
      <c r="Y517" t="s">
        <v>2099</v>
      </c>
      <c r="AA517" t="s">
        <v>63</v>
      </c>
      <c r="AB517" t="s">
        <v>39</v>
      </c>
      <c r="AC517" t="s">
        <v>480</v>
      </c>
      <c r="AD517" t="s">
        <v>75</v>
      </c>
      <c r="AE517" t="s">
        <v>2100</v>
      </c>
      <c r="AF517" t="s">
        <v>2101</v>
      </c>
      <c r="AG517" t="s">
        <v>2102</v>
      </c>
      <c r="AH517">
        <v>124.4</v>
      </c>
      <c r="AI517" s="2" t="str">
        <f t="shared" si="40"/>
        <v>Independent</v>
      </c>
      <c r="AJ517" s="2" t="str">
        <f t="shared" si="41"/>
        <v>NO</v>
      </c>
      <c r="AK517" s="1" t="str">
        <f t="shared" si="42"/>
        <v>None</v>
      </c>
      <c r="AL517" s="1" t="str">
        <f t="shared" si="43"/>
        <v>1 Toilet</v>
      </c>
      <c r="AM517" s="1" t="str">
        <f t="shared" si="44"/>
        <v>YES</v>
      </c>
      <c r="AN517" s="1" t="str">
        <f>VLOOKUP(J517, 'Regions and Cities'!A:B, 2, FALSE)</f>
        <v>Satakunta</v>
      </c>
    </row>
    <row r="518" spans="1:40" x14ac:dyDescent="0.3">
      <c r="A518" t="s">
        <v>7329</v>
      </c>
      <c r="B518" t="s">
        <v>7330</v>
      </c>
      <c r="C518" t="s">
        <v>7331</v>
      </c>
      <c r="D518" t="s">
        <v>7332</v>
      </c>
      <c r="E518" t="s">
        <v>7333</v>
      </c>
      <c r="F518" t="s">
        <v>7334</v>
      </c>
      <c r="G518" t="s">
        <v>7335</v>
      </c>
      <c r="H518">
        <v>105.5</v>
      </c>
      <c r="I518" t="s">
        <v>136</v>
      </c>
      <c r="J518" t="s">
        <v>139</v>
      </c>
      <c r="K518" t="s">
        <v>7336</v>
      </c>
      <c r="L518" t="s">
        <v>7337</v>
      </c>
      <c r="M518" t="s">
        <v>37</v>
      </c>
      <c r="N518" t="s">
        <v>7338</v>
      </c>
      <c r="O518" t="s">
        <v>7339</v>
      </c>
      <c r="P518" t="s">
        <v>7340</v>
      </c>
      <c r="Q518" t="s">
        <v>7341</v>
      </c>
      <c r="R518" t="s">
        <v>37</v>
      </c>
      <c r="S518" t="s">
        <v>37</v>
      </c>
      <c r="T518">
        <v>61.491242999999997</v>
      </c>
      <c r="U518" t="s">
        <v>7342</v>
      </c>
      <c r="V518" t="s">
        <v>7343</v>
      </c>
      <c r="W518">
        <v>23.606237</v>
      </c>
      <c r="X518">
        <v>369000</v>
      </c>
      <c r="Y518" t="s">
        <v>4276</v>
      </c>
      <c r="AA518" t="s">
        <v>45</v>
      </c>
      <c r="AB518" t="s">
        <v>39</v>
      </c>
      <c r="AC518" t="s">
        <v>7344</v>
      </c>
      <c r="AD518" t="s">
        <v>75</v>
      </c>
      <c r="AE518" t="s">
        <v>7345</v>
      </c>
      <c r="AF518" t="s">
        <v>7346</v>
      </c>
      <c r="AG518" t="s">
        <v>7347</v>
      </c>
      <c r="AH518">
        <v>105.5</v>
      </c>
      <c r="AI518" s="2" t="str">
        <f t="shared" si="40"/>
        <v>Independent</v>
      </c>
      <c r="AJ518" s="2" t="str">
        <f t="shared" si="41"/>
        <v>NO</v>
      </c>
      <c r="AK518" s="1" t="str">
        <f t="shared" si="42"/>
        <v>Terrace</v>
      </c>
      <c r="AL518" s="1" t="str">
        <f t="shared" si="43"/>
        <v>1 Toilet</v>
      </c>
      <c r="AM518" s="1" t="str">
        <f t="shared" si="44"/>
        <v>NO</v>
      </c>
      <c r="AN518" s="1" t="str">
        <f>VLOOKUP(J518, 'Regions and Cities'!A:B, 2, FALSE)</f>
        <v>Pirkanmaa</v>
      </c>
    </row>
    <row r="519" spans="1:40" x14ac:dyDescent="0.3">
      <c r="A519" t="s">
        <v>9455</v>
      </c>
      <c r="B519" t="s">
        <v>9456</v>
      </c>
      <c r="C519" t="s">
        <v>9457</v>
      </c>
      <c r="D519" t="s">
        <v>9458</v>
      </c>
      <c r="E519" t="s">
        <v>9459</v>
      </c>
      <c r="F519" t="s">
        <v>1493</v>
      </c>
      <c r="H519">
        <v>37.5</v>
      </c>
      <c r="I519" t="s">
        <v>2001</v>
      </c>
      <c r="J519" t="s">
        <v>347</v>
      </c>
      <c r="K519" t="s">
        <v>9460</v>
      </c>
      <c r="L519" t="s">
        <v>9461</v>
      </c>
      <c r="M519" t="s">
        <v>37</v>
      </c>
      <c r="N519" t="s">
        <v>9462</v>
      </c>
      <c r="O519" t="s">
        <v>9463</v>
      </c>
      <c r="R519" t="s">
        <v>37</v>
      </c>
      <c r="S519" t="s">
        <v>37</v>
      </c>
      <c r="T519">
        <v>61.214084999999997</v>
      </c>
      <c r="U519" t="s">
        <v>9464</v>
      </c>
      <c r="V519" t="s">
        <v>9465</v>
      </c>
      <c r="W519">
        <v>28.825675</v>
      </c>
      <c r="X519">
        <v>19500</v>
      </c>
      <c r="Y519" t="s">
        <v>9466</v>
      </c>
      <c r="AA519" t="s">
        <v>45</v>
      </c>
      <c r="AB519" t="s">
        <v>39</v>
      </c>
      <c r="AC519" t="s">
        <v>6510</v>
      </c>
      <c r="AD519" t="s">
        <v>202</v>
      </c>
      <c r="AE519" t="s">
        <v>9467</v>
      </c>
      <c r="AF519" t="s">
        <v>9468</v>
      </c>
      <c r="AG519" t="s">
        <v>9469</v>
      </c>
      <c r="AH519">
        <v>37.5</v>
      </c>
      <c r="AI519" s="2" t="str">
        <f t="shared" si="40"/>
        <v>Independent</v>
      </c>
      <c r="AJ519" s="2" t="str">
        <f t="shared" si="41"/>
        <v>NO</v>
      </c>
      <c r="AK519" s="1" t="str">
        <f t="shared" si="42"/>
        <v>None</v>
      </c>
      <c r="AL519" s="1" t="str">
        <f t="shared" si="43"/>
        <v>1 Toilet</v>
      </c>
      <c r="AM519" s="1" t="str">
        <f t="shared" si="44"/>
        <v>NO</v>
      </c>
      <c r="AN519" s="1" t="str">
        <f>VLOOKUP(J519, 'Regions and Cities'!A:B, 2, FALSE)</f>
        <v>Etelä-Karjala</v>
      </c>
    </row>
    <row r="520" spans="1:40" x14ac:dyDescent="0.3">
      <c r="A520" t="s">
        <v>7863</v>
      </c>
      <c r="B520" t="s">
        <v>7864</v>
      </c>
      <c r="C520" t="s">
        <v>7865</v>
      </c>
      <c r="D520" t="s">
        <v>7866</v>
      </c>
      <c r="E520" t="s">
        <v>7867</v>
      </c>
      <c r="F520" t="s">
        <v>7868</v>
      </c>
      <c r="H520">
        <v>63</v>
      </c>
      <c r="I520" t="s">
        <v>59</v>
      </c>
      <c r="J520" t="s">
        <v>359</v>
      </c>
      <c r="K520" t="s">
        <v>7869</v>
      </c>
      <c r="L520" t="s">
        <v>7870</v>
      </c>
      <c r="M520" t="s">
        <v>37</v>
      </c>
      <c r="N520" t="s">
        <v>7871</v>
      </c>
      <c r="O520" t="s">
        <v>7872</v>
      </c>
      <c r="R520" t="s">
        <v>37</v>
      </c>
      <c r="S520" t="s">
        <v>37</v>
      </c>
      <c r="T520">
        <v>61.133332000000003</v>
      </c>
      <c r="U520" t="s">
        <v>7873</v>
      </c>
      <c r="V520" t="s">
        <v>7874</v>
      </c>
      <c r="W520">
        <v>21.490417999999998</v>
      </c>
      <c r="X520">
        <v>77000</v>
      </c>
      <c r="Y520" t="s">
        <v>99</v>
      </c>
      <c r="AA520" t="s">
        <v>38</v>
      </c>
      <c r="AB520" t="s">
        <v>39</v>
      </c>
      <c r="AC520" t="s">
        <v>6510</v>
      </c>
      <c r="AD520" t="s">
        <v>40</v>
      </c>
      <c r="AE520" t="s">
        <v>7875</v>
      </c>
      <c r="AF520" t="s">
        <v>7876</v>
      </c>
      <c r="AG520" t="s">
        <v>7877</v>
      </c>
      <c r="AH520">
        <v>63</v>
      </c>
      <c r="AI520" s="2" t="str">
        <f t="shared" si="40"/>
        <v>Independent</v>
      </c>
      <c r="AJ520" s="2" t="str">
        <f t="shared" si="41"/>
        <v>NO</v>
      </c>
      <c r="AK520" s="1" t="str">
        <f t="shared" si="42"/>
        <v>Standard Balcony</v>
      </c>
      <c r="AL520" s="1" t="str">
        <f t="shared" si="43"/>
        <v>1 Toilet</v>
      </c>
      <c r="AM520" s="1" t="str">
        <f t="shared" si="44"/>
        <v>NO</v>
      </c>
      <c r="AN520" s="1" t="str">
        <f>VLOOKUP(J520, 'Regions and Cities'!A:B, 2, FALSE)</f>
        <v>Satakunta</v>
      </c>
    </row>
    <row r="521" spans="1:40" x14ac:dyDescent="0.3">
      <c r="A521" t="s">
        <v>980</v>
      </c>
      <c r="B521" t="s">
        <v>981</v>
      </c>
      <c r="C521" t="s">
        <v>982</v>
      </c>
      <c r="D521" t="s">
        <v>983</v>
      </c>
      <c r="E521" t="s">
        <v>984</v>
      </c>
      <c r="F521" t="s">
        <v>452</v>
      </c>
      <c r="G521" t="s">
        <v>985</v>
      </c>
      <c r="H521">
        <v>25</v>
      </c>
      <c r="I521" t="s">
        <v>986</v>
      </c>
      <c r="J521" t="s">
        <v>110</v>
      </c>
      <c r="K521" t="s">
        <v>987</v>
      </c>
      <c r="L521" t="s">
        <v>988</v>
      </c>
      <c r="M521" t="s">
        <v>37</v>
      </c>
      <c r="N521" t="s">
        <v>989</v>
      </c>
      <c r="O521" t="s">
        <v>990</v>
      </c>
      <c r="P521" t="s">
        <v>991</v>
      </c>
      <c r="Q521" t="s">
        <v>992</v>
      </c>
      <c r="R521" t="s">
        <v>37</v>
      </c>
      <c r="S521" t="s">
        <v>37</v>
      </c>
      <c r="T521">
        <v>60.447803</v>
      </c>
      <c r="U521" t="s">
        <v>993</v>
      </c>
      <c r="V521" t="s">
        <v>994</v>
      </c>
      <c r="W521">
        <v>22.242307</v>
      </c>
      <c r="X521">
        <v>189000</v>
      </c>
      <c r="Y521" t="s">
        <v>995</v>
      </c>
      <c r="AA521" t="s">
        <v>38</v>
      </c>
      <c r="AB521" t="s">
        <v>39</v>
      </c>
      <c r="AC521" t="s">
        <v>480</v>
      </c>
      <c r="AD521" t="s">
        <v>40</v>
      </c>
      <c r="AE521" t="s">
        <v>996</v>
      </c>
      <c r="AF521" t="s">
        <v>997</v>
      </c>
      <c r="AG521" t="s">
        <v>998</v>
      </c>
      <c r="AH521">
        <v>57</v>
      </c>
      <c r="AI521" s="2" t="str">
        <f t="shared" si="40"/>
        <v>Independent</v>
      </c>
      <c r="AJ521" s="2" t="str">
        <f t="shared" si="41"/>
        <v>NO</v>
      </c>
      <c r="AK521" s="1" t="str">
        <f t="shared" si="42"/>
        <v>None</v>
      </c>
      <c r="AL521" s="1" t="str">
        <f t="shared" si="43"/>
        <v>1 Toilet</v>
      </c>
      <c r="AM521" s="1" t="str">
        <f t="shared" si="44"/>
        <v>YES</v>
      </c>
      <c r="AN521" s="1" t="str">
        <f>VLOOKUP(J521, 'Regions and Cities'!A:B, 2, FALSE)</f>
        <v>Varsinais-Suomi</v>
      </c>
    </row>
    <row r="522" spans="1:40" x14ac:dyDescent="0.3">
      <c r="A522" t="s">
        <v>3064</v>
      </c>
      <c r="B522" t="s">
        <v>3065</v>
      </c>
      <c r="C522" t="s">
        <v>306</v>
      </c>
      <c r="D522" t="s">
        <v>1491</v>
      </c>
      <c r="E522" t="s">
        <v>1492</v>
      </c>
      <c r="F522" t="s">
        <v>1493</v>
      </c>
      <c r="H522">
        <v>116</v>
      </c>
      <c r="I522" t="s">
        <v>136</v>
      </c>
      <c r="J522" t="s">
        <v>110</v>
      </c>
      <c r="K522" t="s">
        <v>131</v>
      </c>
      <c r="L522" t="s">
        <v>3066</v>
      </c>
      <c r="M522" t="s">
        <v>37</v>
      </c>
      <c r="N522" t="s">
        <v>3067</v>
      </c>
      <c r="O522" t="s">
        <v>3068</v>
      </c>
      <c r="R522" t="s">
        <v>37</v>
      </c>
      <c r="S522" t="s">
        <v>37</v>
      </c>
      <c r="T522">
        <v>60.404612</v>
      </c>
      <c r="U522" t="s">
        <v>3069</v>
      </c>
      <c r="V522" t="s">
        <v>3070</v>
      </c>
      <c r="W522">
        <v>22.368946000000001</v>
      </c>
      <c r="X522">
        <v>469000</v>
      </c>
      <c r="Y522" t="s">
        <v>580</v>
      </c>
      <c r="AA522" t="s">
        <v>38</v>
      </c>
      <c r="AB522" t="s">
        <v>39</v>
      </c>
      <c r="AC522" t="s">
        <v>480</v>
      </c>
      <c r="AD522" t="s">
        <v>75</v>
      </c>
      <c r="AE522" t="s">
        <v>3071</v>
      </c>
      <c r="AF522" t="s">
        <v>3072</v>
      </c>
      <c r="AG522" t="s">
        <v>3073</v>
      </c>
      <c r="AH522">
        <v>116</v>
      </c>
      <c r="AI522" s="2" t="str">
        <f t="shared" si="40"/>
        <v>Independent</v>
      </c>
      <c r="AJ522" s="2" t="str">
        <f t="shared" si="41"/>
        <v>NO</v>
      </c>
      <c r="AK522" s="1" t="str">
        <f t="shared" si="42"/>
        <v>Glazed Balcony</v>
      </c>
      <c r="AL522" s="1" t="str">
        <f t="shared" si="43"/>
        <v>1 Toilet</v>
      </c>
      <c r="AM522" s="1" t="str">
        <f t="shared" si="44"/>
        <v>YES</v>
      </c>
      <c r="AN522" s="1" t="str">
        <f>VLOOKUP(J522, 'Regions and Cities'!A:B, 2, FALSE)</f>
        <v>Varsinais-Suomi</v>
      </c>
    </row>
    <row r="523" spans="1:40" x14ac:dyDescent="0.3">
      <c r="A523" t="s">
        <v>6597</v>
      </c>
      <c r="B523" t="s">
        <v>6598</v>
      </c>
      <c r="C523" t="s">
        <v>952</v>
      </c>
      <c r="D523" t="s">
        <v>6599</v>
      </c>
      <c r="E523" t="s">
        <v>6600</v>
      </c>
      <c r="F523" t="s">
        <v>226</v>
      </c>
      <c r="H523">
        <v>108</v>
      </c>
      <c r="I523" t="s">
        <v>125</v>
      </c>
      <c r="J523" t="s">
        <v>107</v>
      </c>
      <c r="K523" t="s">
        <v>955</v>
      </c>
      <c r="L523" t="s">
        <v>6601</v>
      </c>
      <c r="M523" t="s">
        <v>37</v>
      </c>
      <c r="N523" t="s">
        <v>6602</v>
      </c>
      <c r="O523" t="s">
        <v>6603</v>
      </c>
      <c r="R523" t="s">
        <v>37</v>
      </c>
      <c r="S523" t="s">
        <v>37</v>
      </c>
      <c r="T523">
        <v>60.620049999999999</v>
      </c>
      <c r="U523" t="s">
        <v>6604</v>
      </c>
      <c r="V523" t="s">
        <v>6605</v>
      </c>
      <c r="W523">
        <v>24.841290000000001</v>
      </c>
      <c r="X523">
        <v>349000</v>
      </c>
      <c r="Y523" t="s">
        <v>284</v>
      </c>
      <c r="AA523" t="s">
        <v>45</v>
      </c>
      <c r="AB523" t="s">
        <v>39</v>
      </c>
      <c r="AC523" t="s">
        <v>6510</v>
      </c>
      <c r="AD523" t="s">
        <v>55</v>
      </c>
      <c r="AE523" t="s">
        <v>6606</v>
      </c>
      <c r="AF523" t="s">
        <v>6607</v>
      </c>
      <c r="AG523" t="s">
        <v>6608</v>
      </c>
      <c r="AH523">
        <v>108</v>
      </c>
      <c r="AI523" s="2" t="str">
        <f t="shared" si="40"/>
        <v>Independent</v>
      </c>
      <c r="AJ523" s="2" t="str">
        <f t="shared" si="41"/>
        <v>NO</v>
      </c>
      <c r="AK523" s="1" t="str">
        <f t="shared" si="42"/>
        <v>Terrace</v>
      </c>
      <c r="AL523" s="1" t="str">
        <f t="shared" si="43"/>
        <v>1 Toilet</v>
      </c>
      <c r="AM523" s="1" t="str">
        <f t="shared" si="44"/>
        <v>NO</v>
      </c>
      <c r="AN523" s="1" t="str">
        <f>VLOOKUP(J523, 'Regions and Cities'!A:B, 2, FALSE)</f>
        <v>Uusimaa</v>
      </c>
    </row>
    <row r="524" spans="1:40" x14ac:dyDescent="0.3">
      <c r="A524" t="s">
        <v>1886</v>
      </c>
      <c r="B524" t="s">
        <v>1887</v>
      </c>
      <c r="C524" t="s">
        <v>1888</v>
      </c>
      <c r="D524" t="s">
        <v>1889</v>
      </c>
      <c r="E524" t="s">
        <v>1890</v>
      </c>
      <c r="F524" t="s">
        <v>1032</v>
      </c>
      <c r="G524" t="s">
        <v>1891</v>
      </c>
      <c r="H524">
        <v>53</v>
      </c>
      <c r="I524" t="s">
        <v>100</v>
      </c>
      <c r="J524" t="s">
        <v>372</v>
      </c>
      <c r="K524" t="s">
        <v>1892</v>
      </c>
      <c r="L524" t="s">
        <v>1893</v>
      </c>
      <c r="M524" t="s">
        <v>37</v>
      </c>
      <c r="N524" t="s">
        <v>1894</v>
      </c>
      <c r="O524" t="s">
        <v>1895</v>
      </c>
      <c r="P524" t="s">
        <v>1896</v>
      </c>
      <c r="R524" t="s">
        <v>37</v>
      </c>
      <c r="S524" t="s">
        <v>37</v>
      </c>
      <c r="T524">
        <v>61.738323000000001</v>
      </c>
      <c r="U524" t="s">
        <v>1897</v>
      </c>
      <c r="V524" t="s">
        <v>1898</v>
      </c>
      <c r="W524">
        <v>26.138445000000001</v>
      </c>
      <c r="X524">
        <v>37500</v>
      </c>
      <c r="Y524" t="s">
        <v>1899</v>
      </c>
      <c r="AA524" t="s">
        <v>45</v>
      </c>
      <c r="AB524" t="s">
        <v>39</v>
      </c>
      <c r="AC524" t="s">
        <v>480</v>
      </c>
      <c r="AD524" t="s">
        <v>40</v>
      </c>
      <c r="AE524" t="s">
        <v>1900</v>
      </c>
      <c r="AF524" t="s">
        <v>1901</v>
      </c>
      <c r="AG524" t="s">
        <v>1902</v>
      </c>
      <c r="AH524">
        <v>53</v>
      </c>
      <c r="AI524" s="2" t="str">
        <f t="shared" si="40"/>
        <v>Independent</v>
      </c>
      <c r="AJ524" s="2" t="str">
        <f t="shared" si="41"/>
        <v>NO</v>
      </c>
      <c r="AK524" s="1" t="str">
        <f t="shared" si="42"/>
        <v>Terrace</v>
      </c>
      <c r="AL524" s="1" t="str">
        <f t="shared" si="43"/>
        <v>1 Toilet</v>
      </c>
      <c r="AM524" s="1" t="str">
        <f t="shared" si="44"/>
        <v>YES</v>
      </c>
      <c r="AN524" s="1" t="str">
        <f>VLOOKUP(J524, 'Regions and Cities'!A:B, 2, FALSE)</f>
        <v>Keski-Suomi</v>
      </c>
    </row>
    <row r="525" spans="1:40" x14ac:dyDescent="0.3">
      <c r="A525" t="s">
        <v>4058</v>
      </c>
      <c r="B525" t="s">
        <v>4059</v>
      </c>
      <c r="C525" t="s">
        <v>4060</v>
      </c>
      <c r="D525" t="s">
        <v>690</v>
      </c>
      <c r="E525" t="s">
        <v>691</v>
      </c>
      <c r="H525">
        <v>69.5</v>
      </c>
      <c r="I525" t="s">
        <v>3712</v>
      </c>
      <c r="J525" t="s">
        <v>265</v>
      </c>
      <c r="K525" t="s">
        <v>265</v>
      </c>
      <c r="L525" t="s">
        <v>4061</v>
      </c>
      <c r="M525" t="s">
        <v>37</v>
      </c>
      <c r="N525" t="s">
        <v>4062</v>
      </c>
      <c r="O525" t="s">
        <v>4063</v>
      </c>
      <c r="R525" t="s">
        <v>37</v>
      </c>
      <c r="S525" t="s">
        <v>37</v>
      </c>
      <c r="T525">
        <v>65.000434999999996</v>
      </c>
      <c r="U525" t="s">
        <v>4064</v>
      </c>
      <c r="V525" t="s">
        <v>4065</v>
      </c>
      <c r="W525">
        <v>25.465890999999999</v>
      </c>
      <c r="X525">
        <v>212000</v>
      </c>
      <c r="Y525" t="s">
        <v>4066</v>
      </c>
      <c r="AA525" t="s">
        <v>38</v>
      </c>
      <c r="AB525" t="s">
        <v>39</v>
      </c>
      <c r="AC525" t="s">
        <v>4067</v>
      </c>
      <c r="AD525" t="s">
        <v>46</v>
      </c>
      <c r="AE525" t="s">
        <v>47</v>
      </c>
      <c r="AF525" t="s">
        <v>4068</v>
      </c>
      <c r="AG525" t="s">
        <v>4069</v>
      </c>
      <c r="AH525">
        <v>69.5</v>
      </c>
      <c r="AI525" s="2" t="str">
        <f t="shared" si="40"/>
        <v>Independent</v>
      </c>
      <c r="AJ525" s="2" t="str">
        <f t="shared" si="41"/>
        <v>NO</v>
      </c>
      <c r="AK525" s="1" t="str">
        <f t="shared" si="42"/>
        <v>None</v>
      </c>
      <c r="AL525" s="1" t="str">
        <f t="shared" si="43"/>
        <v>1 Toilet</v>
      </c>
      <c r="AM525" s="1" t="str">
        <f t="shared" si="44"/>
        <v>NO</v>
      </c>
      <c r="AN525" s="1" t="str">
        <f>VLOOKUP(J525, 'Regions and Cities'!A:B, 2, FALSE)</f>
        <v>Pohjois-Pohjanmaa</v>
      </c>
    </row>
    <row r="526" spans="1:40" x14ac:dyDescent="0.3">
      <c r="A526" t="s">
        <v>5319</v>
      </c>
      <c r="B526" t="s">
        <v>5320</v>
      </c>
      <c r="C526" t="s">
        <v>5321</v>
      </c>
      <c r="D526" t="s">
        <v>5322</v>
      </c>
      <c r="E526" t="s">
        <v>5323</v>
      </c>
      <c r="F526" t="s">
        <v>5324</v>
      </c>
      <c r="H526">
        <v>62.5</v>
      </c>
      <c r="I526" t="s">
        <v>5325</v>
      </c>
      <c r="J526" t="s">
        <v>158</v>
      </c>
      <c r="K526" t="s">
        <v>5326</v>
      </c>
      <c r="L526" t="s">
        <v>5327</v>
      </c>
      <c r="M526" t="s">
        <v>37</v>
      </c>
      <c r="N526" t="s">
        <v>5328</v>
      </c>
      <c r="O526" t="s">
        <v>5329</v>
      </c>
      <c r="R526" t="s">
        <v>37</v>
      </c>
      <c r="S526" t="s">
        <v>37</v>
      </c>
      <c r="T526">
        <v>60.381619999999998</v>
      </c>
      <c r="U526" t="s">
        <v>5330</v>
      </c>
      <c r="V526" t="s">
        <v>5331</v>
      </c>
      <c r="W526">
        <v>23.132770000000001</v>
      </c>
      <c r="X526">
        <v>109000</v>
      </c>
      <c r="Y526" t="s">
        <v>976</v>
      </c>
      <c r="AA526" t="s">
        <v>38</v>
      </c>
      <c r="AB526" t="s">
        <v>39</v>
      </c>
      <c r="AC526" t="s">
        <v>480</v>
      </c>
      <c r="AD526" t="s">
        <v>40</v>
      </c>
      <c r="AE526" t="s">
        <v>790</v>
      </c>
      <c r="AF526" t="s">
        <v>5332</v>
      </c>
      <c r="AG526" t="s">
        <v>5333</v>
      </c>
      <c r="AH526">
        <v>62.5</v>
      </c>
      <c r="AI526" s="2" t="str">
        <f t="shared" si="40"/>
        <v>Independent</v>
      </c>
      <c r="AJ526" s="2" t="str">
        <f t="shared" si="41"/>
        <v>NO</v>
      </c>
      <c r="AK526" s="1" t="str">
        <f t="shared" si="42"/>
        <v>None</v>
      </c>
      <c r="AL526" s="1" t="str">
        <f t="shared" si="43"/>
        <v>1 Toilet</v>
      </c>
      <c r="AM526" s="1" t="str">
        <f t="shared" si="44"/>
        <v>NO</v>
      </c>
      <c r="AN526" s="1" t="str">
        <f>VLOOKUP(J526, 'Regions and Cities'!A:B, 2, FALSE)</f>
        <v>Varsinais-Suomi</v>
      </c>
    </row>
    <row r="527" spans="1:40" x14ac:dyDescent="0.3">
      <c r="A527" t="s">
        <v>6428</v>
      </c>
      <c r="B527" t="s">
        <v>6429</v>
      </c>
      <c r="C527" t="s">
        <v>6430</v>
      </c>
      <c r="D527" t="s">
        <v>6416</v>
      </c>
      <c r="E527" t="s">
        <v>6417</v>
      </c>
      <c r="F527" t="s">
        <v>50</v>
      </c>
      <c r="G527" t="s">
        <v>6418</v>
      </c>
      <c r="H527">
        <v>112</v>
      </c>
      <c r="I527" t="s">
        <v>2001</v>
      </c>
      <c r="J527" t="s">
        <v>126</v>
      </c>
      <c r="K527" t="s">
        <v>6431</v>
      </c>
      <c r="L527" t="s">
        <v>6432</v>
      </c>
      <c r="M527" t="s">
        <v>37</v>
      </c>
      <c r="N527" t="s">
        <v>6433</v>
      </c>
      <c r="O527" t="s">
        <v>6434</v>
      </c>
      <c r="P527" t="s">
        <v>6435</v>
      </c>
      <c r="R527" t="s">
        <v>37</v>
      </c>
      <c r="S527" t="s">
        <v>37</v>
      </c>
      <c r="T527">
        <v>60.146470000000001</v>
      </c>
      <c r="U527" t="s">
        <v>6436</v>
      </c>
      <c r="V527" t="s">
        <v>6437</v>
      </c>
      <c r="W527">
        <v>24.651509999999998</v>
      </c>
      <c r="X527">
        <v>347000</v>
      </c>
      <c r="Y527" t="s">
        <v>6438</v>
      </c>
      <c r="AA527" t="s">
        <v>54</v>
      </c>
      <c r="AB527" t="s">
        <v>39</v>
      </c>
      <c r="AC527" t="s">
        <v>480</v>
      </c>
      <c r="AD527" t="s">
        <v>75</v>
      </c>
      <c r="AE527" t="s">
        <v>6439</v>
      </c>
      <c r="AF527" t="s">
        <v>6440</v>
      </c>
      <c r="AG527" t="s">
        <v>6441</v>
      </c>
      <c r="AH527">
        <v>112</v>
      </c>
      <c r="AI527" s="2" t="str">
        <f t="shared" si="40"/>
        <v>Independent</v>
      </c>
      <c r="AJ527" s="2" t="str">
        <f t="shared" si="41"/>
        <v>YES</v>
      </c>
      <c r="AK527" s="1" t="str">
        <f t="shared" si="42"/>
        <v>Standard Balcony</v>
      </c>
      <c r="AL527" s="1" t="str">
        <f t="shared" si="43"/>
        <v>2 Toilets</v>
      </c>
      <c r="AM527" s="1" t="str">
        <f t="shared" si="44"/>
        <v>YES</v>
      </c>
      <c r="AN527" s="1" t="str">
        <f>VLOOKUP(J527, 'Regions and Cities'!A:B, 2, FALSE)</f>
        <v>Uusimaa</v>
      </c>
    </row>
    <row r="528" spans="1:40" x14ac:dyDescent="0.3">
      <c r="A528" t="s">
        <v>8645</v>
      </c>
      <c r="B528" t="s">
        <v>8646</v>
      </c>
      <c r="C528" t="s">
        <v>8647</v>
      </c>
      <c r="D528" t="s">
        <v>1988</v>
      </c>
      <c r="E528" t="s">
        <v>1989</v>
      </c>
      <c r="H528">
        <v>80</v>
      </c>
      <c r="I528" t="s">
        <v>272</v>
      </c>
      <c r="J528" t="s">
        <v>435</v>
      </c>
      <c r="K528" t="s">
        <v>8648</v>
      </c>
      <c r="L528" t="s">
        <v>8649</v>
      </c>
      <c r="M528" t="s">
        <v>37</v>
      </c>
      <c r="N528" t="s">
        <v>8650</v>
      </c>
      <c r="O528" t="s">
        <v>8651</v>
      </c>
      <c r="R528" t="s">
        <v>37</v>
      </c>
      <c r="S528" t="s">
        <v>37</v>
      </c>
      <c r="T528">
        <v>60.956609999999998</v>
      </c>
      <c r="U528" t="s">
        <v>8652</v>
      </c>
      <c r="V528" t="s">
        <v>8653</v>
      </c>
      <c r="W528">
        <v>21.437760000000001</v>
      </c>
      <c r="X528">
        <v>76000</v>
      </c>
      <c r="Y528" t="s">
        <v>8175</v>
      </c>
      <c r="AA528" t="s">
        <v>63</v>
      </c>
      <c r="AB528" t="s">
        <v>39</v>
      </c>
      <c r="AC528" t="s">
        <v>6510</v>
      </c>
      <c r="AD528" t="s">
        <v>46</v>
      </c>
      <c r="AE528" t="s">
        <v>8654</v>
      </c>
      <c r="AF528" t="s">
        <v>8655</v>
      </c>
      <c r="AG528" t="s">
        <v>8656</v>
      </c>
      <c r="AH528">
        <v>119</v>
      </c>
      <c r="AI528" s="2" t="str">
        <f t="shared" si="40"/>
        <v>Independent</v>
      </c>
      <c r="AJ528" s="2" t="str">
        <f t="shared" si="41"/>
        <v>YES</v>
      </c>
      <c r="AK528" s="1" t="str">
        <f t="shared" si="42"/>
        <v>None</v>
      </c>
      <c r="AL528" s="1" t="str">
        <f t="shared" si="43"/>
        <v>1 Toilet</v>
      </c>
      <c r="AM528" s="1" t="str">
        <f t="shared" si="44"/>
        <v>YES</v>
      </c>
      <c r="AN528" s="1" t="str">
        <f>VLOOKUP(J528, 'Regions and Cities'!A:B, 2, FALSE)</f>
        <v>Varsinais-Suomi</v>
      </c>
    </row>
    <row r="529" spans="1:40" x14ac:dyDescent="0.3">
      <c r="A529" t="s">
        <v>6179</v>
      </c>
      <c r="B529" t="s">
        <v>6180</v>
      </c>
      <c r="C529" t="s">
        <v>6181</v>
      </c>
      <c r="D529" t="s">
        <v>6167</v>
      </c>
      <c r="E529" t="s">
        <v>6168</v>
      </c>
      <c r="F529" t="s">
        <v>768</v>
      </c>
      <c r="H529">
        <v>208</v>
      </c>
      <c r="I529" t="s">
        <v>2091</v>
      </c>
      <c r="J529" t="s">
        <v>126</v>
      </c>
      <c r="K529" t="s">
        <v>6182</v>
      </c>
      <c r="L529" t="s">
        <v>6183</v>
      </c>
      <c r="M529" t="s">
        <v>37</v>
      </c>
      <c r="N529" t="s">
        <v>6184</v>
      </c>
      <c r="O529" t="s">
        <v>6185</v>
      </c>
      <c r="R529" t="s">
        <v>37</v>
      </c>
      <c r="S529" t="s">
        <v>37</v>
      </c>
      <c r="T529">
        <v>60.142110000000002</v>
      </c>
      <c r="U529" t="s">
        <v>6186</v>
      </c>
      <c r="V529" t="s">
        <v>6187</v>
      </c>
      <c r="W529">
        <v>24.683340000000001</v>
      </c>
      <c r="X529">
        <v>1250000</v>
      </c>
      <c r="Y529" t="s">
        <v>6188</v>
      </c>
      <c r="AA529" t="s">
        <v>63</v>
      </c>
      <c r="AB529" t="s">
        <v>39</v>
      </c>
      <c r="AC529" t="s">
        <v>6189</v>
      </c>
      <c r="AD529" t="s">
        <v>64</v>
      </c>
      <c r="AE529" t="s">
        <v>6190</v>
      </c>
      <c r="AF529" t="s">
        <v>6191</v>
      </c>
      <c r="AG529" t="s">
        <v>6192</v>
      </c>
      <c r="AH529">
        <v>242</v>
      </c>
      <c r="AI529" s="2" t="str">
        <f t="shared" si="40"/>
        <v>Kitchenette</v>
      </c>
      <c r="AJ529" s="2" t="str">
        <f t="shared" si="41"/>
        <v>NO</v>
      </c>
      <c r="AK529" s="1" t="str">
        <f t="shared" si="42"/>
        <v>None</v>
      </c>
      <c r="AL529" s="1" t="str">
        <f t="shared" si="43"/>
        <v>1 Toilet</v>
      </c>
      <c r="AM529" s="1" t="str">
        <f t="shared" si="44"/>
        <v>YES</v>
      </c>
      <c r="AN529" s="1" t="str">
        <f>VLOOKUP(J529, 'Regions and Cities'!A:B, 2, FALSE)</f>
        <v>Uusimaa</v>
      </c>
    </row>
    <row r="530" spans="1:40" x14ac:dyDescent="0.3">
      <c r="A530" t="s">
        <v>9237</v>
      </c>
      <c r="B530" t="s">
        <v>9238</v>
      </c>
      <c r="C530" t="s">
        <v>9239</v>
      </c>
      <c r="D530" t="s">
        <v>9240</v>
      </c>
      <c r="E530" t="s">
        <v>9241</v>
      </c>
      <c r="F530" t="s">
        <v>9242</v>
      </c>
      <c r="H530">
        <v>91</v>
      </c>
      <c r="I530" t="s">
        <v>2696</v>
      </c>
      <c r="J530" t="s">
        <v>60</v>
      </c>
      <c r="K530" t="s">
        <v>9243</v>
      </c>
      <c r="L530" t="s">
        <v>9244</v>
      </c>
      <c r="M530" t="s">
        <v>37</v>
      </c>
      <c r="N530" t="s">
        <v>9245</v>
      </c>
      <c r="O530" t="s">
        <v>9246</v>
      </c>
      <c r="R530" t="s">
        <v>37</v>
      </c>
      <c r="S530" t="s">
        <v>37</v>
      </c>
      <c r="T530">
        <v>60.995674000000001</v>
      </c>
      <c r="U530" t="s">
        <v>9247</v>
      </c>
      <c r="V530" t="s">
        <v>9248</v>
      </c>
      <c r="W530">
        <v>24.438662999999998</v>
      </c>
      <c r="X530">
        <v>119000</v>
      </c>
      <c r="Y530" t="s">
        <v>297</v>
      </c>
      <c r="AA530" t="s">
        <v>63</v>
      </c>
      <c r="AB530" t="s">
        <v>39</v>
      </c>
      <c r="AC530" t="s">
        <v>6510</v>
      </c>
      <c r="AD530" t="s">
        <v>75</v>
      </c>
      <c r="AE530" t="s">
        <v>9249</v>
      </c>
      <c r="AF530" t="s">
        <v>9250</v>
      </c>
      <c r="AG530" t="s">
        <v>9251</v>
      </c>
      <c r="AH530">
        <v>105</v>
      </c>
      <c r="AI530" s="2" t="str">
        <f t="shared" si="40"/>
        <v>Independent</v>
      </c>
      <c r="AJ530" s="2" t="str">
        <f t="shared" si="41"/>
        <v>NO</v>
      </c>
      <c r="AK530" s="1" t="str">
        <f t="shared" si="42"/>
        <v>Terrace</v>
      </c>
      <c r="AL530" s="1" t="str">
        <f t="shared" si="43"/>
        <v>1 Toilet</v>
      </c>
      <c r="AM530" s="1" t="str">
        <f t="shared" si="44"/>
        <v>YES</v>
      </c>
      <c r="AN530" s="1" t="str">
        <f>VLOOKUP(J530, 'Regions and Cities'!A:B, 2, FALSE)</f>
        <v>Kanta-Häme</v>
      </c>
    </row>
    <row r="531" spans="1:40" x14ac:dyDescent="0.3">
      <c r="A531" t="s">
        <v>7092</v>
      </c>
      <c r="B531" t="s">
        <v>7093</v>
      </c>
      <c r="C531" t="s">
        <v>7094</v>
      </c>
      <c r="D531" t="s">
        <v>7095</v>
      </c>
      <c r="E531" t="s">
        <v>7096</v>
      </c>
      <c r="F531" t="s">
        <v>58</v>
      </c>
      <c r="G531" t="s">
        <v>7097</v>
      </c>
      <c r="H531">
        <v>40.5</v>
      </c>
      <c r="I531" t="s">
        <v>190</v>
      </c>
      <c r="J531" t="s">
        <v>350</v>
      </c>
      <c r="K531" t="s">
        <v>7098</v>
      </c>
      <c r="L531" t="s">
        <v>7099</v>
      </c>
      <c r="M531" t="s">
        <v>37</v>
      </c>
      <c r="N531" t="s">
        <v>7100</v>
      </c>
      <c r="O531" t="s">
        <v>7101</v>
      </c>
      <c r="P531" t="s">
        <v>7102</v>
      </c>
      <c r="Q531" t="s">
        <v>7103</v>
      </c>
      <c r="R531" t="s">
        <v>37</v>
      </c>
      <c r="S531" t="s">
        <v>37</v>
      </c>
      <c r="T531">
        <v>62.592509999999997</v>
      </c>
      <c r="U531" t="s">
        <v>7104</v>
      </c>
      <c r="V531" t="s">
        <v>7105</v>
      </c>
      <c r="W531">
        <v>29.783850000000001</v>
      </c>
      <c r="X531">
        <v>158000</v>
      </c>
      <c r="Y531" t="s">
        <v>5887</v>
      </c>
      <c r="AA531" t="s">
        <v>38</v>
      </c>
      <c r="AB531" t="s">
        <v>39</v>
      </c>
      <c r="AC531" t="s">
        <v>6510</v>
      </c>
      <c r="AD531" t="s">
        <v>40</v>
      </c>
      <c r="AE531" t="s">
        <v>41</v>
      </c>
      <c r="AF531" t="s">
        <v>7106</v>
      </c>
      <c r="AG531" t="s">
        <v>7107</v>
      </c>
      <c r="AH531">
        <v>40.5</v>
      </c>
      <c r="AI531" s="2" t="str">
        <f t="shared" si="40"/>
        <v>Open</v>
      </c>
      <c r="AJ531" s="2" t="str">
        <f t="shared" si="41"/>
        <v>YES</v>
      </c>
      <c r="AK531" s="1" t="str">
        <f t="shared" si="42"/>
        <v>None</v>
      </c>
      <c r="AL531" s="1" t="str">
        <f t="shared" si="43"/>
        <v>1 Toilet</v>
      </c>
      <c r="AM531" s="1" t="str">
        <f t="shared" si="44"/>
        <v>NO</v>
      </c>
      <c r="AN531" s="1" t="str">
        <f>VLOOKUP(J531, 'Regions and Cities'!A:B, 2, FALSE)</f>
        <v>Pohjois-Karjala</v>
      </c>
    </row>
    <row r="532" spans="1:40" x14ac:dyDescent="0.3">
      <c r="A532" t="s">
        <v>1332</v>
      </c>
      <c r="B532" t="s">
        <v>1333</v>
      </c>
      <c r="C532" t="s">
        <v>1309</v>
      </c>
      <c r="D532" t="s">
        <v>168</v>
      </c>
      <c r="E532" t="s">
        <v>169</v>
      </c>
      <c r="F532" t="s">
        <v>170</v>
      </c>
      <c r="H532">
        <v>71</v>
      </c>
      <c r="I532" t="s">
        <v>1310</v>
      </c>
      <c r="J532" t="s">
        <v>362</v>
      </c>
      <c r="K532" t="s">
        <v>1311</v>
      </c>
      <c r="L532" t="s">
        <v>1334</v>
      </c>
      <c r="M532" t="s">
        <v>37</v>
      </c>
      <c r="N532" t="s">
        <v>1335</v>
      </c>
      <c r="O532" t="s">
        <v>1336</v>
      </c>
      <c r="R532" t="s">
        <v>111</v>
      </c>
      <c r="S532" t="s">
        <v>37</v>
      </c>
      <c r="T532">
        <v>61.497391999999998</v>
      </c>
      <c r="U532" t="s">
        <v>1337</v>
      </c>
      <c r="V532" t="s">
        <v>1338</v>
      </c>
      <c r="W532">
        <v>23.937418999999998</v>
      </c>
      <c r="X532">
        <v>264740.90000000002</v>
      </c>
      <c r="Y532" t="s">
        <v>1339</v>
      </c>
      <c r="AA532" t="s">
        <v>38</v>
      </c>
      <c r="AB532" t="s">
        <v>39</v>
      </c>
      <c r="AC532" t="s">
        <v>480</v>
      </c>
      <c r="AD532" t="s">
        <v>46</v>
      </c>
      <c r="AE532" t="s">
        <v>1340</v>
      </c>
      <c r="AF532" t="s">
        <v>1341</v>
      </c>
      <c r="AG532" t="s">
        <v>1342</v>
      </c>
      <c r="AH532"/>
      <c r="AI532" s="2" t="str">
        <f t="shared" si="40"/>
        <v>Open</v>
      </c>
      <c r="AJ532" s="2" t="str">
        <f t="shared" si="41"/>
        <v>YES</v>
      </c>
      <c r="AK532" s="1" t="str">
        <f t="shared" si="42"/>
        <v>Standard Balcony</v>
      </c>
      <c r="AL532" s="1" t="str">
        <f t="shared" si="43"/>
        <v>1 Toilet</v>
      </c>
      <c r="AM532" s="1" t="str">
        <f t="shared" si="44"/>
        <v>NO</v>
      </c>
      <c r="AN532" s="1" t="str">
        <f>VLOOKUP(J532, 'Regions and Cities'!A:B, 2, FALSE)</f>
        <v>Pirkanmaa</v>
      </c>
    </row>
    <row r="533" spans="1:40" x14ac:dyDescent="0.3">
      <c r="A533" t="s">
        <v>1307</v>
      </c>
      <c r="B533" t="s">
        <v>1308</v>
      </c>
      <c r="C533" t="s">
        <v>1309</v>
      </c>
      <c r="D533" t="s">
        <v>168</v>
      </c>
      <c r="E533" t="s">
        <v>169</v>
      </c>
      <c r="F533" t="s">
        <v>170</v>
      </c>
      <c r="H533">
        <v>54.5</v>
      </c>
      <c r="I533" t="s">
        <v>1310</v>
      </c>
      <c r="J533" t="s">
        <v>362</v>
      </c>
      <c r="K533" t="s">
        <v>1311</v>
      </c>
      <c r="L533" t="s">
        <v>1312</v>
      </c>
      <c r="M533" t="s">
        <v>37</v>
      </c>
      <c r="N533" t="s">
        <v>1313</v>
      </c>
      <c r="O533" t="s">
        <v>1314</v>
      </c>
      <c r="R533" t="s">
        <v>111</v>
      </c>
      <c r="S533" t="s">
        <v>37</v>
      </c>
      <c r="T533">
        <v>61.497391999999998</v>
      </c>
      <c r="U533" t="s">
        <v>1315</v>
      </c>
      <c r="V533" t="s">
        <v>1316</v>
      </c>
      <c r="W533">
        <v>23.937418999999998</v>
      </c>
      <c r="X533">
        <v>209993.51</v>
      </c>
      <c r="Y533" t="s">
        <v>1317</v>
      </c>
      <c r="AA533" t="s">
        <v>38</v>
      </c>
      <c r="AB533" t="s">
        <v>39</v>
      </c>
      <c r="AC533" t="s">
        <v>480</v>
      </c>
      <c r="AD533" t="s">
        <v>40</v>
      </c>
      <c r="AE533" t="s">
        <v>1318</v>
      </c>
      <c r="AF533" t="s">
        <v>1319</v>
      </c>
      <c r="AG533" t="s">
        <v>1320</v>
      </c>
      <c r="AH533"/>
      <c r="AI533" s="2" t="str">
        <f t="shared" si="40"/>
        <v>Open</v>
      </c>
      <c r="AJ533" s="2" t="str">
        <f t="shared" si="41"/>
        <v>YES</v>
      </c>
      <c r="AK533" s="1" t="str">
        <f t="shared" si="42"/>
        <v>Terrace</v>
      </c>
      <c r="AL533" s="1" t="str">
        <f t="shared" si="43"/>
        <v>1 Toilet</v>
      </c>
      <c r="AM533" s="1" t="str">
        <f t="shared" si="44"/>
        <v>YES</v>
      </c>
      <c r="AN533" s="1" t="str">
        <f>VLOOKUP(J533, 'Regions and Cities'!A:B, 2, FALSE)</f>
        <v>Pirkanmaa</v>
      </c>
    </row>
    <row r="534" spans="1:40" x14ac:dyDescent="0.3">
      <c r="A534" t="s">
        <v>1421</v>
      </c>
      <c r="B534" t="s">
        <v>1422</v>
      </c>
      <c r="C534" t="s">
        <v>1309</v>
      </c>
      <c r="D534" t="s">
        <v>168</v>
      </c>
      <c r="E534" t="s">
        <v>169</v>
      </c>
      <c r="F534" t="s">
        <v>170</v>
      </c>
      <c r="H534">
        <v>54.5</v>
      </c>
      <c r="I534" t="s">
        <v>1310</v>
      </c>
      <c r="J534" t="s">
        <v>362</v>
      </c>
      <c r="K534" t="s">
        <v>1311</v>
      </c>
      <c r="L534" t="s">
        <v>1423</v>
      </c>
      <c r="M534" t="s">
        <v>37</v>
      </c>
      <c r="N534" t="s">
        <v>1424</v>
      </c>
      <c r="O534" t="s">
        <v>1425</v>
      </c>
      <c r="R534" t="s">
        <v>111</v>
      </c>
      <c r="S534" t="s">
        <v>37</v>
      </c>
      <c r="T534">
        <v>61.497391999999998</v>
      </c>
      <c r="U534" t="s">
        <v>1426</v>
      </c>
      <c r="V534" t="s">
        <v>1427</v>
      </c>
      <c r="W534">
        <v>23.937418999999998</v>
      </c>
      <c r="X534">
        <v>249833.16</v>
      </c>
      <c r="Y534" t="s">
        <v>1428</v>
      </c>
      <c r="AA534" t="s">
        <v>38</v>
      </c>
      <c r="AB534" t="s">
        <v>39</v>
      </c>
      <c r="AC534" t="s">
        <v>480</v>
      </c>
      <c r="AD534" t="s">
        <v>40</v>
      </c>
      <c r="AE534" t="s">
        <v>1429</v>
      </c>
      <c r="AF534" t="s">
        <v>1430</v>
      </c>
      <c r="AG534" t="s">
        <v>1431</v>
      </c>
      <c r="AH534"/>
      <c r="AI534" s="2" t="str">
        <f t="shared" si="40"/>
        <v>Open</v>
      </c>
      <c r="AJ534" s="2" t="str">
        <f t="shared" si="41"/>
        <v>YES</v>
      </c>
      <c r="AK534" s="1" t="str">
        <f t="shared" si="42"/>
        <v>Standard Balcony</v>
      </c>
      <c r="AL534" s="1" t="str">
        <f t="shared" si="43"/>
        <v>1 Toilet</v>
      </c>
      <c r="AM534" s="1" t="str">
        <f t="shared" si="44"/>
        <v>YES</v>
      </c>
      <c r="AN534" s="1" t="str">
        <f>VLOOKUP(J534, 'Regions and Cities'!A:B, 2, FALSE)</f>
        <v>Pirkanmaa</v>
      </c>
    </row>
    <row r="535" spans="1:40" x14ac:dyDescent="0.3">
      <c r="A535" t="s">
        <v>1410</v>
      </c>
      <c r="B535" t="s">
        <v>1411</v>
      </c>
      <c r="C535" t="s">
        <v>1309</v>
      </c>
      <c r="D535" t="s">
        <v>168</v>
      </c>
      <c r="E535" t="s">
        <v>169</v>
      </c>
      <c r="F535" t="s">
        <v>170</v>
      </c>
      <c r="H535">
        <v>32</v>
      </c>
      <c r="I535" t="s">
        <v>1310</v>
      </c>
      <c r="J535" t="s">
        <v>362</v>
      </c>
      <c r="K535" t="s">
        <v>1311</v>
      </c>
      <c r="L535" t="s">
        <v>1412</v>
      </c>
      <c r="M535" t="s">
        <v>37</v>
      </c>
      <c r="N535" t="s">
        <v>1413</v>
      </c>
      <c r="O535" t="s">
        <v>1414</v>
      </c>
      <c r="R535" t="s">
        <v>111</v>
      </c>
      <c r="S535" t="s">
        <v>37</v>
      </c>
      <c r="T535">
        <v>61.497391999999998</v>
      </c>
      <c r="U535" t="s">
        <v>1415</v>
      </c>
      <c r="V535" t="s">
        <v>1416</v>
      </c>
      <c r="W535">
        <v>23.937418999999998</v>
      </c>
      <c r="X535">
        <v>135968.87</v>
      </c>
      <c r="Y535" t="s">
        <v>1417</v>
      </c>
      <c r="AA535" t="s">
        <v>38</v>
      </c>
      <c r="AB535" t="s">
        <v>39</v>
      </c>
      <c r="AC535" t="s">
        <v>480</v>
      </c>
      <c r="AD535" t="s">
        <v>40</v>
      </c>
      <c r="AE535" t="s">
        <v>1418</v>
      </c>
      <c r="AF535" t="s">
        <v>1419</v>
      </c>
      <c r="AG535" t="s">
        <v>1420</v>
      </c>
      <c r="AH535"/>
      <c r="AI535" s="2" t="str">
        <f t="shared" si="40"/>
        <v>Open</v>
      </c>
      <c r="AJ535" s="2" t="str">
        <f t="shared" si="41"/>
        <v>NO</v>
      </c>
      <c r="AK535" s="1" t="str">
        <f t="shared" si="42"/>
        <v>Standard Balcony</v>
      </c>
      <c r="AL535" s="1" t="str">
        <f t="shared" si="43"/>
        <v>1 Toilet</v>
      </c>
      <c r="AM535" s="1" t="str">
        <f t="shared" si="44"/>
        <v>NO</v>
      </c>
      <c r="AN535" s="1" t="str">
        <f>VLOOKUP(J535, 'Regions and Cities'!A:B, 2, FALSE)</f>
        <v>Pirkanmaa</v>
      </c>
    </row>
    <row r="536" spans="1:40" x14ac:dyDescent="0.3">
      <c r="A536" t="s">
        <v>1369</v>
      </c>
      <c r="B536" t="s">
        <v>1370</v>
      </c>
      <c r="C536" t="s">
        <v>1309</v>
      </c>
      <c r="D536" t="s">
        <v>168</v>
      </c>
      <c r="E536" t="s">
        <v>169</v>
      </c>
      <c r="F536" t="s">
        <v>170</v>
      </c>
      <c r="H536">
        <v>60.5</v>
      </c>
      <c r="I536" t="s">
        <v>1310</v>
      </c>
      <c r="J536" t="s">
        <v>362</v>
      </c>
      <c r="K536" t="s">
        <v>1311</v>
      </c>
      <c r="L536" t="s">
        <v>1371</v>
      </c>
      <c r="M536" t="s">
        <v>37</v>
      </c>
      <c r="N536" t="s">
        <v>1372</v>
      </c>
      <c r="O536" t="s">
        <v>1373</v>
      </c>
      <c r="R536" t="s">
        <v>111</v>
      </c>
      <c r="S536" t="s">
        <v>37</v>
      </c>
      <c r="T536">
        <v>61.497093999999997</v>
      </c>
      <c r="U536" t="s">
        <v>1374</v>
      </c>
      <c r="V536" t="s">
        <v>1375</v>
      </c>
      <c r="W536">
        <v>23.937280000000001</v>
      </c>
      <c r="X536">
        <v>259857.33</v>
      </c>
      <c r="Y536" t="s">
        <v>1376</v>
      </c>
      <c r="AA536" t="s">
        <v>45</v>
      </c>
      <c r="AB536" t="s">
        <v>39</v>
      </c>
      <c r="AC536" t="s">
        <v>480</v>
      </c>
      <c r="AD536" t="s">
        <v>46</v>
      </c>
      <c r="AE536" t="s">
        <v>1377</v>
      </c>
      <c r="AF536" t="s">
        <v>1378</v>
      </c>
      <c r="AG536" t="s">
        <v>1379</v>
      </c>
      <c r="AH536"/>
      <c r="AI536" s="2" t="str">
        <f t="shared" si="40"/>
        <v>Open</v>
      </c>
      <c r="AJ536" s="2" t="str">
        <f t="shared" si="41"/>
        <v>NO</v>
      </c>
      <c r="AK536" s="1" t="str">
        <f t="shared" si="42"/>
        <v>Terrace</v>
      </c>
      <c r="AL536" s="1" t="str">
        <f t="shared" si="43"/>
        <v>1 Toilet</v>
      </c>
      <c r="AM536" s="1" t="str">
        <f t="shared" si="44"/>
        <v>YES</v>
      </c>
      <c r="AN536" s="1" t="str">
        <f>VLOOKUP(J536, 'Regions and Cities'!A:B, 2, FALSE)</f>
        <v>Pirkanmaa</v>
      </c>
    </row>
    <row r="537" spans="1:40" x14ac:dyDescent="0.3">
      <c r="A537" t="s">
        <v>1343</v>
      </c>
      <c r="B537" t="s">
        <v>1344</v>
      </c>
      <c r="C537" t="s">
        <v>1309</v>
      </c>
      <c r="D537" t="s">
        <v>168</v>
      </c>
      <c r="E537" t="s">
        <v>169</v>
      </c>
      <c r="F537" t="s">
        <v>170</v>
      </c>
      <c r="H537">
        <v>88.5</v>
      </c>
      <c r="I537" t="s">
        <v>1310</v>
      </c>
      <c r="J537" t="s">
        <v>362</v>
      </c>
      <c r="K537" t="s">
        <v>1311</v>
      </c>
      <c r="L537" t="s">
        <v>1345</v>
      </c>
      <c r="M537" t="s">
        <v>37</v>
      </c>
      <c r="N537" t="s">
        <v>1346</v>
      </c>
      <c r="O537" t="s">
        <v>1347</v>
      </c>
      <c r="R537" t="s">
        <v>111</v>
      </c>
      <c r="S537" t="s">
        <v>37</v>
      </c>
      <c r="T537">
        <v>61.497093999999997</v>
      </c>
      <c r="U537" t="s">
        <v>1348</v>
      </c>
      <c r="V537" t="s">
        <v>1349</v>
      </c>
      <c r="W537">
        <v>23.937280000000001</v>
      </c>
      <c r="X537">
        <v>369866.17</v>
      </c>
      <c r="Y537" t="s">
        <v>1350</v>
      </c>
      <c r="AA537" t="s">
        <v>45</v>
      </c>
      <c r="AB537" t="s">
        <v>39</v>
      </c>
      <c r="AC537" t="s">
        <v>480</v>
      </c>
      <c r="AD537" t="s">
        <v>46</v>
      </c>
      <c r="AE537" t="s">
        <v>1351</v>
      </c>
      <c r="AF537" t="s">
        <v>1352</v>
      </c>
      <c r="AG537" t="s">
        <v>1353</v>
      </c>
      <c r="AH537"/>
      <c r="AI537" s="2" t="str">
        <f t="shared" si="40"/>
        <v>Open</v>
      </c>
      <c r="AJ537" s="2" t="str">
        <f t="shared" si="41"/>
        <v>NO</v>
      </c>
      <c r="AK537" s="1" t="str">
        <f t="shared" si="42"/>
        <v>Terrace</v>
      </c>
      <c r="AL537" s="1" t="str">
        <f t="shared" si="43"/>
        <v>2 Toilets</v>
      </c>
      <c r="AM537" s="1" t="str">
        <f t="shared" si="44"/>
        <v>YES</v>
      </c>
      <c r="AN537" s="1" t="str">
        <f>VLOOKUP(J537, 'Regions and Cities'!A:B, 2, FALSE)</f>
        <v>Pirkanmaa</v>
      </c>
    </row>
    <row r="538" spans="1:40" x14ac:dyDescent="0.3">
      <c r="A538" t="s">
        <v>1432</v>
      </c>
      <c r="B538" t="s">
        <v>1433</v>
      </c>
      <c r="C538" t="s">
        <v>1309</v>
      </c>
      <c r="D538" t="s">
        <v>168</v>
      </c>
      <c r="E538" t="s">
        <v>169</v>
      </c>
      <c r="F538" t="s">
        <v>170</v>
      </c>
      <c r="H538">
        <v>62</v>
      </c>
      <c r="I538" t="s">
        <v>1310</v>
      </c>
      <c r="J538" t="s">
        <v>362</v>
      </c>
      <c r="K538" t="s">
        <v>1311</v>
      </c>
      <c r="L538" t="s">
        <v>1434</v>
      </c>
      <c r="M538" t="s">
        <v>37</v>
      </c>
      <c r="N538" t="s">
        <v>1435</v>
      </c>
      <c r="O538" t="s">
        <v>1436</v>
      </c>
      <c r="R538" t="s">
        <v>111</v>
      </c>
      <c r="S538" t="s">
        <v>37</v>
      </c>
      <c r="T538">
        <v>61.497093999999997</v>
      </c>
      <c r="U538" t="s">
        <v>1437</v>
      </c>
      <c r="V538" t="s">
        <v>1438</v>
      </c>
      <c r="W538">
        <v>23.937280000000001</v>
      </c>
      <c r="X538">
        <v>249833.16</v>
      </c>
      <c r="Y538" t="s">
        <v>1428</v>
      </c>
      <c r="AA538" t="s">
        <v>45</v>
      </c>
      <c r="AB538" t="s">
        <v>39</v>
      </c>
      <c r="AC538" t="s">
        <v>480</v>
      </c>
      <c r="AD538" t="s">
        <v>40</v>
      </c>
      <c r="AE538" t="s">
        <v>1439</v>
      </c>
      <c r="AF538" t="s">
        <v>1440</v>
      </c>
      <c r="AG538" t="s">
        <v>1441</v>
      </c>
      <c r="AH538"/>
      <c r="AI538" s="2" t="str">
        <f t="shared" si="40"/>
        <v>Open</v>
      </c>
      <c r="AJ538" s="2" t="str">
        <f t="shared" si="41"/>
        <v>NO</v>
      </c>
      <c r="AK538" s="1" t="str">
        <f t="shared" si="42"/>
        <v>Terrace</v>
      </c>
      <c r="AL538" s="1" t="str">
        <f t="shared" si="43"/>
        <v>1 Toilet</v>
      </c>
      <c r="AM538" s="1" t="str">
        <f t="shared" si="44"/>
        <v>YES</v>
      </c>
      <c r="AN538" s="1" t="str">
        <f>VLOOKUP(J538, 'Regions and Cities'!A:B, 2, FALSE)</f>
        <v>Pirkanmaa</v>
      </c>
    </row>
    <row r="539" spans="1:40" x14ac:dyDescent="0.3">
      <c r="A539" t="s">
        <v>6725</v>
      </c>
      <c r="B539" t="s">
        <v>6726</v>
      </c>
      <c r="C539" t="s">
        <v>3917</v>
      </c>
      <c r="D539" t="s">
        <v>6727</v>
      </c>
      <c r="E539" t="s">
        <v>6728</v>
      </c>
      <c r="F539" t="s">
        <v>105</v>
      </c>
      <c r="H539">
        <v>33.5</v>
      </c>
      <c r="I539" t="s">
        <v>35</v>
      </c>
      <c r="J539" t="s">
        <v>137</v>
      </c>
      <c r="K539" t="s">
        <v>3921</v>
      </c>
      <c r="L539" t="s">
        <v>6729</v>
      </c>
      <c r="M539" t="s">
        <v>37</v>
      </c>
      <c r="N539" t="s">
        <v>6730</v>
      </c>
      <c r="O539" t="s">
        <v>6731</v>
      </c>
      <c r="R539" t="s">
        <v>37</v>
      </c>
      <c r="S539" t="s">
        <v>37</v>
      </c>
      <c r="T539">
        <v>60.173569999999998</v>
      </c>
      <c r="U539" t="s">
        <v>6732</v>
      </c>
      <c r="V539" t="s">
        <v>6733</v>
      </c>
      <c r="W539">
        <v>25.032903999999998</v>
      </c>
      <c r="X539">
        <v>185000</v>
      </c>
      <c r="Y539" t="s">
        <v>230</v>
      </c>
      <c r="AA539" t="s">
        <v>38</v>
      </c>
      <c r="AB539" t="s">
        <v>39</v>
      </c>
      <c r="AC539" t="s">
        <v>6510</v>
      </c>
      <c r="AD539" t="s">
        <v>202</v>
      </c>
      <c r="AE539" t="s">
        <v>6734</v>
      </c>
      <c r="AF539" t="s">
        <v>6735</v>
      </c>
      <c r="AG539" t="s">
        <v>6736</v>
      </c>
      <c r="AH539">
        <v>33.5</v>
      </c>
      <c r="AI539" s="2" t="str">
        <f t="shared" si="40"/>
        <v>Independent</v>
      </c>
      <c r="AJ539" s="2" t="str">
        <f t="shared" si="41"/>
        <v>NO</v>
      </c>
      <c r="AK539" s="1" t="str">
        <f t="shared" si="42"/>
        <v>Glazed Balcony</v>
      </c>
      <c r="AL539" s="1" t="str">
        <f t="shared" si="43"/>
        <v>1 Toilet</v>
      </c>
      <c r="AM539" s="1" t="str">
        <f t="shared" si="44"/>
        <v>NO</v>
      </c>
      <c r="AN539" s="1" t="str">
        <f>VLOOKUP(J539, 'Regions and Cities'!A:B, 2, FALSE)</f>
        <v>Uusimaa</v>
      </c>
    </row>
    <row r="540" spans="1:40" x14ac:dyDescent="0.3">
      <c r="A540" t="s">
        <v>4030</v>
      </c>
      <c r="B540" t="s">
        <v>4031</v>
      </c>
      <c r="C540" t="s">
        <v>4032</v>
      </c>
      <c r="H540">
        <v>103</v>
      </c>
      <c r="I540" t="s">
        <v>2091</v>
      </c>
      <c r="J540" t="s">
        <v>399</v>
      </c>
      <c r="K540" t="s">
        <v>4033</v>
      </c>
      <c r="L540" t="s">
        <v>4034</v>
      </c>
      <c r="M540" t="s">
        <v>37</v>
      </c>
      <c r="N540" t="s">
        <v>4035</v>
      </c>
      <c r="O540" t="s">
        <v>4036</v>
      </c>
      <c r="R540" t="s">
        <v>37</v>
      </c>
      <c r="S540" t="s">
        <v>111</v>
      </c>
      <c r="T540">
        <v>63.120024999999998</v>
      </c>
      <c r="U540" t="s">
        <v>4037</v>
      </c>
      <c r="V540" t="s">
        <v>4038</v>
      </c>
      <c r="W540">
        <v>21.716457999999999</v>
      </c>
      <c r="X540">
        <v>290000</v>
      </c>
      <c r="Y540" t="s">
        <v>4039</v>
      </c>
      <c r="Z540" t="s">
        <v>4040</v>
      </c>
      <c r="AA540" t="s">
        <v>54</v>
      </c>
      <c r="AB540" t="s">
        <v>39</v>
      </c>
      <c r="AC540" t="s">
        <v>480</v>
      </c>
      <c r="AD540" t="s">
        <v>46</v>
      </c>
      <c r="AE540" t="s">
        <v>4041</v>
      </c>
      <c r="AF540" t="s">
        <v>4042</v>
      </c>
      <c r="AG540" t="s">
        <v>4043</v>
      </c>
      <c r="AH540">
        <v>118</v>
      </c>
      <c r="AI540" s="2" t="str">
        <f t="shared" si="40"/>
        <v>Independent</v>
      </c>
      <c r="AJ540" s="2" t="str">
        <f t="shared" si="41"/>
        <v>YES</v>
      </c>
      <c r="AK540" s="1" t="str">
        <f t="shared" si="42"/>
        <v>None</v>
      </c>
      <c r="AL540" s="1" t="str">
        <f t="shared" si="43"/>
        <v>1 Toilet</v>
      </c>
      <c r="AM540" s="1" t="str">
        <f t="shared" si="44"/>
        <v>YES</v>
      </c>
      <c r="AN540" s="1" t="str">
        <f>VLOOKUP(J540, 'Regions and Cities'!A:B, 2, FALSE)</f>
        <v>Pohjanmaa</v>
      </c>
    </row>
    <row r="541" spans="1:40" x14ac:dyDescent="0.3">
      <c r="A541" t="s">
        <v>3785</v>
      </c>
      <c r="B541" t="s">
        <v>3786</v>
      </c>
      <c r="C541" t="s">
        <v>3787</v>
      </c>
      <c r="D541" t="s">
        <v>1667</v>
      </c>
      <c r="E541" t="s">
        <v>1668</v>
      </c>
      <c r="F541" t="s">
        <v>105</v>
      </c>
      <c r="G541" t="s">
        <v>1669</v>
      </c>
      <c r="H541">
        <v>56.5</v>
      </c>
      <c r="I541" t="s">
        <v>3534</v>
      </c>
      <c r="J541" t="s">
        <v>378</v>
      </c>
      <c r="K541" t="s">
        <v>131</v>
      </c>
      <c r="L541" t="s">
        <v>3788</v>
      </c>
      <c r="M541" t="s">
        <v>37</v>
      </c>
      <c r="N541" t="s">
        <v>3789</v>
      </c>
      <c r="O541" t="s">
        <v>3790</v>
      </c>
      <c r="P541" t="s">
        <v>3791</v>
      </c>
      <c r="R541" t="s">
        <v>37</v>
      </c>
      <c r="S541" t="s">
        <v>37</v>
      </c>
      <c r="T541">
        <v>61.691381</v>
      </c>
      <c r="U541" t="s">
        <v>3792</v>
      </c>
      <c r="V541" t="s">
        <v>3793</v>
      </c>
      <c r="W541">
        <v>27.266999999999999</v>
      </c>
      <c r="X541">
        <v>79000</v>
      </c>
      <c r="Y541" t="s">
        <v>229</v>
      </c>
      <c r="AA541" t="s">
        <v>38</v>
      </c>
      <c r="AB541" t="s">
        <v>39</v>
      </c>
      <c r="AC541" t="s">
        <v>480</v>
      </c>
      <c r="AD541" t="s">
        <v>40</v>
      </c>
      <c r="AE541" t="s">
        <v>209</v>
      </c>
      <c r="AF541" t="s">
        <v>3794</v>
      </c>
      <c r="AG541" t="s">
        <v>3795</v>
      </c>
      <c r="AH541"/>
      <c r="AI541" s="2" t="str">
        <f t="shared" si="40"/>
        <v>Independent</v>
      </c>
      <c r="AJ541" s="2" t="str">
        <f t="shared" si="41"/>
        <v>NO</v>
      </c>
      <c r="AK541" s="1" t="str">
        <f t="shared" si="42"/>
        <v>None</v>
      </c>
      <c r="AL541" s="1" t="str">
        <f t="shared" si="43"/>
        <v>1 Toilet</v>
      </c>
      <c r="AM541" s="1" t="str">
        <f t="shared" si="44"/>
        <v>NO</v>
      </c>
      <c r="AN541" s="1" t="str">
        <f>VLOOKUP(J541, 'Regions and Cities'!A:B, 2, FALSE)</f>
        <v>Etelä-Savo</v>
      </c>
    </row>
    <row r="542" spans="1:40" x14ac:dyDescent="0.3">
      <c r="A542" t="s">
        <v>2575</v>
      </c>
      <c r="B542" t="s">
        <v>2576</v>
      </c>
      <c r="C542" t="s">
        <v>2577</v>
      </c>
      <c r="D542" t="s">
        <v>2578</v>
      </c>
      <c r="E542" t="s">
        <v>2579</v>
      </c>
      <c r="F542" t="s">
        <v>2580</v>
      </c>
      <c r="G542" t="s">
        <v>2581</v>
      </c>
      <c r="H542">
        <v>348</v>
      </c>
      <c r="I542" t="s">
        <v>235</v>
      </c>
      <c r="J542" t="s">
        <v>110</v>
      </c>
      <c r="K542" t="s">
        <v>2582</v>
      </c>
      <c r="L542" t="s">
        <v>2583</v>
      </c>
      <c r="M542" t="s">
        <v>37</v>
      </c>
      <c r="N542" t="s">
        <v>2584</v>
      </c>
      <c r="O542" t="s">
        <v>2585</v>
      </c>
      <c r="P542" t="s">
        <v>2586</v>
      </c>
      <c r="R542" t="s">
        <v>37</v>
      </c>
      <c r="S542" t="s">
        <v>37</v>
      </c>
      <c r="T542">
        <v>60.450949999999999</v>
      </c>
      <c r="U542" t="s">
        <v>2587</v>
      </c>
      <c r="V542" t="s">
        <v>2588</v>
      </c>
      <c r="W542">
        <v>22.149380000000001</v>
      </c>
      <c r="X542">
        <v>298000</v>
      </c>
      <c r="Y542" t="s">
        <v>743</v>
      </c>
      <c r="AA542" t="s">
        <v>38</v>
      </c>
      <c r="AB542" t="s">
        <v>39</v>
      </c>
      <c r="AC542" t="s">
        <v>480</v>
      </c>
      <c r="AD542" t="s">
        <v>64</v>
      </c>
      <c r="AE542" t="s">
        <v>2589</v>
      </c>
      <c r="AF542" t="s">
        <v>2590</v>
      </c>
      <c r="AG542" t="s">
        <v>2591</v>
      </c>
      <c r="AH542">
        <v>348</v>
      </c>
      <c r="AI542" s="2" t="str">
        <f t="shared" si="40"/>
        <v>Independent</v>
      </c>
      <c r="AJ542" s="2" t="str">
        <f t="shared" si="41"/>
        <v>NO</v>
      </c>
      <c r="AK542" s="1" t="str">
        <f t="shared" si="42"/>
        <v>None</v>
      </c>
      <c r="AL542" s="1" t="str">
        <f t="shared" si="43"/>
        <v>1 Toilet</v>
      </c>
      <c r="AM542" s="1" t="str">
        <f t="shared" si="44"/>
        <v>NO</v>
      </c>
      <c r="AN542" s="1" t="str">
        <f>VLOOKUP(J542, 'Regions and Cities'!A:B, 2, FALSE)</f>
        <v>Varsinais-Suomi</v>
      </c>
    </row>
    <row r="543" spans="1:40" x14ac:dyDescent="0.3">
      <c r="A543" t="s">
        <v>8318</v>
      </c>
      <c r="B543" t="s">
        <v>8319</v>
      </c>
      <c r="C543" t="s">
        <v>8320</v>
      </c>
      <c r="D543" t="s">
        <v>8321</v>
      </c>
      <c r="E543" t="s">
        <v>8322</v>
      </c>
      <c r="H543">
        <v>62</v>
      </c>
      <c r="I543" t="s">
        <v>100</v>
      </c>
      <c r="J543" t="s">
        <v>431</v>
      </c>
      <c r="K543" t="s">
        <v>8323</v>
      </c>
      <c r="L543" t="s">
        <v>8324</v>
      </c>
      <c r="M543" t="s">
        <v>37</v>
      </c>
      <c r="N543" t="s">
        <v>8325</v>
      </c>
      <c r="O543" t="s">
        <v>8326</v>
      </c>
      <c r="R543" t="s">
        <v>37</v>
      </c>
      <c r="S543" t="s">
        <v>37</v>
      </c>
      <c r="T543">
        <v>60.870893000000002</v>
      </c>
      <c r="U543" t="s">
        <v>8327</v>
      </c>
      <c r="V543" t="s">
        <v>8328</v>
      </c>
      <c r="W543">
        <v>25.277847999999999</v>
      </c>
      <c r="X543">
        <v>32000</v>
      </c>
      <c r="Y543" t="s">
        <v>8329</v>
      </c>
      <c r="AA543" t="s">
        <v>38</v>
      </c>
      <c r="AB543" t="s">
        <v>39</v>
      </c>
      <c r="AC543" t="s">
        <v>6510</v>
      </c>
      <c r="AD543" t="s">
        <v>40</v>
      </c>
      <c r="AE543" t="s">
        <v>8330</v>
      </c>
      <c r="AF543" t="s">
        <v>8331</v>
      </c>
      <c r="AG543" t="s">
        <v>8332</v>
      </c>
      <c r="AH543">
        <v>62</v>
      </c>
      <c r="AI543" s="2" t="str">
        <f t="shared" si="40"/>
        <v>Independent</v>
      </c>
      <c r="AJ543" s="2" t="str">
        <f t="shared" si="41"/>
        <v>NO</v>
      </c>
      <c r="AK543" s="1" t="str">
        <f t="shared" si="42"/>
        <v>None</v>
      </c>
      <c r="AL543" s="1" t="str">
        <f t="shared" si="43"/>
        <v>1 Toilet</v>
      </c>
      <c r="AM543" s="1" t="str">
        <f t="shared" si="44"/>
        <v>NO</v>
      </c>
      <c r="AN543" s="1" t="str">
        <f>VLOOKUP(J543, 'Regions and Cities'!A:B, 2, FALSE)</f>
        <v>Päijät-Häme</v>
      </c>
    </row>
    <row r="544" spans="1:40" x14ac:dyDescent="0.3">
      <c r="A544" t="s">
        <v>5823</v>
      </c>
      <c r="B544" t="s">
        <v>5824</v>
      </c>
      <c r="C544" t="s">
        <v>5825</v>
      </c>
      <c r="D544" t="s">
        <v>5612</v>
      </c>
      <c r="E544" t="s">
        <v>5613</v>
      </c>
      <c r="F544" t="s">
        <v>5614</v>
      </c>
      <c r="H544">
        <v>180</v>
      </c>
      <c r="I544" t="s">
        <v>1858</v>
      </c>
      <c r="J544" t="s">
        <v>265</v>
      </c>
      <c r="K544" t="s">
        <v>5826</v>
      </c>
      <c r="L544" t="s">
        <v>5827</v>
      </c>
      <c r="M544" t="s">
        <v>37</v>
      </c>
      <c r="N544" t="s">
        <v>5828</v>
      </c>
      <c r="O544" t="s">
        <v>5829</v>
      </c>
      <c r="R544" t="s">
        <v>37</v>
      </c>
      <c r="S544" t="s">
        <v>37</v>
      </c>
      <c r="T544">
        <v>65.104190000000003</v>
      </c>
      <c r="U544" t="s">
        <v>5830</v>
      </c>
      <c r="V544" t="s">
        <v>5831</v>
      </c>
      <c r="W544">
        <v>25.412489999999998</v>
      </c>
      <c r="X544">
        <v>240000</v>
      </c>
      <c r="Y544" t="s">
        <v>4696</v>
      </c>
      <c r="AA544" t="s">
        <v>63</v>
      </c>
      <c r="AB544" t="s">
        <v>39</v>
      </c>
      <c r="AC544" t="s">
        <v>1304</v>
      </c>
      <c r="AD544" t="s">
        <v>55</v>
      </c>
      <c r="AE544" t="s">
        <v>5832</v>
      </c>
      <c r="AF544" t="s">
        <v>5833</v>
      </c>
      <c r="AG544" t="s">
        <v>5834</v>
      </c>
      <c r="AH544">
        <v>231</v>
      </c>
      <c r="AI544" s="2" t="str">
        <f t="shared" si="40"/>
        <v>Independent</v>
      </c>
      <c r="AJ544" s="2" t="str">
        <f t="shared" si="41"/>
        <v>YES</v>
      </c>
      <c r="AK544" s="1" t="str">
        <f t="shared" si="42"/>
        <v>None</v>
      </c>
      <c r="AL544" s="1" t="str">
        <f t="shared" si="43"/>
        <v>1 Toilet</v>
      </c>
      <c r="AM544" s="1" t="str">
        <f t="shared" si="44"/>
        <v>NO</v>
      </c>
      <c r="AN544" s="1" t="str">
        <f>VLOOKUP(J544, 'Regions and Cities'!A:B, 2, FALSE)</f>
        <v>Pohjois-Pohjanmaa</v>
      </c>
    </row>
    <row r="545" spans="1:40" x14ac:dyDescent="0.3">
      <c r="A545" t="s">
        <v>9292</v>
      </c>
      <c r="B545" t="s">
        <v>9293</v>
      </c>
      <c r="C545" t="s">
        <v>9294</v>
      </c>
      <c r="D545" t="s">
        <v>4914</v>
      </c>
      <c r="E545" t="s">
        <v>4915</v>
      </c>
      <c r="F545" t="s">
        <v>4916</v>
      </c>
      <c r="H545">
        <v>73</v>
      </c>
      <c r="I545" t="s">
        <v>119</v>
      </c>
      <c r="J545" t="s">
        <v>137</v>
      </c>
      <c r="K545" t="s">
        <v>9295</v>
      </c>
      <c r="L545" t="s">
        <v>9296</v>
      </c>
      <c r="M545" t="s">
        <v>37</v>
      </c>
      <c r="N545" t="s">
        <v>9297</v>
      </c>
      <c r="O545" t="s">
        <v>9298</v>
      </c>
      <c r="R545" t="s">
        <v>37</v>
      </c>
      <c r="S545" t="s">
        <v>37</v>
      </c>
      <c r="T545">
        <v>60.235520000000001</v>
      </c>
      <c r="U545" t="s">
        <v>9299</v>
      </c>
      <c r="V545" t="s">
        <v>9300</v>
      </c>
      <c r="W545">
        <v>25.124903</v>
      </c>
      <c r="X545">
        <v>139000</v>
      </c>
      <c r="Y545" t="s">
        <v>74</v>
      </c>
      <c r="AA545" t="s">
        <v>38</v>
      </c>
      <c r="AB545" t="s">
        <v>39</v>
      </c>
      <c r="AC545" t="s">
        <v>6510</v>
      </c>
      <c r="AD545" t="s">
        <v>46</v>
      </c>
      <c r="AE545" t="s">
        <v>9301</v>
      </c>
      <c r="AF545" t="s">
        <v>9302</v>
      </c>
      <c r="AG545" t="s">
        <v>9303</v>
      </c>
      <c r="AH545">
        <v>73</v>
      </c>
      <c r="AI545" s="2" t="str">
        <f t="shared" si="40"/>
        <v>Independent</v>
      </c>
      <c r="AJ545" s="2" t="str">
        <f t="shared" si="41"/>
        <v>NO</v>
      </c>
      <c r="AK545" s="1" t="str">
        <f t="shared" si="42"/>
        <v>Standard Balcony</v>
      </c>
      <c r="AL545" s="1" t="str">
        <f t="shared" si="43"/>
        <v>1 Toilet</v>
      </c>
      <c r="AM545" s="1" t="str">
        <f t="shared" si="44"/>
        <v>NO</v>
      </c>
      <c r="AN545" s="1" t="str">
        <f>VLOOKUP(J545, 'Regions and Cities'!A:B, 2, FALSE)</f>
        <v>Uusimaa</v>
      </c>
    </row>
    <row r="546" spans="1:40" x14ac:dyDescent="0.3">
      <c r="A546" t="s">
        <v>1459</v>
      </c>
      <c r="B546" t="s">
        <v>1460</v>
      </c>
      <c r="C546" t="s">
        <v>197</v>
      </c>
      <c r="D546" t="s">
        <v>1461</v>
      </c>
      <c r="E546" t="s">
        <v>1462</v>
      </c>
      <c r="F546" t="s">
        <v>105</v>
      </c>
      <c r="G546" t="s">
        <v>1463</v>
      </c>
      <c r="H546">
        <v>66.5</v>
      </c>
      <c r="I546" t="s">
        <v>109</v>
      </c>
      <c r="J546" t="s">
        <v>116</v>
      </c>
      <c r="K546" t="s">
        <v>198</v>
      </c>
      <c r="L546" t="s">
        <v>1464</v>
      </c>
      <c r="M546" t="s">
        <v>37</v>
      </c>
      <c r="N546" t="s">
        <v>1465</v>
      </c>
      <c r="O546" t="s">
        <v>1466</v>
      </c>
      <c r="P546" t="s">
        <v>1467</v>
      </c>
      <c r="R546" t="s">
        <v>37</v>
      </c>
      <c r="S546" t="s">
        <v>37</v>
      </c>
      <c r="T546">
        <v>60.316437999999998</v>
      </c>
      <c r="U546" t="s">
        <v>1468</v>
      </c>
      <c r="V546" t="s">
        <v>1469</v>
      </c>
      <c r="W546">
        <v>24.84957</v>
      </c>
      <c r="X546">
        <v>235000</v>
      </c>
      <c r="Y546" t="s">
        <v>234</v>
      </c>
      <c r="AA546" t="s">
        <v>38</v>
      </c>
      <c r="AB546" t="s">
        <v>39</v>
      </c>
      <c r="AC546" t="s">
        <v>480</v>
      </c>
      <c r="AD546" t="s">
        <v>46</v>
      </c>
      <c r="AE546" t="s">
        <v>1470</v>
      </c>
      <c r="AF546" t="s">
        <v>1471</v>
      </c>
      <c r="AG546" t="s">
        <v>1472</v>
      </c>
      <c r="AH546">
        <v>66.5</v>
      </c>
      <c r="AI546" s="2" t="str">
        <f t="shared" si="40"/>
        <v>Independent</v>
      </c>
      <c r="AJ546" s="2" t="str">
        <f t="shared" si="41"/>
        <v>NO</v>
      </c>
      <c r="AK546" s="1" t="str">
        <f t="shared" si="42"/>
        <v>Glazed Balcony</v>
      </c>
      <c r="AL546" s="1" t="str">
        <f t="shared" si="43"/>
        <v>1 Toilet</v>
      </c>
      <c r="AM546" s="1" t="str">
        <f t="shared" si="44"/>
        <v>NO</v>
      </c>
      <c r="AN546" s="1" t="str">
        <f>VLOOKUP(J546, 'Regions and Cities'!A:B, 2, FALSE)</f>
        <v>Uusimaa</v>
      </c>
    </row>
    <row r="547" spans="1:40" x14ac:dyDescent="0.3">
      <c r="A547" t="s">
        <v>3362</v>
      </c>
      <c r="B547" t="s">
        <v>3363</v>
      </c>
      <c r="C547" t="s">
        <v>197</v>
      </c>
      <c r="H547">
        <v>61</v>
      </c>
      <c r="I547" t="s">
        <v>35</v>
      </c>
      <c r="J547" t="s">
        <v>116</v>
      </c>
      <c r="K547" t="s">
        <v>198</v>
      </c>
      <c r="L547" t="s">
        <v>3364</v>
      </c>
      <c r="M547" t="s">
        <v>37</v>
      </c>
      <c r="N547" t="s">
        <v>3365</v>
      </c>
      <c r="O547" t="s">
        <v>3366</v>
      </c>
      <c r="R547" t="s">
        <v>37</v>
      </c>
      <c r="S547" t="s">
        <v>111</v>
      </c>
      <c r="T547">
        <v>60.316111999999997</v>
      </c>
      <c r="U547" t="s">
        <v>3367</v>
      </c>
      <c r="V547" t="s">
        <v>3368</v>
      </c>
      <c r="W547">
        <v>24.849284000000001</v>
      </c>
      <c r="X547">
        <v>269000</v>
      </c>
      <c r="Y547" t="s">
        <v>1145</v>
      </c>
      <c r="Z547" t="s">
        <v>3369</v>
      </c>
      <c r="AA547" t="s">
        <v>38</v>
      </c>
      <c r="AB547" t="s">
        <v>39</v>
      </c>
      <c r="AC547" t="s">
        <v>310</v>
      </c>
      <c r="AD547" t="s">
        <v>46</v>
      </c>
      <c r="AE547" t="s">
        <v>3370</v>
      </c>
      <c r="AF547" t="s">
        <v>3371</v>
      </c>
      <c r="AG547" t="s">
        <v>3372</v>
      </c>
      <c r="AH547"/>
      <c r="AI547" s="2" t="str">
        <f t="shared" si="40"/>
        <v>Open</v>
      </c>
      <c r="AJ547" s="2" t="str">
        <f t="shared" si="41"/>
        <v>YES</v>
      </c>
      <c r="AK547" s="1" t="str">
        <f t="shared" si="42"/>
        <v>None</v>
      </c>
      <c r="AL547" s="1" t="str">
        <f t="shared" si="43"/>
        <v>1 Toilet</v>
      </c>
      <c r="AM547" s="1" t="str">
        <f t="shared" si="44"/>
        <v>NO</v>
      </c>
      <c r="AN547" s="1" t="str">
        <f>VLOOKUP(J547, 'Regions and Cities'!A:B, 2, FALSE)</f>
        <v>Uusimaa</v>
      </c>
    </row>
    <row r="548" spans="1:40" x14ac:dyDescent="0.3">
      <c r="A548" t="s">
        <v>6985</v>
      </c>
      <c r="B548" t="s">
        <v>6986</v>
      </c>
      <c r="C548" t="s">
        <v>6987</v>
      </c>
      <c r="H548">
        <v>56</v>
      </c>
      <c r="I548" t="s">
        <v>472</v>
      </c>
      <c r="J548" t="s">
        <v>346</v>
      </c>
      <c r="K548" t="s">
        <v>131</v>
      </c>
      <c r="L548" t="s">
        <v>6988</v>
      </c>
      <c r="M548" t="s">
        <v>37</v>
      </c>
      <c r="N548" t="s">
        <v>6989</v>
      </c>
      <c r="O548" t="s">
        <v>6990</v>
      </c>
      <c r="R548" t="s">
        <v>37</v>
      </c>
      <c r="S548" t="s">
        <v>111</v>
      </c>
      <c r="T548">
        <v>64.264099000000002</v>
      </c>
      <c r="U548" t="s">
        <v>6991</v>
      </c>
      <c r="V548" t="s">
        <v>6992</v>
      </c>
      <c r="W548">
        <v>24.816389000000001</v>
      </c>
      <c r="X548">
        <v>22500</v>
      </c>
      <c r="Y548" t="s">
        <v>6993</v>
      </c>
      <c r="Z548" t="s">
        <v>6994</v>
      </c>
      <c r="AA548" t="s">
        <v>45</v>
      </c>
      <c r="AB548" t="s">
        <v>39</v>
      </c>
      <c r="AC548" t="s">
        <v>6510</v>
      </c>
      <c r="AD548" t="s">
        <v>40</v>
      </c>
      <c r="AE548" t="s">
        <v>6995</v>
      </c>
      <c r="AF548" t="s">
        <v>6996</v>
      </c>
      <c r="AG548" t="s">
        <v>6997</v>
      </c>
      <c r="AH548"/>
      <c r="AI548" s="2" t="str">
        <f t="shared" si="40"/>
        <v>Independent</v>
      </c>
      <c r="AJ548" s="2" t="str">
        <f t="shared" si="41"/>
        <v>NO</v>
      </c>
      <c r="AK548" s="1" t="str">
        <f t="shared" si="42"/>
        <v>None</v>
      </c>
      <c r="AL548" s="1" t="str">
        <f t="shared" si="43"/>
        <v>1 Toilet</v>
      </c>
      <c r="AM548" s="1" t="str">
        <f t="shared" si="44"/>
        <v>YES</v>
      </c>
      <c r="AN548" s="1" t="str">
        <f>VLOOKUP(J548, 'Regions and Cities'!A:B, 2, FALSE)</f>
        <v>Pohjois-Pohjanmaa</v>
      </c>
    </row>
    <row r="549" spans="1:40" x14ac:dyDescent="0.3">
      <c r="A549" t="s">
        <v>3275</v>
      </c>
      <c r="B549" t="s">
        <v>3276</v>
      </c>
      <c r="C549" t="s">
        <v>128</v>
      </c>
      <c r="D549" t="s">
        <v>1812</v>
      </c>
      <c r="E549" t="s">
        <v>1813</v>
      </c>
      <c r="F549" t="s">
        <v>1814</v>
      </c>
      <c r="H549">
        <v>105</v>
      </c>
      <c r="I549" t="s">
        <v>109</v>
      </c>
      <c r="J549" t="s">
        <v>130</v>
      </c>
      <c r="K549" t="s">
        <v>131</v>
      </c>
      <c r="L549" t="s">
        <v>3277</v>
      </c>
      <c r="M549" t="s">
        <v>37</v>
      </c>
      <c r="N549" t="s">
        <v>3278</v>
      </c>
      <c r="O549" t="s">
        <v>3279</v>
      </c>
      <c r="R549" t="s">
        <v>37</v>
      </c>
      <c r="S549" t="s">
        <v>37</v>
      </c>
      <c r="T549">
        <v>62.890970000000003</v>
      </c>
      <c r="U549" t="s">
        <v>3280</v>
      </c>
      <c r="V549" t="s">
        <v>3281</v>
      </c>
      <c r="W549">
        <v>27.666689999999999</v>
      </c>
      <c r="X549">
        <v>410000</v>
      </c>
      <c r="Y549" t="s">
        <v>3282</v>
      </c>
      <c r="AA549" t="s">
        <v>38</v>
      </c>
      <c r="AB549" t="s">
        <v>39</v>
      </c>
      <c r="AC549" t="s">
        <v>480</v>
      </c>
      <c r="AD549" t="s">
        <v>75</v>
      </c>
      <c r="AE549" t="s">
        <v>869</v>
      </c>
      <c r="AF549" t="s">
        <v>3283</v>
      </c>
      <c r="AG549" t="s">
        <v>3284</v>
      </c>
      <c r="AH549">
        <v>105</v>
      </c>
      <c r="AI549" s="2" t="str">
        <f t="shared" si="40"/>
        <v>Independent</v>
      </c>
      <c r="AJ549" s="2" t="str">
        <f t="shared" si="41"/>
        <v>YES</v>
      </c>
      <c r="AK549" s="1" t="str">
        <f t="shared" si="42"/>
        <v>None</v>
      </c>
      <c r="AL549" s="1" t="str">
        <f t="shared" si="43"/>
        <v>1 Toilet</v>
      </c>
      <c r="AM549" s="1" t="str">
        <f t="shared" si="44"/>
        <v>NO</v>
      </c>
      <c r="AN549" s="1" t="str">
        <f>VLOOKUP(J549, 'Regions and Cities'!A:B, 2, FALSE)</f>
        <v>Pohjois-Savo</v>
      </c>
    </row>
    <row r="550" spans="1:40" x14ac:dyDescent="0.3">
      <c r="A550" t="s">
        <v>6785</v>
      </c>
      <c r="B550" t="s">
        <v>6786</v>
      </c>
      <c r="C550" t="s">
        <v>6787</v>
      </c>
      <c r="D550" t="s">
        <v>6788</v>
      </c>
      <c r="E550" t="s">
        <v>6789</v>
      </c>
      <c r="F550" t="s">
        <v>6790</v>
      </c>
      <c r="H550">
        <v>54.5</v>
      </c>
      <c r="I550" t="s">
        <v>106</v>
      </c>
      <c r="J550" t="s">
        <v>392</v>
      </c>
      <c r="K550" t="s">
        <v>6791</v>
      </c>
      <c r="L550" t="s">
        <v>6792</v>
      </c>
      <c r="M550" t="s">
        <v>37</v>
      </c>
      <c r="N550" t="s">
        <v>6793</v>
      </c>
      <c r="O550" t="s">
        <v>6794</v>
      </c>
      <c r="R550" t="s">
        <v>37</v>
      </c>
      <c r="S550" t="s">
        <v>37</v>
      </c>
      <c r="T550">
        <v>63.092799999999997</v>
      </c>
      <c r="U550" t="s">
        <v>6795</v>
      </c>
      <c r="V550" t="s">
        <v>6796</v>
      </c>
      <c r="W550">
        <v>21.711722999999999</v>
      </c>
      <c r="X550">
        <v>49000</v>
      </c>
      <c r="Y550" t="s">
        <v>4923</v>
      </c>
      <c r="AA550" t="s">
        <v>38</v>
      </c>
      <c r="AB550" t="s">
        <v>39</v>
      </c>
      <c r="AC550" t="s">
        <v>6510</v>
      </c>
      <c r="AD550" t="s">
        <v>40</v>
      </c>
      <c r="AE550" t="s">
        <v>6797</v>
      </c>
      <c r="AF550" t="s">
        <v>6798</v>
      </c>
      <c r="AG550" t="s">
        <v>6799</v>
      </c>
      <c r="AH550">
        <v>54.5</v>
      </c>
      <c r="AI550" s="2" t="str">
        <f t="shared" si="40"/>
        <v>Independent</v>
      </c>
      <c r="AJ550" s="2" t="str">
        <f t="shared" si="41"/>
        <v>NO</v>
      </c>
      <c r="AK550" s="1" t="str">
        <f t="shared" si="42"/>
        <v>None</v>
      </c>
      <c r="AL550" s="1" t="str">
        <f t="shared" si="43"/>
        <v>1 Toilet</v>
      </c>
      <c r="AM550" s="1" t="str">
        <f t="shared" si="44"/>
        <v>NO</v>
      </c>
      <c r="AN550" s="1" t="str">
        <f>VLOOKUP(J550, 'Regions and Cities'!A:B, 2, FALSE)</f>
        <v>Pohjanmaa</v>
      </c>
    </row>
    <row r="551" spans="1:40" x14ac:dyDescent="0.3">
      <c r="A551" t="s">
        <v>4476</v>
      </c>
      <c r="B551" t="s">
        <v>4477</v>
      </c>
      <c r="C551" t="s">
        <v>4478</v>
      </c>
      <c r="D551" t="s">
        <v>4479</v>
      </c>
      <c r="E551" t="s">
        <v>4480</v>
      </c>
      <c r="F551" t="s">
        <v>4481</v>
      </c>
      <c r="H551">
        <v>88</v>
      </c>
      <c r="I551" t="s">
        <v>190</v>
      </c>
      <c r="J551" t="s">
        <v>367</v>
      </c>
      <c r="K551" t="s">
        <v>4482</v>
      </c>
      <c r="L551" t="s">
        <v>4483</v>
      </c>
      <c r="M551" t="s">
        <v>37</v>
      </c>
      <c r="N551" t="s">
        <v>4484</v>
      </c>
      <c r="O551" t="s">
        <v>4485</v>
      </c>
      <c r="R551" t="s">
        <v>37</v>
      </c>
      <c r="S551" t="s">
        <v>37</v>
      </c>
      <c r="T551">
        <v>60.417340000000003</v>
      </c>
      <c r="U551" t="s">
        <v>4486</v>
      </c>
      <c r="V551" t="s">
        <v>4487</v>
      </c>
      <c r="W551">
        <v>22.411470000000001</v>
      </c>
      <c r="X551">
        <v>383000</v>
      </c>
      <c r="Y551" t="s">
        <v>4488</v>
      </c>
      <c r="AA551" t="s">
        <v>63</v>
      </c>
      <c r="AB551" t="s">
        <v>39</v>
      </c>
      <c r="AC551" t="s">
        <v>480</v>
      </c>
      <c r="AD551" t="s">
        <v>75</v>
      </c>
      <c r="AE551" t="s">
        <v>4489</v>
      </c>
      <c r="AF551" t="s">
        <v>4490</v>
      </c>
      <c r="AG551" t="s">
        <v>4491</v>
      </c>
      <c r="AH551">
        <v>88</v>
      </c>
      <c r="AI551" s="2" t="str">
        <f t="shared" si="40"/>
        <v>Independent</v>
      </c>
      <c r="AJ551" s="2" t="str">
        <f t="shared" si="41"/>
        <v>NO</v>
      </c>
      <c r="AK551" s="1" t="str">
        <f t="shared" si="42"/>
        <v>None</v>
      </c>
      <c r="AL551" s="1" t="str">
        <f t="shared" si="43"/>
        <v>1 Toilet</v>
      </c>
      <c r="AM551" s="1" t="str">
        <f t="shared" si="44"/>
        <v>YES</v>
      </c>
      <c r="AN551" s="1" t="str">
        <f>VLOOKUP(J551, 'Regions and Cities'!A:B, 2, FALSE)</f>
        <v>Varsinais-Suomi</v>
      </c>
    </row>
    <row r="552" spans="1:40" x14ac:dyDescent="0.3">
      <c r="A552" t="s">
        <v>6442</v>
      </c>
      <c r="B552" t="s">
        <v>6443</v>
      </c>
      <c r="C552" t="s">
        <v>6444</v>
      </c>
      <c r="D552" t="s">
        <v>6445</v>
      </c>
      <c r="E552" t="s">
        <v>6446</v>
      </c>
      <c r="F552" t="s">
        <v>6447</v>
      </c>
      <c r="G552" t="s">
        <v>6448</v>
      </c>
      <c r="H552">
        <v>62</v>
      </c>
      <c r="I552" t="s">
        <v>2622</v>
      </c>
      <c r="J552" t="s">
        <v>419</v>
      </c>
      <c r="K552" t="s">
        <v>6449</v>
      </c>
      <c r="L552" t="s">
        <v>6450</v>
      </c>
      <c r="M552" t="s">
        <v>37</v>
      </c>
      <c r="N552" t="s">
        <v>6451</v>
      </c>
      <c r="O552" t="s">
        <v>6452</v>
      </c>
      <c r="P552" t="s">
        <v>6453</v>
      </c>
      <c r="R552" t="s">
        <v>37</v>
      </c>
      <c r="S552" t="s">
        <v>37</v>
      </c>
      <c r="T552">
        <v>61.193078999999997</v>
      </c>
      <c r="U552" t="s">
        <v>6454</v>
      </c>
      <c r="V552" t="s">
        <v>6455</v>
      </c>
      <c r="W552">
        <v>25.612352999999999</v>
      </c>
      <c r="X552">
        <v>118000</v>
      </c>
      <c r="Y552" t="s">
        <v>92</v>
      </c>
      <c r="AA552" t="s">
        <v>63</v>
      </c>
      <c r="AB552" t="s">
        <v>39</v>
      </c>
      <c r="AC552" t="s">
        <v>480</v>
      </c>
      <c r="AD552" t="s">
        <v>46</v>
      </c>
      <c r="AE552" t="s">
        <v>6456</v>
      </c>
      <c r="AF552" t="s">
        <v>6457</v>
      </c>
      <c r="AG552" t="s">
        <v>6458</v>
      </c>
      <c r="AH552">
        <v>98</v>
      </c>
      <c r="AI552" s="2" t="str">
        <f t="shared" si="40"/>
        <v>Independent</v>
      </c>
      <c r="AJ552" s="2" t="str">
        <f t="shared" si="41"/>
        <v>NO</v>
      </c>
      <c r="AK552" s="1" t="str">
        <f t="shared" si="42"/>
        <v>None</v>
      </c>
      <c r="AL552" s="1" t="str">
        <f t="shared" si="43"/>
        <v>1 Toilet</v>
      </c>
      <c r="AM552" s="1" t="str">
        <f t="shared" si="44"/>
        <v>NO</v>
      </c>
      <c r="AN552" s="1" t="str">
        <f>VLOOKUP(J552, 'Regions and Cities'!A:B, 2, FALSE)</f>
        <v>Päijät-Häme</v>
      </c>
    </row>
    <row r="553" spans="1:40" x14ac:dyDescent="0.3">
      <c r="A553" t="s">
        <v>6823</v>
      </c>
      <c r="B553" t="s">
        <v>6824</v>
      </c>
      <c r="C553" t="s">
        <v>937</v>
      </c>
      <c r="D553" t="s">
        <v>211</v>
      </c>
      <c r="E553" t="s">
        <v>212</v>
      </c>
      <c r="F553" t="s">
        <v>79</v>
      </c>
      <c r="G553" t="s">
        <v>2137</v>
      </c>
      <c r="H553">
        <v>107</v>
      </c>
      <c r="I553" t="s">
        <v>72</v>
      </c>
      <c r="J553" t="s">
        <v>130</v>
      </c>
      <c r="K553" t="s">
        <v>940</v>
      </c>
      <c r="L553" t="s">
        <v>6825</v>
      </c>
      <c r="M553" t="s">
        <v>37</v>
      </c>
      <c r="N553" t="s">
        <v>6826</v>
      </c>
      <c r="O553" t="s">
        <v>6827</v>
      </c>
      <c r="P553" t="s">
        <v>6828</v>
      </c>
      <c r="R553" t="s">
        <v>37</v>
      </c>
      <c r="S553" t="s">
        <v>37</v>
      </c>
      <c r="T553">
        <v>62.877153999999997</v>
      </c>
      <c r="U553" t="s">
        <v>6829</v>
      </c>
      <c r="V553" t="s">
        <v>6830</v>
      </c>
      <c r="W553">
        <v>27.643563</v>
      </c>
      <c r="X553">
        <v>215000</v>
      </c>
      <c r="Y553" t="s">
        <v>3559</v>
      </c>
      <c r="AA553" t="s">
        <v>45</v>
      </c>
      <c r="AB553" t="s">
        <v>39</v>
      </c>
      <c r="AC553" t="s">
        <v>6510</v>
      </c>
      <c r="AD553" t="s">
        <v>55</v>
      </c>
      <c r="AE553" t="s">
        <v>3874</v>
      </c>
      <c r="AF553" t="s">
        <v>6831</v>
      </c>
      <c r="AG553" t="s">
        <v>6832</v>
      </c>
      <c r="AH553">
        <v>107</v>
      </c>
      <c r="AI553" s="2" t="str">
        <f t="shared" si="40"/>
        <v>Independent</v>
      </c>
      <c r="AJ553" s="2" t="str">
        <f t="shared" si="41"/>
        <v>NO</v>
      </c>
      <c r="AK553" s="1" t="str">
        <f t="shared" si="42"/>
        <v>None</v>
      </c>
      <c r="AL553" s="1" t="str">
        <f t="shared" si="43"/>
        <v>1 Toilet</v>
      </c>
      <c r="AM553" s="1" t="str">
        <f t="shared" si="44"/>
        <v>NO</v>
      </c>
      <c r="AN553" s="1" t="str">
        <f>VLOOKUP(J553, 'Regions and Cities'!A:B, 2, FALSE)</f>
        <v>Pohjois-Savo</v>
      </c>
    </row>
    <row r="554" spans="1:40" x14ac:dyDescent="0.3">
      <c r="A554" t="s">
        <v>6898</v>
      </c>
      <c r="B554" t="s">
        <v>6899</v>
      </c>
      <c r="C554" t="s">
        <v>4494</v>
      </c>
      <c r="D554" t="s">
        <v>6900</v>
      </c>
      <c r="E554" t="s">
        <v>6901</v>
      </c>
      <c r="F554" t="s">
        <v>6902</v>
      </c>
      <c r="H554">
        <v>83.5</v>
      </c>
      <c r="I554" t="s">
        <v>252</v>
      </c>
      <c r="J554" t="s">
        <v>361</v>
      </c>
      <c r="K554" t="s">
        <v>4497</v>
      </c>
      <c r="L554" t="s">
        <v>6903</v>
      </c>
      <c r="M554" t="s">
        <v>37</v>
      </c>
      <c r="N554" t="s">
        <v>6904</v>
      </c>
      <c r="O554" t="s">
        <v>6905</v>
      </c>
      <c r="R554" t="s">
        <v>37</v>
      </c>
      <c r="S554" t="s">
        <v>37</v>
      </c>
      <c r="T554">
        <v>62.796197999999997</v>
      </c>
      <c r="U554" t="s">
        <v>6906</v>
      </c>
      <c r="V554" t="s">
        <v>6907</v>
      </c>
      <c r="W554">
        <v>22.851467</v>
      </c>
      <c r="X554">
        <v>115000</v>
      </c>
      <c r="Y554" t="s">
        <v>4787</v>
      </c>
      <c r="AA554" t="s">
        <v>38</v>
      </c>
      <c r="AB554" t="s">
        <v>39</v>
      </c>
      <c r="AC554" t="s">
        <v>6510</v>
      </c>
      <c r="AD554" t="s">
        <v>75</v>
      </c>
      <c r="AE554" t="s">
        <v>6908</v>
      </c>
      <c r="AF554" t="s">
        <v>6909</v>
      </c>
      <c r="AG554" t="s">
        <v>6910</v>
      </c>
      <c r="AH554">
        <v>83.5</v>
      </c>
      <c r="AI554" s="2" t="str">
        <f t="shared" si="40"/>
        <v>Independent</v>
      </c>
      <c r="AJ554" s="2" t="str">
        <f t="shared" si="41"/>
        <v>NO</v>
      </c>
      <c r="AK554" s="1" t="str">
        <f t="shared" si="42"/>
        <v>Standard Balcony</v>
      </c>
      <c r="AL554" s="1" t="str">
        <f t="shared" si="43"/>
        <v>1 Toilet</v>
      </c>
      <c r="AM554" s="1" t="str">
        <f t="shared" si="44"/>
        <v>NO</v>
      </c>
      <c r="AN554" s="1" t="str">
        <f>VLOOKUP(J554, 'Regions and Cities'!A:B, 2, FALSE)</f>
        <v>Etelä-Pohjanmaa</v>
      </c>
    </row>
    <row r="555" spans="1:40" x14ac:dyDescent="0.3">
      <c r="A555" t="s">
        <v>3396</v>
      </c>
      <c r="B555" t="s">
        <v>3397</v>
      </c>
      <c r="C555" t="s">
        <v>1811</v>
      </c>
      <c r="D555" t="s">
        <v>1812</v>
      </c>
      <c r="E555" t="s">
        <v>1813</v>
      </c>
      <c r="F555" t="s">
        <v>1814</v>
      </c>
      <c r="H555">
        <v>125</v>
      </c>
      <c r="I555" t="s">
        <v>272</v>
      </c>
      <c r="J555" t="s">
        <v>130</v>
      </c>
      <c r="K555" t="s">
        <v>1815</v>
      </c>
      <c r="L555" t="s">
        <v>3398</v>
      </c>
      <c r="M555" t="s">
        <v>37</v>
      </c>
      <c r="N555" t="s">
        <v>3399</v>
      </c>
      <c r="O555" t="s">
        <v>3400</v>
      </c>
      <c r="R555" t="s">
        <v>37</v>
      </c>
      <c r="S555" t="s">
        <v>37</v>
      </c>
      <c r="T555">
        <v>62.908281000000002</v>
      </c>
      <c r="U555" t="s">
        <v>3401</v>
      </c>
      <c r="V555" t="s">
        <v>3402</v>
      </c>
      <c r="W555">
        <v>27.63119</v>
      </c>
      <c r="X555">
        <v>196000</v>
      </c>
      <c r="Y555" t="s">
        <v>3403</v>
      </c>
      <c r="AA555" t="s">
        <v>45</v>
      </c>
      <c r="AB555" t="s">
        <v>39</v>
      </c>
      <c r="AC555" t="s">
        <v>480</v>
      </c>
      <c r="AD555" t="s">
        <v>55</v>
      </c>
      <c r="AE555" t="s">
        <v>3404</v>
      </c>
      <c r="AF555" t="s">
        <v>3405</v>
      </c>
      <c r="AG555" t="s">
        <v>3406</v>
      </c>
      <c r="AH555">
        <v>137.5</v>
      </c>
      <c r="AI555" s="2" t="str">
        <f t="shared" si="40"/>
        <v>Independent</v>
      </c>
      <c r="AJ555" s="2" t="str">
        <f t="shared" si="41"/>
        <v>YES</v>
      </c>
      <c r="AK555" s="1" t="str">
        <f t="shared" si="42"/>
        <v>None</v>
      </c>
      <c r="AL555" s="1" t="str">
        <f t="shared" si="43"/>
        <v>1 Toilet</v>
      </c>
      <c r="AM555" s="1" t="str">
        <f t="shared" si="44"/>
        <v>NO</v>
      </c>
      <c r="AN555" s="1" t="str">
        <f>VLOOKUP(J555, 'Regions and Cities'!A:B, 2, FALSE)</f>
        <v>Pohjois-Savo</v>
      </c>
    </row>
    <row r="556" spans="1:40" x14ac:dyDescent="0.3">
      <c r="A556" t="s">
        <v>3263</v>
      </c>
      <c r="B556" t="s">
        <v>3264</v>
      </c>
      <c r="C556" t="s">
        <v>3265</v>
      </c>
      <c r="D556" t="s">
        <v>470</v>
      </c>
      <c r="E556" t="s">
        <v>471</v>
      </c>
      <c r="F556" t="s">
        <v>58</v>
      </c>
      <c r="H556">
        <v>83</v>
      </c>
      <c r="I556" t="s">
        <v>1522</v>
      </c>
      <c r="J556" t="s">
        <v>137</v>
      </c>
      <c r="K556" t="s">
        <v>3266</v>
      </c>
      <c r="L556" t="s">
        <v>3267</v>
      </c>
      <c r="M556" t="s">
        <v>37</v>
      </c>
      <c r="N556" t="s">
        <v>3268</v>
      </c>
      <c r="O556" t="s">
        <v>3269</v>
      </c>
      <c r="R556" t="s">
        <v>37</v>
      </c>
      <c r="S556" t="s">
        <v>37</v>
      </c>
      <c r="T556">
        <v>60.258740000000003</v>
      </c>
      <c r="U556" t="s">
        <v>3270</v>
      </c>
      <c r="V556" t="s">
        <v>3271</v>
      </c>
      <c r="W556">
        <v>25.026789999999998</v>
      </c>
      <c r="X556">
        <v>139000</v>
      </c>
      <c r="Y556" t="s">
        <v>74</v>
      </c>
      <c r="AA556" t="s">
        <v>38</v>
      </c>
      <c r="AB556" t="s">
        <v>39</v>
      </c>
      <c r="AC556" t="s">
        <v>480</v>
      </c>
      <c r="AD556" t="s">
        <v>75</v>
      </c>
      <c r="AE556" t="s">
        <v>3272</v>
      </c>
      <c r="AF556" t="s">
        <v>3273</v>
      </c>
      <c r="AG556" t="s">
        <v>3274</v>
      </c>
      <c r="AH556">
        <v>83</v>
      </c>
      <c r="AI556" s="2" t="str">
        <f t="shared" si="40"/>
        <v>Independent</v>
      </c>
      <c r="AJ556" s="2" t="str">
        <f t="shared" si="41"/>
        <v>NO</v>
      </c>
      <c r="AK556" s="1" t="str">
        <f t="shared" si="42"/>
        <v>Glazed Balcony</v>
      </c>
      <c r="AL556" s="1" t="str">
        <f t="shared" si="43"/>
        <v>1 Toilet</v>
      </c>
      <c r="AM556" s="1" t="str">
        <f t="shared" si="44"/>
        <v>YES</v>
      </c>
      <c r="AN556" s="1" t="str">
        <f>VLOOKUP(J556, 'Regions and Cities'!A:B, 2, FALSE)</f>
        <v>Uusimaa</v>
      </c>
    </row>
    <row r="557" spans="1:40" x14ac:dyDescent="0.3">
      <c r="A557" t="s">
        <v>9567</v>
      </c>
      <c r="B557" t="s">
        <v>9568</v>
      </c>
      <c r="C557" t="s">
        <v>9569</v>
      </c>
      <c r="D557" t="s">
        <v>3799</v>
      </c>
      <c r="E557" t="s">
        <v>3800</v>
      </c>
      <c r="F557" t="s">
        <v>50</v>
      </c>
      <c r="G557" t="s">
        <v>9570</v>
      </c>
      <c r="H557">
        <v>75</v>
      </c>
      <c r="I557" t="s">
        <v>181</v>
      </c>
      <c r="J557" t="s">
        <v>126</v>
      </c>
      <c r="K557" t="s">
        <v>9571</v>
      </c>
      <c r="L557" t="s">
        <v>9572</v>
      </c>
      <c r="M557" t="s">
        <v>37</v>
      </c>
      <c r="N557" t="s">
        <v>9573</v>
      </c>
      <c r="O557" t="s">
        <v>9574</v>
      </c>
      <c r="P557" t="s">
        <v>9575</v>
      </c>
      <c r="Q557" t="s">
        <v>9576</v>
      </c>
      <c r="R557" t="s">
        <v>37</v>
      </c>
      <c r="S557" t="s">
        <v>37</v>
      </c>
      <c r="T557">
        <v>60.172820000000002</v>
      </c>
      <c r="U557" t="s">
        <v>9577</v>
      </c>
      <c r="V557" t="s">
        <v>9578</v>
      </c>
      <c r="W557">
        <v>24.610029999999998</v>
      </c>
      <c r="X557">
        <v>363000</v>
      </c>
      <c r="Y557" t="s">
        <v>9579</v>
      </c>
      <c r="AA557" t="s">
        <v>45</v>
      </c>
      <c r="AB557" t="s">
        <v>39</v>
      </c>
      <c r="AC557" t="s">
        <v>6510</v>
      </c>
      <c r="AD557" t="s">
        <v>46</v>
      </c>
      <c r="AE557" t="s">
        <v>9580</v>
      </c>
      <c r="AF557" t="s">
        <v>9581</v>
      </c>
      <c r="AG557" t="s">
        <v>9582</v>
      </c>
      <c r="AH557">
        <v>75</v>
      </c>
      <c r="AI557" s="2" t="str">
        <f t="shared" si="40"/>
        <v>Independent</v>
      </c>
      <c r="AJ557" s="2" t="str">
        <f t="shared" si="41"/>
        <v>YES</v>
      </c>
      <c r="AK557" s="1" t="str">
        <f t="shared" si="42"/>
        <v>Standard Balcony</v>
      </c>
      <c r="AL557" s="1" t="str">
        <f t="shared" si="43"/>
        <v>1 Toilet</v>
      </c>
      <c r="AM557" s="1" t="str">
        <f t="shared" si="44"/>
        <v>NO</v>
      </c>
      <c r="AN557" s="1" t="str">
        <f>VLOOKUP(J557, 'Regions and Cities'!A:B, 2, FALSE)</f>
        <v>Uusimaa</v>
      </c>
    </row>
    <row r="558" spans="1:40" x14ac:dyDescent="0.3">
      <c r="A558" t="s">
        <v>2532</v>
      </c>
      <c r="B558" t="s">
        <v>2533</v>
      </c>
      <c r="C558" t="s">
        <v>2534</v>
      </c>
      <c r="D558" t="s">
        <v>2535</v>
      </c>
      <c r="E558" t="s">
        <v>2536</v>
      </c>
      <c r="F558" t="s">
        <v>2537</v>
      </c>
      <c r="H558">
        <v>209</v>
      </c>
      <c r="I558" t="s">
        <v>2538</v>
      </c>
      <c r="J558" t="s">
        <v>114</v>
      </c>
      <c r="K558" t="s">
        <v>2539</v>
      </c>
      <c r="L558" t="s">
        <v>2540</v>
      </c>
      <c r="M558" t="s">
        <v>37</v>
      </c>
      <c r="N558" t="s">
        <v>2541</v>
      </c>
      <c r="O558" t="s">
        <v>2542</v>
      </c>
      <c r="R558" t="s">
        <v>37</v>
      </c>
      <c r="S558" t="s">
        <v>37</v>
      </c>
      <c r="T558">
        <v>60.295672000000003</v>
      </c>
      <c r="U558" t="s">
        <v>2543</v>
      </c>
      <c r="V558" t="s">
        <v>2544</v>
      </c>
      <c r="W558">
        <v>24.075689000000001</v>
      </c>
      <c r="X558">
        <v>319000</v>
      </c>
      <c r="Y558" t="s">
        <v>1955</v>
      </c>
      <c r="AA558" t="s">
        <v>63</v>
      </c>
      <c r="AB558" t="s">
        <v>39</v>
      </c>
      <c r="AC558" t="s">
        <v>480</v>
      </c>
      <c r="AD558">
        <v>3</v>
      </c>
      <c r="AE558" t="s">
        <v>2545</v>
      </c>
      <c r="AF558" t="s">
        <v>2546</v>
      </c>
      <c r="AG558" t="s">
        <v>2547</v>
      </c>
      <c r="AH558">
        <v>209</v>
      </c>
      <c r="AI558" s="2" t="str">
        <f t="shared" si="40"/>
        <v>Independent</v>
      </c>
      <c r="AJ558" s="2" t="str">
        <f t="shared" si="41"/>
        <v>YES</v>
      </c>
      <c r="AK558" s="1" t="str">
        <f t="shared" si="42"/>
        <v>None</v>
      </c>
      <c r="AL558" s="1" t="str">
        <f t="shared" si="43"/>
        <v>1 Toilet</v>
      </c>
      <c r="AM558" s="1" t="str">
        <f t="shared" si="44"/>
        <v>NO</v>
      </c>
      <c r="AN558" s="1" t="str">
        <f>VLOOKUP(J558, 'Regions and Cities'!A:B, 2, FALSE)</f>
        <v>Uusimaa</v>
      </c>
    </row>
    <row r="559" spans="1:40" x14ac:dyDescent="0.3">
      <c r="A559" t="s">
        <v>1354</v>
      </c>
      <c r="B559" t="s">
        <v>1355</v>
      </c>
      <c r="C559" t="s">
        <v>1356</v>
      </c>
      <c r="D559" t="s">
        <v>1357</v>
      </c>
      <c r="E559" t="s">
        <v>1358</v>
      </c>
      <c r="F559" t="s">
        <v>105</v>
      </c>
      <c r="H559">
        <v>86</v>
      </c>
      <c r="I559" t="s">
        <v>490</v>
      </c>
      <c r="J559" t="s">
        <v>363</v>
      </c>
      <c r="K559" t="s">
        <v>1359</v>
      </c>
      <c r="L559" t="s">
        <v>1360</v>
      </c>
      <c r="M559" t="s">
        <v>111</v>
      </c>
      <c r="N559" t="s">
        <v>1361</v>
      </c>
      <c r="O559" t="s">
        <v>1362</v>
      </c>
      <c r="R559" t="s">
        <v>37</v>
      </c>
      <c r="S559" t="s">
        <v>37</v>
      </c>
      <c r="T559">
        <v>61.672499000000002</v>
      </c>
      <c r="U559" t="s">
        <v>1363</v>
      </c>
      <c r="V559" t="s">
        <v>1364</v>
      </c>
      <c r="W559">
        <v>24.360564</v>
      </c>
      <c r="X559">
        <v>100000</v>
      </c>
      <c r="Y559" t="s">
        <v>1365</v>
      </c>
      <c r="AA559" t="s">
        <v>45</v>
      </c>
      <c r="AB559" t="s">
        <v>39</v>
      </c>
      <c r="AC559" t="s">
        <v>480</v>
      </c>
      <c r="AD559" t="s">
        <v>46</v>
      </c>
      <c r="AE559" t="s">
        <v>1366</v>
      </c>
      <c r="AF559" t="s">
        <v>1367</v>
      </c>
      <c r="AG559" t="s">
        <v>1368</v>
      </c>
      <c r="AH559"/>
      <c r="AI559" s="2" t="str">
        <f t="shared" si="40"/>
        <v>Independent</v>
      </c>
      <c r="AJ559" s="2" t="str">
        <f t="shared" si="41"/>
        <v>NO</v>
      </c>
      <c r="AK559" s="1" t="str">
        <f t="shared" si="42"/>
        <v>None</v>
      </c>
      <c r="AL559" s="1" t="str">
        <f t="shared" si="43"/>
        <v>1 Toilet</v>
      </c>
      <c r="AM559" s="1" t="str">
        <f t="shared" si="44"/>
        <v>YES</v>
      </c>
      <c r="AN559" s="1" t="str">
        <f>VLOOKUP(J559, 'Regions and Cities'!A:B, 2, FALSE)</f>
        <v>Pirkanmaa</v>
      </c>
    </row>
    <row r="560" spans="1:40" x14ac:dyDescent="0.3">
      <c r="A560" t="s">
        <v>7735</v>
      </c>
      <c r="B560" t="s">
        <v>7736</v>
      </c>
      <c r="C560" t="s">
        <v>7737</v>
      </c>
      <c r="D560" t="s">
        <v>1946</v>
      </c>
      <c r="E560" t="s">
        <v>1947</v>
      </c>
      <c r="F560" t="s">
        <v>1948</v>
      </c>
      <c r="H560">
        <v>57.5</v>
      </c>
      <c r="I560" t="s">
        <v>106</v>
      </c>
      <c r="J560" t="s">
        <v>101</v>
      </c>
      <c r="K560" t="s">
        <v>7738</v>
      </c>
      <c r="L560" t="s">
        <v>7739</v>
      </c>
      <c r="M560" t="s">
        <v>37</v>
      </c>
      <c r="N560" t="s">
        <v>7740</v>
      </c>
      <c r="O560" t="s">
        <v>7741</v>
      </c>
      <c r="R560" t="s">
        <v>37</v>
      </c>
      <c r="S560" t="s">
        <v>37</v>
      </c>
      <c r="T560">
        <v>60.99485</v>
      </c>
      <c r="U560" t="s">
        <v>7742</v>
      </c>
      <c r="V560" t="s">
        <v>7743</v>
      </c>
      <c r="W560">
        <v>25.592310000000001</v>
      </c>
      <c r="X560">
        <v>50000</v>
      </c>
      <c r="Y560" t="s">
        <v>221</v>
      </c>
      <c r="AA560" t="s">
        <v>38</v>
      </c>
      <c r="AB560" t="s">
        <v>39</v>
      </c>
      <c r="AC560" t="s">
        <v>6510</v>
      </c>
      <c r="AD560" t="s">
        <v>40</v>
      </c>
      <c r="AE560" t="s">
        <v>7744</v>
      </c>
      <c r="AF560" t="s">
        <v>7745</v>
      </c>
      <c r="AG560" t="s">
        <v>7746</v>
      </c>
      <c r="AH560">
        <v>57.5</v>
      </c>
      <c r="AI560" s="2" t="str">
        <f t="shared" si="40"/>
        <v>Independent</v>
      </c>
      <c r="AJ560" s="2" t="str">
        <f t="shared" si="41"/>
        <v>NO</v>
      </c>
      <c r="AK560" s="1" t="str">
        <f t="shared" si="42"/>
        <v>Glazed Balcony</v>
      </c>
      <c r="AL560" s="1" t="str">
        <f t="shared" si="43"/>
        <v>1 Toilet</v>
      </c>
      <c r="AM560" s="1" t="str">
        <f t="shared" si="44"/>
        <v>NO</v>
      </c>
      <c r="AN560" s="1" t="str">
        <f>VLOOKUP(J560, 'Regions and Cities'!A:B, 2, FALSE)</f>
        <v>Päijät-Häme</v>
      </c>
    </row>
    <row r="561" spans="1:40" x14ac:dyDescent="0.3">
      <c r="A561" t="s">
        <v>8568</v>
      </c>
      <c r="B561" t="s">
        <v>8569</v>
      </c>
      <c r="C561" t="s">
        <v>1930</v>
      </c>
      <c r="D561" t="s">
        <v>8570</v>
      </c>
      <c r="E561" t="s">
        <v>8571</v>
      </c>
      <c r="F561" t="s">
        <v>8572</v>
      </c>
      <c r="H561">
        <v>94</v>
      </c>
      <c r="I561" t="s">
        <v>96</v>
      </c>
      <c r="J561" t="s">
        <v>126</v>
      </c>
      <c r="K561" t="s">
        <v>1933</v>
      </c>
      <c r="L561" t="s">
        <v>8573</v>
      </c>
      <c r="M561" t="s">
        <v>37</v>
      </c>
      <c r="N561" t="s">
        <v>8574</v>
      </c>
      <c r="O561" t="s">
        <v>8575</v>
      </c>
      <c r="R561" t="s">
        <v>37</v>
      </c>
      <c r="S561" t="s">
        <v>37</v>
      </c>
      <c r="T561">
        <v>60.172494999999998</v>
      </c>
      <c r="U561" t="s">
        <v>8576</v>
      </c>
      <c r="V561" t="s">
        <v>8577</v>
      </c>
      <c r="W561">
        <v>24.811658000000001</v>
      </c>
      <c r="X561">
        <v>468000</v>
      </c>
      <c r="Y561" t="s">
        <v>7703</v>
      </c>
      <c r="AA561" t="s">
        <v>38</v>
      </c>
      <c r="AB561" t="s">
        <v>39</v>
      </c>
      <c r="AC561" t="s">
        <v>6510</v>
      </c>
      <c r="AD561" t="s">
        <v>75</v>
      </c>
      <c r="AE561" t="s">
        <v>8578</v>
      </c>
      <c r="AF561" t="s">
        <v>8579</v>
      </c>
      <c r="AG561" t="s">
        <v>8580</v>
      </c>
      <c r="AH561"/>
      <c r="AI561" s="2" t="str">
        <f t="shared" si="40"/>
        <v>Independent</v>
      </c>
      <c r="AJ561" s="2" t="str">
        <f t="shared" si="41"/>
        <v>NO</v>
      </c>
      <c r="AK561" s="1" t="str">
        <f t="shared" si="42"/>
        <v>Standard Balcony</v>
      </c>
      <c r="AL561" s="1" t="str">
        <f t="shared" si="43"/>
        <v>1 Toilet</v>
      </c>
      <c r="AM561" s="1" t="str">
        <f t="shared" si="44"/>
        <v>YES</v>
      </c>
      <c r="AN561" s="1" t="str">
        <f>VLOOKUP(J561, 'Regions and Cities'!A:B, 2, FALSE)</f>
        <v>Uusimaa</v>
      </c>
    </row>
    <row r="562" spans="1:40" x14ac:dyDescent="0.3">
      <c r="A562" t="s">
        <v>8179</v>
      </c>
      <c r="B562" t="s">
        <v>8180</v>
      </c>
      <c r="C562" t="s">
        <v>8181</v>
      </c>
      <c r="D562" t="s">
        <v>487</v>
      </c>
      <c r="E562" t="s">
        <v>488</v>
      </c>
      <c r="F562" t="s">
        <v>50</v>
      </c>
      <c r="G562" t="s">
        <v>489</v>
      </c>
      <c r="H562">
        <v>95</v>
      </c>
      <c r="I562" t="s">
        <v>286</v>
      </c>
      <c r="J562" t="s">
        <v>36</v>
      </c>
      <c r="K562" t="s">
        <v>8182</v>
      </c>
      <c r="L562" t="s">
        <v>8183</v>
      </c>
      <c r="M562" t="s">
        <v>37</v>
      </c>
      <c r="N562" t="s">
        <v>8184</v>
      </c>
      <c r="O562" t="s">
        <v>8185</v>
      </c>
      <c r="P562" t="s">
        <v>8186</v>
      </c>
      <c r="Q562" t="s">
        <v>8187</v>
      </c>
      <c r="R562" t="s">
        <v>37</v>
      </c>
      <c r="S562" t="s">
        <v>37</v>
      </c>
      <c r="T562">
        <v>60.369602</v>
      </c>
      <c r="U562" t="s">
        <v>8188</v>
      </c>
      <c r="V562" t="s">
        <v>8189</v>
      </c>
      <c r="W562">
        <v>25.623494999999998</v>
      </c>
      <c r="X562">
        <v>189000</v>
      </c>
      <c r="Y562" t="s">
        <v>995</v>
      </c>
      <c r="AA562" t="s">
        <v>63</v>
      </c>
      <c r="AB562" t="s">
        <v>39</v>
      </c>
      <c r="AC562" t="s">
        <v>8190</v>
      </c>
      <c r="AD562" t="s">
        <v>75</v>
      </c>
      <c r="AE562" t="s">
        <v>8191</v>
      </c>
      <c r="AF562" t="s">
        <v>8192</v>
      </c>
      <c r="AG562" t="s">
        <v>8193</v>
      </c>
      <c r="AH562">
        <v>110</v>
      </c>
      <c r="AI562" s="2" t="str">
        <f t="shared" si="40"/>
        <v>Independent</v>
      </c>
      <c r="AJ562" s="2" t="str">
        <f t="shared" si="41"/>
        <v>YES</v>
      </c>
      <c r="AK562" s="1" t="str">
        <f t="shared" si="42"/>
        <v>None</v>
      </c>
      <c r="AL562" s="1" t="str">
        <f t="shared" si="43"/>
        <v>2 Toilets</v>
      </c>
      <c r="AM562" s="1" t="str">
        <f t="shared" si="44"/>
        <v>NO</v>
      </c>
      <c r="AN562" s="1" t="str">
        <f>VLOOKUP(J562, 'Regions and Cities'!A:B, 2, FALSE)</f>
        <v>Uusimaa</v>
      </c>
    </row>
    <row r="563" spans="1:40" x14ac:dyDescent="0.3">
      <c r="A563" t="s">
        <v>9782</v>
      </c>
      <c r="B563" t="s">
        <v>9783</v>
      </c>
      <c r="C563" t="s">
        <v>9784</v>
      </c>
      <c r="D563" t="s">
        <v>9785</v>
      </c>
      <c r="E563" t="s">
        <v>9786</v>
      </c>
      <c r="F563" t="s">
        <v>2507</v>
      </c>
      <c r="H563">
        <v>49.5</v>
      </c>
      <c r="I563" t="s">
        <v>66</v>
      </c>
      <c r="J563" t="s">
        <v>126</v>
      </c>
      <c r="K563" t="s">
        <v>9787</v>
      </c>
      <c r="L563" t="s">
        <v>9788</v>
      </c>
      <c r="M563" t="s">
        <v>37</v>
      </c>
      <c r="N563" t="s">
        <v>9789</v>
      </c>
      <c r="O563" t="s">
        <v>9790</v>
      </c>
      <c r="R563" t="s">
        <v>37</v>
      </c>
      <c r="S563" t="s">
        <v>37</v>
      </c>
      <c r="T563">
        <v>60.190492999999996</v>
      </c>
      <c r="U563" t="s">
        <v>9791</v>
      </c>
      <c r="V563" t="s">
        <v>9792</v>
      </c>
      <c r="W563">
        <v>24.620014000000001</v>
      </c>
      <c r="X563">
        <v>184000</v>
      </c>
      <c r="Y563" t="s">
        <v>5538</v>
      </c>
      <c r="AA563" t="s">
        <v>38</v>
      </c>
      <c r="AB563" t="s">
        <v>39</v>
      </c>
      <c r="AC563" t="s">
        <v>6510</v>
      </c>
      <c r="AD563" t="s">
        <v>40</v>
      </c>
      <c r="AE563" t="s">
        <v>9793</v>
      </c>
      <c r="AF563" t="s">
        <v>9794</v>
      </c>
      <c r="AG563" t="s">
        <v>9795</v>
      </c>
      <c r="AH563">
        <v>49.5</v>
      </c>
      <c r="AI563" s="2" t="str">
        <f t="shared" si="40"/>
        <v>Independent</v>
      </c>
      <c r="AJ563" s="2" t="str">
        <f t="shared" si="41"/>
        <v>YES</v>
      </c>
      <c r="AK563" s="1" t="str">
        <f t="shared" si="42"/>
        <v>Glazed Balcony</v>
      </c>
      <c r="AL563" s="1" t="str">
        <f t="shared" si="43"/>
        <v>1 Toilet</v>
      </c>
      <c r="AM563" s="1" t="str">
        <f t="shared" si="44"/>
        <v>NO</v>
      </c>
      <c r="AN563" s="1" t="str">
        <f>VLOOKUP(J563, 'Regions and Cities'!A:B, 2, FALSE)</f>
        <v>Uusimaa</v>
      </c>
    </row>
    <row r="564" spans="1:40" x14ac:dyDescent="0.3">
      <c r="A564" t="s">
        <v>9835</v>
      </c>
      <c r="B564" t="s">
        <v>9836</v>
      </c>
      <c r="C564" t="s">
        <v>9837</v>
      </c>
      <c r="D564" t="s">
        <v>9838</v>
      </c>
      <c r="E564" t="s">
        <v>9839</v>
      </c>
      <c r="F564" t="s">
        <v>105</v>
      </c>
      <c r="H564">
        <v>37</v>
      </c>
      <c r="I564" t="s">
        <v>1180</v>
      </c>
      <c r="J564" t="s">
        <v>137</v>
      </c>
      <c r="K564" t="s">
        <v>9840</v>
      </c>
      <c r="L564" t="s">
        <v>9841</v>
      </c>
      <c r="M564" t="s">
        <v>37</v>
      </c>
      <c r="N564" t="s">
        <v>9842</v>
      </c>
      <c r="O564" t="s">
        <v>9843</v>
      </c>
      <c r="R564" t="s">
        <v>37</v>
      </c>
      <c r="S564" t="s">
        <v>37</v>
      </c>
      <c r="T564">
        <v>60.158476999999998</v>
      </c>
      <c r="U564" t="s">
        <v>9844</v>
      </c>
      <c r="V564" t="s">
        <v>9845</v>
      </c>
      <c r="W564">
        <v>24.906103999999999</v>
      </c>
      <c r="X564">
        <v>325000</v>
      </c>
      <c r="Y564" t="s">
        <v>232</v>
      </c>
      <c r="AA564" t="s">
        <v>38</v>
      </c>
      <c r="AB564" t="s">
        <v>39</v>
      </c>
      <c r="AC564" t="s">
        <v>6510</v>
      </c>
      <c r="AD564" t="s">
        <v>40</v>
      </c>
      <c r="AE564" t="s">
        <v>9846</v>
      </c>
      <c r="AF564" t="s">
        <v>9847</v>
      </c>
      <c r="AG564" t="s">
        <v>9848</v>
      </c>
      <c r="AH564">
        <v>37</v>
      </c>
      <c r="AI564" s="2" t="str">
        <f t="shared" si="40"/>
        <v>Independent</v>
      </c>
      <c r="AJ564" s="2" t="str">
        <f t="shared" si="41"/>
        <v>NO</v>
      </c>
      <c r="AK564" s="1" t="str">
        <f t="shared" si="42"/>
        <v>Glazed Balcony</v>
      </c>
      <c r="AL564" s="1" t="str">
        <f t="shared" si="43"/>
        <v>1 Toilet</v>
      </c>
      <c r="AM564" s="1" t="str">
        <f t="shared" si="44"/>
        <v>YES</v>
      </c>
      <c r="AN564" s="1" t="str">
        <f>VLOOKUP(J564, 'Regions and Cities'!A:B, 2, FALSE)</f>
        <v>Uusimaa</v>
      </c>
    </row>
    <row r="565" spans="1:40" x14ac:dyDescent="0.3">
      <c r="A565" t="s">
        <v>2791</v>
      </c>
      <c r="B565" t="s">
        <v>2792</v>
      </c>
      <c r="C565" t="s">
        <v>1779</v>
      </c>
      <c r="D565" t="s">
        <v>1840</v>
      </c>
      <c r="E565" t="s">
        <v>1841</v>
      </c>
      <c r="F565" t="s">
        <v>70</v>
      </c>
      <c r="G565" t="s">
        <v>1842</v>
      </c>
      <c r="H565">
        <v>95</v>
      </c>
      <c r="I565" t="s">
        <v>2001</v>
      </c>
      <c r="J565" t="s">
        <v>126</v>
      </c>
      <c r="K565" t="s">
        <v>1781</v>
      </c>
      <c r="L565" t="s">
        <v>2793</v>
      </c>
      <c r="M565" t="s">
        <v>37</v>
      </c>
      <c r="N565" t="s">
        <v>2794</v>
      </c>
      <c r="O565" t="s">
        <v>2795</v>
      </c>
      <c r="P565" t="s">
        <v>2796</v>
      </c>
      <c r="R565" t="s">
        <v>37</v>
      </c>
      <c r="S565" t="s">
        <v>37</v>
      </c>
      <c r="T565">
        <v>60.189382999999999</v>
      </c>
      <c r="U565" t="s">
        <v>2797</v>
      </c>
      <c r="V565" t="s">
        <v>2798</v>
      </c>
      <c r="W565">
        <v>24.769808000000001</v>
      </c>
      <c r="X565">
        <v>389000</v>
      </c>
      <c r="Y565" t="s">
        <v>2799</v>
      </c>
      <c r="AA565" t="s">
        <v>45</v>
      </c>
      <c r="AB565" t="s">
        <v>39</v>
      </c>
      <c r="AC565" t="s">
        <v>480</v>
      </c>
      <c r="AD565" t="s">
        <v>75</v>
      </c>
      <c r="AE565" t="s">
        <v>2800</v>
      </c>
      <c r="AF565" t="s">
        <v>2801</v>
      </c>
      <c r="AG565" t="s">
        <v>2802</v>
      </c>
      <c r="AH565">
        <v>95</v>
      </c>
      <c r="AI565" s="2" t="str">
        <f t="shared" si="40"/>
        <v>Independent</v>
      </c>
      <c r="AJ565" s="2" t="str">
        <f t="shared" si="41"/>
        <v>YES</v>
      </c>
      <c r="AK565" s="1" t="str">
        <f t="shared" si="42"/>
        <v>Terrace</v>
      </c>
      <c r="AL565" s="1" t="str">
        <f t="shared" si="43"/>
        <v>1 Toilet</v>
      </c>
      <c r="AM565" s="1" t="str">
        <f t="shared" si="44"/>
        <v>YES</v>
      </c>
      <c r="AN565" s="1" t="str">
        <f>VLOOKUP(J565, 'Regions and Cities'!A:B, 2, FALSE)</f>
        <v>Uusimaa</v>
      </c>
    </row>
    <row r="566" spans="1:40" x14ac:dyDescent="0.3">
      <c r="A566" t="s">
        <v>5378</v>
      </c>
      <c r="B566" t="s">
        <v>5379</v>
      </c>
      <c r="C566" t="s">
        <v>905</v>
      </c>
      <c r="D566" t="s">
        <v>5380</v>
      </c>
      <c r="E566" t="s">
        <v>5381</v>
      </c>
      <c r="H566">
        <v>58</v>
      </c>
      <c r="I566" t="s">
        <v>237</v>
      </c>
      <c r="J566" t="s">
        <v>350</v>
      </c>
      <c r="K566" t="s">
        <v>131</v>
      </c>
      <c r="L566" t="s">
        <v>5382</v>
      </c>
      <c r="M566" t="s">
        <v>37</v>
      </c>
      <c r="N566" t="s">
        <v>5383</v>
      </c>
      <c r="O566" t="s">
        <v>5384</v>
      </c>
      <c r="R566" t="s">
        <v>37</v>
      </c>
      <c r="S566" t="s">
        <v>37</v>
      </c>
      <c r="T566">
        <v>62.595151000000001</v>
      </c>
      <c r="U566" t="s">
        <v>5385</v>
      </c>
      <c r="V566" t="s">
        <v>5386</v>
      </c>
      <c r="W566">
        <v>29.743783000000001</v>
      </c>
      <c r="X566">
        <v>86000</v>
      </c>
      <c r="Y566" t="s">
        <v>3085</v>
      </c>
      <c r="AA566" t="s">
        <v>38</v>
      </c>
      <c r="AB566" t="s">
        <v>39</v>
      </c>
      <c r="AC566" t="s">
        <v>480</v>
      </c>
      <c r="AD566" t="s">
        <v>40</v>
      </c>
      <c r="AE566" t="s">
        <v>165</v>
      </c>
      <c r="AF566" t="s">
        <v>5387</v>
      </c>
      <c r="AG566" t="s">
        <v>5388</v>
      </c>
      <c r="AH566">
        <v>58</v>
      </c>
      <c r="AI566" s="2" t="str">
        <f t="shared" si="40"/>
        <v>Independent</v>
      </c>
      <c r="AJ566" s="2" t="str">
        <f t="shared" si="41"/>
        <v>YES</v>
      </c>
      <c r="AK566" s="1" t="str">
        <f t="shared" si="42"/>
        <v>None</v>
      </c>
      <c r="AL566" s="1" t="str">
        <f t="shared" si="43"/>
        <v>1 Toilet</v>
      </c>
      <c r="AM566" s="1" t="str">
        <f t="shared" si="44"/>
        <v>NO</v>
      </c>
      <c r="AN566" s="1" t="str">
        <f>VLOOKUP(J566, 'Regions and Cities'!A:B, 2, FALSE)</f>
        <v>Pohjois-Karjala</v>
      </c>
    </row>
    <row r="567" spans="1:40" x14ac:dyDescent="0.3">
      <c r="A567" t="s">
        <v>8657</v>
      </c>
      <c r="B567" t="s">
        <v>8658</v>
      </c>
      <c r="C567" t="s">
        <v>8659</v>
      </c>
      <c r="D567" t="s">
        <v>6657</v>
      </c>
      <c r="E567" t="s">
        <v>6658</v>
      </c>
      <c r="F567" t="s">
        <v>50</v>
      </c>
      <c r="G567" t="s">
        <v>8660</v>
      </c>
      <c r="H567">
        <v>110</v>
      </c>
      <c r="I567" t="s">
        <v>7203</v>
      </c>
      <c r="J567" t="s">
        <v>107</v>
      </c>
      <c r="K567" t="s">
        <v>8661</v>
      </c>
      <c r="L567" t="s">
        <v>8662</v>
      </c>
      <c r="M567" t="s">
        <v>37</v>
      </c>
      <c r="N567" t="s">
        <v>8663</v>
      </c>
      <c r="O567" t="s">
        <v>8664</v>
      </c>
      <c r="P567" t="s">
        <v>8665</v>
      </c>
      <c r="Q567" t="s">
        <v>8666</v>
      </c>
      <c r="R567" t="s">
        <v>37</v>
      </c>
      <c r="S567" t="s">
        <v>37</v>
      </c>
      <c r="T567">
        <v>60.618510000000001</v>
      </c>
      <c r="U567" t="s">
        <v>8667</v>
      </c>
      <c r="V567" t="s">
        <v>8668</v>
      </c>
      <c r="W567">
        <v>24.856290000000001</v>
      </c>
      <c r="X567">
        <v>259000</v>
      </c>
      <c r="Y567" t="s">
        <v>67</v>
      </c>
      <c r="AA567" t="s">
        <v>63</v>
      </c>
      <c r="AB567" t="s">
        <v>39</v>
      </c>
      <c r="AC567" t="s">
        <v>6510</v>
      </c>
      <c r="AD567" t="s">
        <v>75</v>
      </c>
      <c r="AE567" t="s">
        <v>8669</v>
      </c>
      <c r="AF567" t="s">
        <v>8670</v>
      </c>
      <c r="AG567" t="s">
        <v>8671</v>
      </c>
      <c r="AH567">
        <v>150</v>
      </c>
      <c r="AI567" s="2" t="str">
        <f t="shared" si="40"/>
        <v>Kitchenette</v>
      </c>
      <c r="AJ567" s="2" t="str">
        <f t="shared" si="41"/>
        <v>YES</v>
      </c>
      <c r="AK567" s="1" t="str">
        <f t="shared" si="42"/>
        <v>None</v>
      </c>
      <c r="AL567" s="1" t="str">
        <f t="shared" si="43"/>
        <v>2 Toilets</v>
      </c>
      <c r="AM567" s="1" t="str">
        <f t="shared" si="44"/>
        <v>NO</v>
      </c>
      <c r="AN567" s="1" t="str">
        <f>VLOOKUP(J567, 'Regions and Cities'!A:B, 2, FALSE)</f>
        <v>Uusimaa</v>
      </c>
    </row>
    <row r="568" spans="1:40" x14ac:dyDescent="0.3">
      <c r="A568" t="s">
        <v>6137</v>
      </c>
      <c r="B568" t="s">
        <v>6138</v>
      </c>
      <c r="C568" t="s">
        <v>6139</v>
      </c>
      <c r="H568">
        <v>100</v>
      </c>
      <c r="I568" t="s">
        <v>1310</v>
      </c>
      <c r="J568" t="s">
        <v>385</v>
      </c>
      <c r="K568" t="s">
        <v>6140</v>
      </c>
      <c r="L568" t="s">
        <v>6141</v>
      </c>
      <c r="M568" t="s">
        <v>37</v>
      </c>
      <c r="N568" t="s">
        <v>6142</v>
      </c>
      <c r="O568" t="s">
        <v>6143</v>
      </c>
      <c r="R568" t="s">
        <v>111</v>
      </c>
      <c r="S568" t="s">
        <v>111</v>
      </c>
      <c r="T568">
        <v>60.354187000000003</v>
      </c>
      <c r="U568" t="s">
        <v>6144</v>
      </c>
      <c r="V568" t="s">
        <v>6145</v>
      </c>
      <c r="W568">
        <v>24.351752000000001</v>
      </c>
      <c r="X568">
        <v>349000</v>
      </c>
      <c r="Y568" t="s">
        <v>284</v>
      </c>
      <c r="Z568" t="s">
        <v>6146</v>
      </c>
      <c r="AA568" t="s">
        <v>63</v>
      </c>
      <c r="AB568" t="s">
        <v>39</v>
      </c>
      <c r="AC568" t="s">
        <v>6147</v>
      </c>
      <c r="AD568" t="s">
        <v>75</v>
      </c>
      <c r="AE568" t="s">
        <v>6148</v>
      </c>
      <c r="AF568" t="s">
        <v>6149</v>
      </c>
      <c r="AG568" t="s">
        <v>6150</v>
      </c>
      <c r="AH568">
        <v>121</v>
      </c>
      <c r="AI568" s="2" t="str">
        <f t="shared" si="40"/>
        <v>Independent</v>
      </c>
      <c r="AJ568" s="2" t="str">
        <f t="shared" si="41"/>
        <v>YES</v>
      </c>
      <c r="AK568" s="1" t="str">
        <f t="shared" si="42"/>
        <v>None</v>
      </c>
      <c r="AL568" s="1" t="str">
        <f t="shared" si="43"/>
        <v>1 Toilet</v>
      </c>
      <c r="AM568" s="1" t="str">
        <f t="shared" si="44"/>
        <v>YES</v>
      </c>
      <c r="AN568" s="1" t="str">
        <f>VLOOKUP(J568, 'Regions and Cities'!A:B, 2, FALSE)</f>
        <v>Uusimaa</v>
      </c>
    </row>
    <row r="569" spans="1:40" x14ac:dyDescent="0.3">
      <c r="A569" t="s">
        <v>615</v>
      </c>
      <c r="B569" t="s">
        <v>616</v>
      </c>
      <c r="C569" t="s">
        <v>617</v>
      </c>
      <c r="D569" t="s">
        <v>618</v>
      </c>
      <c r="E569" t="s">
        <v>619</v>
      </c>
      <c r="F569" t="s">
        <v>620</v>
      </c>
      <c r="H569">
        <v>69</v>
      </c>
      <c r="I569" t="s">
        <v>272</v>
      </c>
      <c r="J569" t="s">
        <v>343</v>
      </c>
      <c r="K569" t="s">
        <v>131</v>
      </c>
      <c r="L569" t="s">
        <v>621</v>
      </c>
      <c r="M569" t="s">
        <v>37</v>
      </c>
      <c r="N569" t="s">
        <v>622</v>
      </c>
      <c r="O569" t="s">
        <v>623</v>
      </c>
      <c r="R569" t="s">
        <v>37</v>
      </c>
      <c r="S569" t="s">
        <v>37</v>
      </c>
      <c r="T569">
        <v>62.600223999999997</v>
      </c>
      <c r="U569" t="s">
        <v>624</v>
      </c>
      <c r="V569" t="s">
        <v>625</v>
      </c>
      <c r="W569">
        <v>25.717372999999998</v>
      </c>
      <c r="X569">
        <v>58000</v>
      </c>
      <c r="Y569" t="s">
        <v>626</v>
      </c>
      <c r="AA569" t="s">
        <v>38</v>
      </c>
      <c r="AB569" t="s">
        <v>39</v>
      </c>
      <c r="AC569" t="s">
        <v>480</v>
      </c>
      <c r="AD569" t="s">
        <v>46</v>
      </c>
      <c r="AE569" t="s">
        <v>159</v>
      </c>
      <c r="AF569" t="s">
        <v>627</v>
      </c>
      <c r="AG569" t="s">
        <v>628</v>
      </c>
      <c r="AH569">
        <v>69</v>
      </c>
      <c r="AI569" s="2" t="str">
        <f t="shared" si="40"/>
        <v>Independent</v>
      </c>
      <c r="AJ569" s="2" t="str">
        <f t="shared" si="41"/>
        <v>NO</v>
      </c>
      <c r="AK569" s="1" t="str">
        <f t="shared" si="42"/>
        <v>None</v>
      </c>
      <c r="AL569" s="1" t="str">
        <f t="shared" si="43"/>
        <v>1 Toilet</v>
      </c>
      <c r="AM569" s="1" t="str">
        <f t="shared" si="44"/>
        <v>NO</v>
      </c>
      <c r="AN569" s="1" t="str">
        <f>VLOOKUP(J569, 'Regions and Cities'!A:B, 2, FALSE)</f>
        <v>Keski-Suomi</v>
      </c>
    </row>
    <row r="570" spans="1:40" x14ac:dyDescent="0.3">
      <c r="A570" t="s">
        <v>9733</v>
      </c>
      <c r="B570" t="s">
        <v>9734</v>
      </c>
      <c r="C570" t="s">
        <v>9735</v>
      </c>
      <c r="D570" t="s">
        <v>9736</v>
      </c>
      <c r="E570" t="s">
        <v>9737</v>
      </c>
      <c r="F570" t="s">
        <v>105</v>
      </c>
      <c r="G570" t="s">
        <v>9738</v>
      </c>
      <c r="H570">
        <v>91</v>
      </c>
      <c r="I570" t="s">
        <v>252</v>
      </c>
      <c r="J570" t="s">
        <v>379</v>
      </c>
      <c r="K570" t="s">
        <v>9739</v>
      </c>
      <c r="L570" t="s">
        <v>9740</v>
      </c>
      <c r="M570" t="s">
        <v>37</v>
      </c>
      <c r="N570" t="s">
        <v>9741</v>
      </c>
      <c r="O570" t="s">
        <v>9742</v>
      </c>
      <c r="P570" t="s">
        <v>9743</v>
      </c>
      <c r="R570" t="s">
        <v>37</v>
      </c>
      <c r="S570" t="s">
        <v>37</v>
      </c>
      <c r="T570">
        <v>64.207774000000001</v>
      </c>
      <c r="U570" t="s">
        <v>9744</v>
      </c>
      <c r="V570" t="s">
        <v>9745</v>
      </c>
      <c r="W570">
        <v>27.75489</v>
      </c>
      <c r="X570">
        <v>97000</v>
      </c>
      <c r="Y570" t="s">
        <v>243</v>
      </c>
      <c r="AA570" t="s">
        <v>38</v>
      </c>
      <c r="AB570" t="s">
        <v>39</v>
      </c>
      <c r="AC570" t="s">
        <v>6510</v>
      </c>
      <c r="AD570" t="s">
        <v>75</v>
      </c>
      <c r="AE570" t="s">
        <v>9746</v>
      </c>
      <c r="AF570" t="s">
        <v>9747</v>
      </c>
      <c r="AG570" t="s">
        <v>9748</v>
      </c>
      <c r="AH570">
        <v>91</v>
      </c>
      <c r="AI570" s="2" t="str">
        <f t="shared" si="40"/>
        <v>Independent</v>
      </c>
      <c r="AJ570" s="2" t="str">
        <f t="shared" si="41"/>
        <v>NO</v>
      </c>
      <c r="AK570" s="1" t="str">
        <f t="shared" si="42"/>
        <v>None</v>
      </c>
      <c r="AL570" s="1" t="str">
        <f t="shared" si="43"/>
        <v>1 Toilet</v>
      </c>
      <c r="AM570" s="1" t="str">
        <f t="shared" si="44"/>
        <v>NO</v>
      </c>
      <c r="AN570" s="1" t="str">
        <f>VLOOKUP(J570, 'Regions and Cities'!A:B, 2, FALSE)</f>
        <v>Kainuu</v>
      </c>
    </row>
    <row r="571" spans="1:40" x14ac:dyDescent="0.3">
      <c r="A571" t="s">
        <v>7038</v>
      </c>
      <c r="B571" t="s">
        <v>7039</v>
      </c>
      <c r="C571" t="s">
        <v>7040</v>
      </c>
      <c r="D571" t="s">
        <v>7041</v>
      </c>
      <c r="E571" t="s">
        <v>7042</v>
      </c>
      <c r="F571" t="s">
        <v>7043</v>
      </c>
      <c r="H571">
        <v>68.5</v>
      </c>
      <c r="I571" t="s">
        <v>81</v>
      </c>
      <c r="J571" t="s">
        <v>137</v>
      </c>
      <c r="K571" t="s">
        <v>7044</v>
      </c>
      <c r="L571" t="s">
        <v>7045</v>
      </c>
      <c r="M571" t="s">
        <v>37</v>
      </c>
      <c r="N571" t="s">
        <v>7046</v>
      </c>
      <c r="O571" t="s">
        <v>7047</v>
      </c>
      <c r="R571" t="s">
        <v>37</v>
      </c>
      <c r="S571" t="s">
        <v>37</v>
      </c>
      <c r="T571">
        <v>60.252000000000002</v>
      </c>
      <c r="U571" t="s">
        <v>7048</v>
      </c>
      <c r="V571" t="s">
        <v>7049</v>
      </c>
      <c r="W571">
        <v>25.017219999999998</v>
      </c>
      <c r="X571">
        <v>192000</v>
      </c>
      <c r="Y571" t="s">
        <v>7050</v>
      </c>
      <c r="AA571" t="s">
        <v>38</v>
      </c>
      <c r="AB571" t="s">
        <v>39</v>
      </c>
      <c r="AC571" t="s">
        <v>6510</v>
      </c>
      <c r="AD571" t="s">
        <v>46</v>
      </c>
      <c r="AE571" t="s">
        <v>7051</v>
      </c>
      <c r="AF571" t="s">
        <v>7052</v>
      </c>
      <c r="AG571" t="s">
        <v>7053</v>
      </c>
      <c r="AH571">
        <v>68.5</v>
      </c>
      <c r="AI571" s="2" t="str">
        <f t="shared" si="40"/>
        <v>Independent</v>
      </c>
      <c r="AJ571" s="2" t="str">
        <f t="shared" si="41"/>
        <v>YES</v>
      </c>
      <c r="AK571" s="1" t="str">
        <f t="shared" si="42"/>
        <v>Glazed Balcony</v>
      </c>
      <c r="AL571" s="1" t="str">
        <f t="shared" si="43"/>
        <v>1 Toilet</v>
      </c>
      <c r="AM571" s="1" t="str">
        <f t="shared" si="44"/>
        <v>NO</v>
      </c>
      <c r="AN571" s="1" t="str">
        <f>VLOOKUP(J571, 'Regions and Cities'!A:B, 2, FALSE)</f>
        <v>Uusimaa</v>
      </c>
    </row>
    <row r="572" spans="1:40" x14ac:dyDescent="0.3">
      <c r="A572" t="s">
        <v>5964</v>
      </c>
      <c r="B572" t="s">
        <v>5965</v>
      </c>
      <c r="C572" t="s">
        <v>5966</v>
      </c>
      <c r="D572" t="s">
        <v>5967</v>
      </c>
      <c r="E572" t="s">
        <v>5968</v>
      </c>
      <c r="H572">
        <v>111</v>
      </c>
      <c r="I572" t="s">
        <v>189</v>
      </c>
      <c r="J572" t="s">
        <v>406</v>
      </c>
      <c r="K572" t="s">
        <v>5969</v>
      </c>
      <c r="L572" t="s">
        <v>5970</v>
      </c>
      <c r="M572" t="s">
        <v>37</v>
      </c>
      <c r="N572" t="s">
        <v>5971</v>
      </c>
      <c r="O572" t="s">
        <v>5972</v>
      </c>
      <c r="R572" t="s">
        <v>37</v>
      </c>
      <c r="S572" t="s">
        <v>37</v>
      </c>
      <c r="T572">
        <v>64.220529999999997</v>
      </c>
      <c r="U572" t="s">
        <v>5973</v>
      </c>
      <c r="V572" t="s">
        <v>5974</v>
      </c>
      <c r="W572">
        <v>23.766480000000001</v>
      </c>
      <c r="X572">
        <v>349000</v>
      </c>
      <c r="Y572" t="s">
        <v>284</v>
      </c>
      <c r="AA572" t="s">
        <v>63</v>
      </c>
      <c r="AB572" t="s">
        <v>39</v>
      </c>
      <c r="AC572" t="s">
        <v>480</v>
      </c>
      <c r="AD572" t="s">
        <v>55</v>
      </c>
      <c r="AE572" t="s">
        <v>5975</v>
      </c>
      <c r="AF572" t="s">
        <v>5976</v>
      </c>
      <c r="AG572" t="s">
        <v>5977</v>
      </c>
      <c r="AH572">
        <v>172</v>
      </c>
      <c r="AI572" s="2" t="str">
        <f t="shared" si="40"/>
        <v>Independent</v>
      </c>
      <c r="AJ572" s="2" t="str">
        <f t="shared" si="41"/>
        <v>NO</v>
      </c>
      <c r="AK572" s="1" t="str">
        <f t="shared" si="42"/>
        <v>None</v>
      </c>
      <c r="AL572" s="1" t="str">
        <f t="shared" si="43"/>
        <v>1 Toilet</v>
      </c>
      <c r="AM572" s="1" t="str">
        <f t="shared" si="44"/>
        <v>YES</v>
      </c>
      <c r="AN572" s="1" t="str">
        <f>VLOOKUP(J572, 'Regions and Cities'!A:B, 2, FALSE)</f>
        <v>Pohjois-Pohjanmaa</v>
      </c>
    </row>
    <row r="573" spans="1:40" x14ac:dyDescent="0.3">
      <c r="A573" t="s">
        <v>9892</v>
      </c>
      <c r="B573" t="s">
        <v>9893</v>
      </c>
      <c r="C573" t="s">
        <v>199</v>
      </c>
      <c r="D573" t="s">
        <v>7791</v>
      </c>
      <c r="E573" t="s">
        <v>7792</v>
      </c>
      <c r="F573" t="s">
        <v>7793</v>
      </c>
      <c r="H573">
        <v>84</v>
      </c>
      <c r="I573" t="s">
        <v>191</v>
      </c>
      <c r="J573" t="s">
        <v>137</v>
      </c>
      <c r="K573" t="s">
        <v>200</v>
      </c>
      <c r="L573" t="s">
        <v>9894</v>
      </c>
      <c r="M573" t="s">
        <v>37</v>
      </c>
      <c r="N573" t="s">
        <v>9895</v>
      </c>
      <c r="O573" t="s">
        <v>9896</v>
      </c>
      <c r="R573" t="s">
        <v>37</v>
      </c>
      <c r="S573" t="s">
        <v>37</v>
      </c>
      <c r="T573">
        <v>60.224201000000001</v>
      </c>
      <c r="U573" t="s">
        <v>9897</v>
      </c>
      <c r="V573" t="s">
        <v>9898</v>
      </c>
      <c r="W573">
        <v>25.085587</v>
      </c>
      <c r="X573">
        <v>57410.69</v>
      </c>
      <c r="Y573" t="s">
        <v>9899</v>
      </c>
      <c r="AA573" t="s">
        <v>45</v>
      </c>
      <c r="AB573" t="s">
        <v>39</v>
      </c>
      <c r="AC573" t="s">
        <v>868</v>
      </c>
      <c r="AD573" t="s">
        <v>46</v>
      </c>
      <c r="AE573" t="s">
        <v>140</v>
      </c>
      <c r="AF573" t="s">
        <v>9900</v>
      </c>
      <c r="AG573" t="s">
        <v>9901</v>
      </c>
      <c r="AH573"/>
      <c r="AI573" s="2" t="str">
        <f t="shared" si="40"/>
        <v>Open</v>
      </c>
      <c r="AJ573" s="2" t="str">
        <f t="shared" si="41"/>
        <v>YES</v>
      </c>
      <c r="AK573" s="1" t="str">
        <f t="shared" si="42"/>
        <v>None</v>
      </c>
      <c r="AL573" s="1" t="str">
        <f t="shared" si="43"/>
        <v>1 Toilet</v>
      </c>
      <c r="AM573" s="1" t="str">
        <f t="shared" si="44"/>
        <v>NO</v>
      </c>
      <c r="AN573" s="1" t="str">
        <f>VLOOKUP(J573, 'Regions and Cities'!A:B, 2, FALSE)</f>
        <v>Uusimaa</v>
      </c>
    </row>
    <row r="574" spans="1:40" x14ac:dyDescent="0.3">
      <c r="A574" t="s">
        <v>4463</v>
      </c>
      <c r="B574" t="s">
        <v>4464</v>
      </c>
      <c r="C574" t="s">
        <v>4465</v>
      </c>
      <c r="D574" t="s">
        <v>1946</v>
      </c>
      <c r="E574" t="s">
        <v>1947</v>
      </c>
      <c r="F574" t="s">
        <v>1948</v>
      </c>
      <c r="H574">
        <v>71</v>
      </c>
      <c r="I574" t="s">
        <v>183</v>
      </c>
      <c r="J574" t="s">
        <v>137</v>
      </c>
      <c r="K574" t="s">
        <v>4466</v>
      </c>
      <c r="L574" t="s">
        <v>4467</v>
      </c>
      <c r="M574" t="s">
        <v>37</v>
      </c>
      <c r="N574" t="s">
        <v>4468</v>
      </c>
      <c r="O574" t="s">
        <v>4469</v>
      </c>
      <c r="R574" t="s">
        <v>37</v>
      </c>
      <c r="S574" t="s">
        <v>37</v>
      </c>
      <c r="T574">
        <v>60.185119999999998</v>
      </c>
      <c r="U574" t="s">
        <v>4470</v>
      </c>
      <c r="V574" t="s">
        <v>4471</v>
      </c>
      <c r="W574">
        <v>24.983820000000001</v>
      </c>
      <c r="X574">
        <v>438000</v>
      </c>
      <c r="Y574" t="s">
        <v>4472</v>
      </c>
      <c r="AA574" t="s">
        <v>38</v>
      </c>
      <c r="AB574" t="s">
        <v>39</v>
      </c>
      <c r="AC574" t="s">
        <v>480</v>
      </c>
      <c r="AD574" t="s">
        <v>46</v>
      </c>
      <c r="AE574" t="s">
        <v>4473</v>
      </c>
      <c r="AF574" t="s">
        <v>4474</v>
      </c>
      <c r="AG574" t="s">
        <v>4475</v>
      </c>
      <c r="AH574">
        <v>71</v>
      </c>
      <c r="AI574" s="2" t="str">
        <f t="shared" si="40"/>
        <v>Independent</v>
      </c>
      <c r="AJ574" s="2" t="str">
        <f t="shared" si="41"/>
        <v>YES</v>
      </c>
      <c r="AK574" s="1" t="str">
        <f t="shared" si="42"/>
        <v>Glazed Balcony</v>
      </c>
      <c r="AL574" s="1" t="str">
        <f t="shared" si="43"/>
        <v>1 Toilet</v>
      </c>
      <c r="AM574" s="1" t="str">
        <f t="shared" si="44"/>
        <v>NO</v>
      </c>
      <c r="AN574" s="1" t="str">
        <f>VLOOKUP(J574, 'Regions and Cities'!A:B, 2, FALSE)</f>
        <v>Uusimaa</v>
      </c>
    </row>
    <row r="575" spans="1:40" x14ac:dyDescent="0.3">
      <c r="A575" t="s">
        <v>6530</v>
      </c>
      <c r="B575" t="s">
        <v>6531</v>
      </c>
      <c r="C575" t="s">
        <v>6532</v>
      </c>
      <c r="D575" t="s">
        <v>2226</v>
      </c>
      <c r="E575" t="s">
        <v>2227</v>
      </c>
      <c r="F575" t="s">
        <v>79</v>
      </c>
      <c r="G575" t="s">
        <v>6533</v>
      </c>
      <c r="H575">
        <v>109</v>
      </c>
      <c r="I575" t="s">
        <v>3712</v>
      </c>
      <c r="J575" t="s">
        <v>265</v>
      </c>
      <c r="K575" t="s">
        <v>6534</v>
      </c>
      <c r="L575" t="s">
        <v>6535</v>
      </c>
      <c r="M575" t="s">
        <v>37</v>
      </c>
      <c r="N575" t="s">
        <v>6536</v>
      </c>
      <c r="O575" t="s">
        <v>6537</v>
      </c>
      <c r="P575" t="s">
        <v>6538</v>
      </c>
      <c r="R575" t="s">
        <v>37</v>
      </c>
      <c r="S575" t="s">
        <v>37</v>
      </c>
      <c r="T575">
        <v>64.992801999999998</v>
      </c>
      <c r="U575" t="s">
        <v>6539</v>
      </c>
      <c r="V575" t="s">
        <v>6540</v>
      </c>
      <c r="W575">
        <v>25.493728999999998</v>
      </c>
      <c r="X575">
        <v>408000</v>
      </c>
      <c r="Y575" t="s">
        <v>6541</v>
      </c>
      <c r="AA575" t="s">
        <v>63</v>
      </c>
      <c r="AB575" t="s">
        <v>39</v>
      </c>
      <c r="AC575" t="s">
        <v>6510</v>
      </c>
      <c r="AD575" t="s">
        <v>75</v>
      </c>
      <c r="AE575" t="s">
        <v>6542</v>
      </c>
      <c r="AF575" t="s">
        <v>6543</v>
      </c>
      <c r="AG575" t="s">
        <v>6544</v>
      </c>
      <c r="AH575">
        <v>109</v>
      </c>
      <c r="AI575" s="2" t="str">
        <f t="shared" si="40"/>
        <v>Independent</v>
      </c>
      <c r="AJ575" s="2" t="str">
        <f t="shared" si="41"/>
        <v>NO</v>
      </c>
      <c r="AK575" s="1" t="str">
        <f t="shared" si="42"/>
        <v>None</v>
      </c>
      <c r="AL575" s="1" t="str">
        <f t="shared" si="43"/>
        <v>1 Toilet</v>
      </c>
      <c r="AM575" s="1" t="str">
        <f t="shared" si="44"/>
        <v>NO</v>
      </c>
      <c r="AN575" s="1" t="str">
        <f>VLOOKUP(J575, 'Regions and Cities'!A:B, 2, FALSE)</f>
        <v>Pohjois-Pohjanmaa</v>
      </c>
    </row>
    <row r="576" spans="1:40" x14ac:dyDescent="0.3">
      <c r="A576" t="s">
        <v>8275</v>
      </c>
      <c r="B576" t="s">
        <v>8276</v>
      </c>
      <c r="C576" t="s">
        <v>1490</v>
      </c>
      <c r="D576" t="s">
        <v>1491</v>
      </c>
      <c r="E576" t="s">
        <v>1492</v>
      </c>
      <c r="F576" t="s">
        <v>1493</v>
      </c>
      <c r="H576">
        <v>49</v>
      </c>
      <c r="I576" t="s">
        <v>8060</v>
      </c>
      <c r="J576" t="s">
        <v>110</v>
      </c>
      <c r="K576" t="s">
        <v>1494</v>
      </c>
      <c r="L576" t="s">
        <v>8277</v>
      </c>
      <c r="M576" t="s">
        <v>37</v>
      </c>
      <c r="N576" t="s">
        <v>8278</v>
      </c>
      <c r="O576" t="s">
        <v>8279</v>
      </c>
      <c r="R576" t="s">
        <v>37</v>
      </c>
      <c r="S576" t="s">
        <v>37</v>
      </c>
      <c r="T576">
        <v>60.435609999999997</v>
      </c>
      <c r="U576" t="s">
        <v>8280</v>
      </c>
      <c r="V576" t="s">
        <v>8281</v>
      </c>
      <c r="W576">
        <v>22.247776000000002</v>
      </c>
      <c r="X576">
        <v>298000</v>
      </c>
      <c r="Y576" t="s">
        <v>743</v>
      </c>
      <c r="AA576" t="s">
        <v>45</v>
      </c>
      <c r="AB576" t="s">
        <v>39</v>
      </c>
      <c r="AC576" t="s">
        <v>6510</v>
      </c>
      <c r="AD576" t="s">
        <v>55</v>
      </c>
      <c r="AE576" t="s">
        <v>8282</v>
      </c>
      <c r="AF576" t="s">
        <v>8283</v>
      </c>
      <c r="AG576" t="s">
        <v>8284</v>
      </c>
      <c r="AH576">
        <v>120</v>
      </c>
      <c r="AI576" s="2" t="str">
        <f t="shared" si="40"/>
        <v>Independent</v>
      </c>
      <c r="AJ576" s="2" t="str">
        <f t="shared" si="41"/>
        <v>NO</v>
      </c>
      <c r="AK576" s="1" t="str">
        <f t="shared" si="42"/>
        <v>None</v>
      </c>
      <c r="AL576" s="1" t="str">
        <f t="shared" si="43"/>
        <v>1 Toilet</v>
      </c>
      <c r="AM576" s="1" t="str">
        <f t="shared" si="44"/>
        <v>YES</v>
      </c>
      <c r="AN576" s="1" t="str">
        <f>VLOOKUP(J576, 'Regions and Cities'!A:B, 2, FALSE)</f>
        <v>Varsinais-Suomi</v>
      </c>
    </row>
    <row r="577" spans="1:40" x14ac:dyDescent="0.3">
      <c r="A577" t="s">
        <v>5474</v>
      </c>
      <c r="B577" t="s">
        <v>5475</v>
      </c>
      <c r="C577" t="s">
        <v>5476</v>
      </c>
      <c r="D577" t="s">
        <v>2819</v>
      </c>
      <c r="E577" t="s">
        <v>2820</v>
      </c>
      <c r="F577" t="s">
        <v>2821</v>
      </c>
      <c r="H577">
        <v>33.5</v>
      </c>
      <c r="I577" t="s">
        <v>296</v>
      </c>
      <c r="J577" t="s">
        <v>139</v>
      </c>
      <c r="K577" t="s">
        <v>5477</v>
      </c>
      <c r="L577" t="s">
        <v>5478</v>
      </c>
      <c r="M577" t="s">
        <v>37</v>
      </c>
      <c r="N577" t="s">
        <v>5479</v>
      </c>
      <c r="O577" t="s">
        <v>5480</v>
      </c>
      <c r="R577" t="s">
        <v>37</v>
      </c>
      <c r="S577" t="s">
        <v>37</v>
      </c>
      <c r="T577">
        <v>61.502744999999997</v>
      </c>
      <c r="U577" t="s">
        <v>5481</v>
      </c>
      <c r="V577" t="s">
        <v>5482</v>
      </c>
      <c r="W577">
        <v>23.767605</v>
      </c>
      <c r="X577">
        <v>139000</v>
      </c>
      <c r="Y577" t="s">
        <v>74</v>
      </c>
      <c r="AA577" t="s">
        <v>38</v>
      </c>
      <c r="AB577" t="s">
        <v>39</v>
      </c>
      <c r="AC577" t="s">
        <v>480</v>
      </c>
      <c r="AD577" t="s">
        <v>202</v>
      </c>
      <c r="AE577" t="s">
        <v>222</v>
      </c>
      <c r="AF577" t="s">
        <v>5483</v>
      </c>
      <c r="AG577" t="s">
        <v>5484</v>
      </c>
      <c r="AH577">
        <v>33.5</v>
      </c>
      <c r="AI577" s="2" t="str">
        <f t="shared" si="40"/>
        <v>Kitchenette</v>
      </c>
      <c r="AJ577" s="2" t="str">
        <f t="shared" si="41"/>
        <v>NO</v>
      </c>
      <c r="AK577" s="1" t="str">
        <f t="shared" si="42"/>
        <v>None</v>
      </c>
      <c r="AL577" s="1" t="str">
        <f t="shared" si="43"/>
        <v>1 Toilet</v>
      </c>
      <c r="AM577" s="1" t="str">
        <f t="shared" si="44"/>
        <v>NO</v>
      </c>
      <c r="AN577" s="1" t="str">
        <f>VLOOKUP(J577, 'Regions and Cities'!A:B, 2, FALSE)</f>
        <v>Pirkanmaa</v>
      </c>
    </row>
    <row r="578" spans="1:40" x14ac:dyDescent="0.3">
      <c r="A578" t="s">
        <v>5741</v>
      </c>
      <c r="B578" t="s">
        <v>5742</v>
      </c>
      <c r="C578" t="s">
        <v>5743</v>
      </c>
      <c r="H578">
        <v>98</v>
      </c>
      <c r="I578" t="s">
        <v>106</v>
      </c>
      <c r="J578" t="s">
        <v>350</v>
      </c>
      <c r="K578" t="s">
        <v>5744</v>
      </c>
      <c r="L578" t="s">
        <v>5745</v>
      </c>
      <c r="M578" t="s">
        <v>37</v>
      </c>
      <c r="N578" t="s">
        <v>5746</v>
      </c>
      <c r="O578" t="s">
        <v>5747</v>
      </c>
      <c r="R578" t="s">
        <v>37</v>
      </c>
      <c r="S578" t="s">
        <v>111</v>
      </c>
      <c r="T578">
        <v>62.595948</v>
      </c>
      <c r="U578" t="s">
        <v>5748</v>
      </c>
      <c r="V578" t="s">
        <v>5749</v>
      </c>
      <c r="W578">
        <v>29.807525999999999</v>
      </c>
      <c r="X578">
        <v>129000</v>
      </c>
      <c r="Y578" t="s">
        <v>177</v>
      </c>
      <c r="Z578" t="s">
        <v>5750</v>
      </c>
      <c r="AA578" t="s">
        <v>45</v>
      </c>
      <c r="AB578" t="s">
        <v>39</v>
      </c>
      <c r="AC578" t="s">
        <v>480</v>
      </c>
      <c r="AD578" t="s">
        <v>75</v>
      </c>
      <c r="AE578" t="s">
        <v>5751</v>
      </c>
      <c r="AF578" t="s">
        <v>5752</v>
      </c>
      <c r="AG578" t="s">
        <v>5753</v>
      </c>
      <c r="AH578">
        <v>98</v>
      </c>
      <c r="AI578" s="2" t="str">
        <f t="shared" ref="AI578:AI641" si="45">IF(AE578="", "no info", IF(OR(ISNUMBER(SEARCH("kt", AE578)), ISNUMBER(SEARCH("avokeittiö", AE578))), "Open", IF(ISNUMBER(SEARCH("kk", AE578)), "Kitchenette", "Independent")))</f>
        <v>Independent</v>
      </c>
      <c r="AJ578" s="2" t="str">
        <f t="shared" ref="AJ578:AJ641" si="46">IF(AE578="", "no info", IF(OR(ISNUMBER(SEARCH(" s ", AE578)), ISNUMBER(SEARCH("sauna", AE578)), ISNUMBER(SEARCH("+ s", AE578))), "YES", "NO"))</f>
        <v>YES</v>
      </c>
      <c r="AK578" s="1" t="str">
        <f t="shared" ref="AK578:AK641" si="47">IF(AE578="", "no info", IF(OR(ISNUMBER(SEARCH("las.p", AE578)), ISNUMBER(SEARCH("lasitettu", AE578))), "Glazed Balcony", IF(OR(ISNUMBER(SEARCH(" p ", AE578)), ISNUMBER(SEARCH("parveke", AE578))), "Standard Balcony", IF(OR(ISNUMBER(SEARCH("terassi", AE578)), ISNUMBER(SEARCH("kuisti", AE578))), "Terrace", "None"))))</f>
        <v>None</v>
      </c>
      <c r="AL578" s="1" t="str">
        <f t="shared" ref="AL578:AL641" si="48">IF(AE578="", "no info", IF(OR(ISNUMBER(SEARCH("2wc", AE578)), ISNUMBER(SEARCH("2xwc", AE578))), "2 Toilets", "1 Toilet"))</f>
        <v>1 Toilet</v>
      </c>
      <c r="AM578" s="1" t="str">
        <f t="shared" ref="AM578:AM641" si="49">IF(AE578="", "no info", IF(OR(ISNUMBER(SEARCH("vh", AE578)), ISNUMBER(SEARCH("var", AE578))), "YES", "NO"))</f>
        <v>NO</v>
      </c>
      <c r="AN578" s="1" t="str">
        <f>VLOOKUP(J578, 'Regions and Cities'!A:B, 2, FALSE)</f>
        <v>Pohjois-Karjala</v>
      </c>
    </row>
    <row r="579" spans="1:40" x14ac:dyDescent="0.3">
      <c r="A579" t="s">
        <v>7624</v>
      </c>
      <c r="B579" t="s">
        <v>7625</v>
      </c>
      <c r="C579" t="s">
        <v>427</v>
      </c>
      <c r="D579" t="s">
        <v>7626</v>
      </c>
      <c r="E579" t="s">
        <v>7627</v>
      </c>
      <c r="F579" t="s">
        <v>79</v>
      </c>
      <c r="H579">
        <v>75</v>
      </c>
      <c r="I579" t="s">
        <v>490</v>
      </c>
      <c r="J579" t="s">
        <v>427</v>
      </c>
      <c r="L579" t="s">
        <v>7628</v>
      </c>
      <c r="M579" t="s">
        <v>37</v>
      </c>
      <c r="N579" t="s">
        <v>7629</v>
      </c>
      <c r="O579" t="s">
        <v>7630</v>
      </c>
      <c r="R579" t="s">
        <v>37</v>
      </c>
      <c r="S579" t="s">
        <v>37</v>
      </c>
      <c r="T579">
        <v>64.075249999999997</v>
      </c>
      <c r="U579" t="s">
        <v>7631</v>
      </c>
      <c r="V579" t="s">
        <v>7632</v>
      </c>
      <c r="W579">
        <v>24.55481</v>
      </c>
      <c r="X579">
        <v>89000</v>
      </c>
      <c r="Y579" t="s">
        <v>282</v>
      </c>
      <c r="AA579" t="s">
        <v>45</v>
      </c>
      <c r="AB579" t="s">
        <v>39</v>
      </c>
      <c r="AC579" t="s">
        <v>6510</v>
      </c>
      <c r="AD579" t="s">
        <v>46</v>
      </c>
      <c r="AE579" t="s">
        <v>47</v>
      </c>
      <c r="AF579" t="s">
        <v>7633</v>
      </c>
      <c r="AG579" t="s">
        <v>7634</v>
      </c>
      <c r="AH579">
        <v>75</v>
      </c>
      <c r="AI579" s="2" t="str">
        <f t="shared" si="45"/>
        <v>Independent</v>
      </c>
      <c r="AJ579" s="2" t="str">
        <f t="shared" si="46"/>
        <v>NO</v>
      </c>
      <c r="AK579" s="1" t="str">
        <f t="shared" si="47"/>
        <v>None</v>
      </c>
      <c r="AL579" s="1" t="str">
        <f t="shared" si="48"/>
        <v>1 Toilet</v>
      </c>
      <c r="AM579" s="1" t="str">
        <f t="shared" si="49"/>
        <v>NO</v>
      </c>
      <c r="AN579" s="1" t="str">
        <f>VLOOKUP(J579, 'Regions and Cities'!A:B, 2, FALSE)</f>
        <v>Pohjois-Pohjanmaa</v>
      </c>
    </row>
    <row r="580" spans="1:40" x14ac:dyDescent="0.3">
      <c r="A580" t="s">
        <v>2816</v>
      </c>
      <c r="B580" t="s">
        <v>2817</v>
      </c>
      <c r="C580" t="s">
        <v>2818</v>
      </c>
      <c r="D580" t="s">
        <v>2819</v>
      </c>
      <c r="E580" t="s">
        <v>2820</v>
      </c>
      <c r="F580" t="s">
        <v>2821</v>
      </c>
      <c r="H580">
        <v>72</v>
      </c>
      <c r="J580" t="s">
        <v>352</v>
      </c>
      <c r="K580" t="s">
        <v>2822</v>
      </c>
      <c r="L580" t="s">
        <v>2823</v>
      </c>
      <c r="M580" t="s">
        <v>37</v>
      </c>
      <c r="N580" t="s">
        <v>2824</v>
      </c>
      <c r="O580" t="s">
        <v>2825</v>
      </c>
      <c r="R580" t="s">
        <v>37</v>
      </c>
      <c r="S580" t="s">
        <v>37</v>
      </c>
      <c r="T580">
        <v>61.548957999999999</v>
      </c>
      <c r="U580" t="s">
        <v>2826</v>
      </c>
      <c r="V580" t="s">
        <v>2827</v>
      </c>
      <c r="W580">
        <v>23.595338999999999</v>
      </c>
      <c r="X580">
        <v>55000</v>
      </c>
      <c r="Y580" t="s">
        <v>240</v>
      </c>
      <c r="AA580" t="s">
        <v>63</v>
      </c>
      <c r="AB580" t="s">
        <v>39</v>
      </c>
      <c r="AC580" t="s">
        <v>2828</v>
      </c>
      <c r="AD580" t="s">
        <v>46</v>
      </c>
      <c r="AE580" t="s">
        <v>2829</v>
      </c>
      <c r="AF580" t="s">
        <v>2830</v>
      </c>
      <c r="AG580" t="s">
        <v>2831</v>
      </c>
      <c r="AH580">
        <v>114</v>
      </c>
      <c r="AI580" s="2" t="str">
        <f t="shared" si="45"/>
        <v>Independent</v>
      </c>
      <c r="AJ580" s="2" t="str">
        <f t="shared" si="46"/>
        <v>YES</v>
      </c>
      <c r="AK580" s="1" t="str">
        <f t="shared" si="47"/>
        <v>None</v>
      </c>
      <c r="AL580" s="1" t="str">
        <f t="shared" si="48"/>
        <v>1 Toilet</v>
      </c>
      <c r="AM580" s="1" t="str">
        <f t="shared" si="49"/>
        <v>NO</v>
      </c>
      <c r="AN580" s="1" t="str">
        <f>VLOOKUP(J580, 'Regions and Cities'!A:B, 2, FALSE)</f>
        <v>Pirkanmaa</v>
      </c>
    </row>
    <row r="581" spans="1:40" x14ac:dyDescent="0.3">
      <c r="A581" t="s">
        <v>964</v>
      </c>
      <c r="B581" t="s">
        <v>965</v>
      </c>
      <c r="C581" t="s">
        <v>966</v>
      </c>
      <c r="D581" t="s">
        <v>142</v>
      </c>
      <c r="E581" t="s">
        <v>143</v>
      </c>
      <c r="F581" t="s">
        <v>144</v>
      </c>
      <c r="G581" t="s">
        <v>967</v>
      </c>
      <c r="H581">
        <v>58.5</v>
      </c>
      <c r="I581" t="s">
        <v>252</v>
      </c>
      <c r="J581" t="s">
        <v>352</v>
      </c>
      <c r="K581" t="s">
        <v>968</v>
      </c>
      <c r="L581" t="s">
        <v>969</v>
      </c>
      <c r="M581" t="s">
        <v>37</v>
      </c>
      <c r="N581" t="s">
        <v>970</v>
      </c>
      <c r="O581" t="s">
        <v>971</v>
      </c>
      <c r="P581" t="s">
        <v>972</v>
      </c>
      <c r="Q581" t="s">
        <v>973</v>
      </c>
      <c r="R581" t="s">
        <v>37</v>
      </c>
      <c r="S581" t="s">
        <v>37</v>
      </c>
      <c r="T581">
        <v>61.562980000000003</v>
      </c>
      <c r="U581" t="s">
        <v>974</v>
      </c>
      <c r="V581" t="s">
        <v>975</v>
      </c>
      <c r="W581">
        <v>23.597629999999999</v>
      </c>
      <c r="X581">
        <v>109000</v>
      </c>
      <c r="Y581" t="s">
        <v>976</v>
      </c>
      <c r="AA581" t="s">
        <v>38</v>
      </c>
      <c r="AB581" t="s">
        <v>39</v>
      </c>
      <c r="AC581" t="s">
        <v>480</v>
      </c>
      <c r="AD581" t="s">
        <v>40</v>
      </c>
      <c r="AE581" t="s">
        <v>977</v>
      </c>
      <c r="AF581" t="s">
        <v>978</v>
      </c>
      <c r="AG581" t="s">
        <v>979</v>
      </c>
      <c r="AH581">
        <v>58.5</v>
      </c>
      <c r="AI581" s="2" t="str">
        <f t="shared" si="45"/>
        <v>Independent</v>
      </c>
      <c r="AJ581" s="2" t="str">
        <f t="shared" si="46"/>
        <v>NO</v>
      </c>
      <c r="AK581" s="1" t="str">
        <f t="shared" si="47"/>
        <v>Standard Balcony</v>
      </c>
      <c r="AL581" s="1" t="str">
        <f t="shared" si="48"/>
        <v>1 Toilet</v>
      </c>
      <c r="AM581" s="1" t="str">
        <f t="shared" si="49"/>
        <v>YES</v>
      </c>
      <c r="AN581" s="1" t="str">
        <f>VLOOKUP(J581, 'Regions and Cities'!A:B, 2, FALSE)</f>
        <v>Pirkanmaa</v>
      </c>
    </row>
    <row r="582" spans="1:40" x14ac:dyDescent="0.3">
      <c r="A582" t="s">
        <v>2850</v>
      </c>
      <c r="B582" t="s">
        <v>2851</v>
      </c>
      <c r="C582" t="s">
        <v>2852</v>
      </c>
      <c r="D582" t="s">
        <v>2853</v>
      </c>
      <c r="E582" t="s">
        <v>2854</v>
      </c>
      <c r="H582">
        <v>136</v>
      </c>
      <c r="I582" t="s">
        <v>96</v>
      </c>
      <c r="J582" t="s">
        <v>378</v>
      </c>
      <c r="K582" t="s">
        <v>2855</v>
      </c>
      <c r="L582" t="s">
        <v>2856</v>
      </c>
      <c r="M582" t="s">
        <v>37</v>
      </c>
      <c r="N582" t="s">
        <v>2857</v>
      </c>
      <c r="O582" t="s">
        <v>2858</v>
      </c>
      <c r="R582" t="s">
        <v>37</v>
      </c>
      <c r="S582" t="s">
        <v>37</v>
      </c>
      <c r="T582">
        <v>61.320931999999999</v>
      </c>
      <c r="U582" t="s">
        <v>2859</v>
      </c>
      <c r="V582" t="s">
        <v>2860</v>
      </c>
      <c r="W582">
        <v>27.455829999999999</v>
      </c>
      <c r="X582">
        <v>28000</v>
      </c>
      <c r="Y582" t="s">
        <v>2861</v>
      </c>
      <c r="AA582" t="s">
        <v>63</v>
      </c>
      <c r="AB582" t="s">
        <v>39</v>
      </c>
      <c r="AC582" t="s">
        <v>480</v>
      </c>
      <c r="AD582" t="s">
        <v>40</v>
      </c>
      <c r="AE582" t="s">
        <v>2862</v>
      </c>
      <c r="AF582" t="s">
        <v>2863</v>
      </c>
      <c r="AG582" t="s">
        <v>2864</v>
      </c>
      <c r="AH582"/>
      <c r="AI582" s="2" t="str">
        <f t="shared" si="45"/>
        <v>Independent</v>
      </c>
      <c r="AJ582" s="2" t="str">
        <f t="shared" si="46"/>
        <v>NO</v>
      </c>
      <c r="AK582" s="1" t="str">
        <f t="shared" si="47"/>
        <v>None</v>
      </c>
      <c r="AL582" s="1" t="str">
        <f t="shared" si="48"/>
        <v>1 Toilet</v>
      </c>
      <c r="AM582" s="1" t="str">
        <f t="shared" si="49"/>
        <v>NO</v>
      </c>
      <c r="AN582" s="1" t="str">
        <f>VLOOKUP(J582, 'Regions and Cities'!A:B, 2, FALSE)</f>
        <v>Etelä-Savo</v>
      </c>
    </row>
    <row r="583" spans="1:40" x14ac:dyDescent="0.3">
      <c r="A583" t="s">
        <v>4099</v>
      </c>
      <c r="B583" t="s">
        <v>4100</v>
      </c>
      <c r="C583" t="s">
        <v>4101</v>
      </c>
      <c r="D583" t="s">
        <v>149</v>
      </c>
      <c r="E583" t="s">
        <v>150</v>
      </c>
      <c r="F583" t="s">
        <v>34</v>
      </c>
      <c r="H583">
        <v>80</v>
      </c>
      <c r="I583" t="s">
        <v>3652</v>
      </c>
      <c r="J583" t="s">
        <v>73</v>
      </c>
      <c r="K583" t="s">
        <v>2031</v>
      </c>
      <c r="L583" t="s">
        <v>4102</v>
      </c>
      <c r="M583" t="s">
        <v>37</v>
      </c>
      <c r="N583" t="s">
        <v>4103</v>
      </c>
      <c r="O583" t="s">
        <v>4104</v>
      </c>
      <c r="R583" t="s">
        <v>37</v>
      </c>
      <c r="S583" t="s">
        <v>37</v>
      </c>
      <c r="T583">
        <v>62.231310000000001</v>
      </c>
      <c r="U583" t="s">
        <v>4105</v>
      </c>
      <c r="V583" t="s">
        <v>4106</v>
      </c>
      <c r="W583">
        <v>25.764597999999999</v>
      </c>
      <c r="X583">
        <v>14156.79</v>
      </c>
      <c r="Y583" t="s">
        <v>4107</v>
      </c>
      <c r="AA583" t="s">
        <v>38</v>
      </c>
      <c r="AB583" t="s">
        <v>39</v>
      </c>
      <c r="AC583" t="s">
        <v>480</v>
      </c>
      <c r="AD583" t="s">
        <v>46</v>
      </c>
      <c r="AE583" t="s">
        <v>4108</v>
      </c>
      <c r="AF583" t="s">
        <v>4109</v>
      </c>
      <c r="AG583" t="s">
        <v>4110</v>
      </c>
      <c r="AH583">
        <v>80</v>
      </c>
      <c r="AI583" s="2" t="str">
        <f t="shared" si="45"/>
        <v>Independent</v>
      </c>
      <c r="AJ583" s="2" t="str">
        <f t="shared" si="46"/>
        <v>YES</v>
      </c>
      <c r="AK583" s="1" t="str">
        <f t="shared" si="47"/>
        <v>None</v>
      </c>
      <c r="AL583" s="1" t="str">
        <f t="shared" si="48"/>
        <v>1 Toilet</v>
      </c>
      <c r="AM583" s="1" t="str">
        <f t="shared" si="49"/>
        <v>NO</v>
      </c>
      <c r="AN583" s="1" t="str">
        <f>VLOOKUP(J583, 'Regions and Cities'!A:B, 2, FALSE)</f>
        <v>Keski-Suomi</v>
      </c>
    </row>
    <row r="584" spans="1:40" x14ac:dyDescent="0.3">
      <c r="A584" t="s">
        <v>3423</v>
      </c>
      <c r="B584" t="s">
        <v>3424</v>
      </c>
      <c r="C584" t="s">
        <v>661</v>
      </c>
      <c r="D584" t="s">
        <v>1596</v>
      </c>
      <c r="E584" t="s">
        <v>1597</v>
      </c>
      <c r="F584" t="s">
        <v>1598</v>
      </c>
      <c r="H584">
        <v>56.5</v>
      </c>
      <c r="I584" t="s">
        <v>1310</v>
      </c>
      <c r="J584" t="s">
        <v>265</v>
      </c>
      <c r="K584" t="s">
        <v>662</v>
      </c>
      <c r="L584" t="s">
        <v>3425</v>
      </c>
      <c r="M584" t="s">
        <v>37</v>
      </c>
      <c r="N584" t="s">
        <v>3426</v>
      </c>
      <c r="O584" t="s">
        <v>3427</v>
      </c>
      <c r="R584" t="s">
        <v>111</v>
      </c>
      <c r="S584" t="s">
        <v>37</v>
      </c>
      <c r="T584">
        <v>65.122798000000003</v>
      </c>
      <c r="U584" t="s">
        <v>3428</v>
      </c>
      <c r="V584" t="s">
        <v>3429</v>
      </c>
      <c r="W584">
        <v>25.314357999999999</v>
      </c>
      <c r="X584">
        <v>168000</v>
      </c>
      <c r="Y584" t="s">
        <v>2613</v>
      </c>
      <c r="AA584" t="s">
        <v>45</v>
      </c>
      <c r="AB584" t="s">
        <v>39</v>
      </c>
      <c r="AC584" t="s">
        <v>480</v>
      </c>
      <c r="AD584" t="s">
        <v>40</v>
      </c>
      <c r="AE584" t="s">
        <v>3430</v>
      </c>
      <c r="AF584" t="s">
        <v>3431</v>
      </c>
      <c r="AG584" t="s">
        <v>3432</v>
      </c>
      <c r="AH584">
        <v>64.5</v>
      </c>
      <c r="AI584" s="2" t="str">
        <f t="shared" si="45"/>
        <v>Independent</v>
      </c>
      <c r="AJ584" s="2" t="str">
        <f t="shared" si="46"/>
        <v>NO</v>
      </c>
      <c r="AK584" s="1" t="str">
        <f t="shared" si="47"/>
        <v>Terrace</v>
      </c>
      <c r="AL584" s="1" t="str">
        <f t="shared" si="48"/>
        <v>1 Toilet</v>
      </c>
      <c r="AM584" s="1" t="str">
        <f t="shared" si="49"/>
        <v>YES</v>
      </c>
      <c r="AN584" s="1" t="str">
        <f>VLOOKUP(J584, 'Regions and Cities'!A:B, 2, FALSE)</f>
        <v>Pohjois-Pohjanmaa</v>
      </c>
    </row>
    <row r="585" spans="1:40" x14ac:dyDescent="0.3">
      <c r="A585" t="s">
        <v>3386</v>
      </c>
      <c r="B585" t="s">
        <v>3387</v>
      </c>
      <c r="C585" t="s">
        <v>661</v>
      </c>
      <c r="D585" t="s">
        <v>1596</v>
      </c>
      <c r="E585" t="s">
        <v>1597</v>
      </c>
      <c r="F585" t="s">
        <v>1598</v>
      </c>
      <c r="H585">
        <v>81</v>
      </c>
      <c r="I585" t="s">
        <v>1310</v>
      </c>
      <c r="J585" t="s">
        <v>265</v>
      </c>
      <c r="K585" t="s">
        <v>662</v>
      </c>
      <c r="L585" t="s">
        <v>3388</v>
      </c>
      <c r="M585" t="s">
        <v>37</v>
      </c>
      <c r="N585" t="s">
        <v>3389</v>
      </c>
      <c r="O585" t="s">
        <v>3390</v>
      </c>
      <c r="R585" t="s">
        <v>111</v>
      </c>
      <c r="S585" t="s">
        <v>37</v>
      </c>
      <c r="T585">
        <v>65.122798000000003</v>
      </c>
      <c r="U585" t="s">
        <v>3391</v>
      </c>
      <c r="V585" t="s">
        <v>3392</v>
      </c>
      <c r="W585">
        <v>25.314357999999999</v>
      </c>
      <c r="X585">
        <v>248000</v>
      </c>
      <c r="Y585" t="s">
        <v>3202</v>
      </c>
      <c r="AA585" t="s">
        <v>63</v>
      </c>
      <c r="AB585" t="s">
        <v>39</v>
      </c>
      <c r="AC585" t="s">
        <v>3393</v>
      </c>
      <c r="AD585" t="s">
        <v>46</v>
      </c>
      <c r="AE585" t="s">
        <v>3190</v>
      </c>
      <c r="AF585" t="s">
        <v>3394</v>
      </c>
      <c r="AG585" t="s">
        <v>3395</v>
      </c>
      <c r="AH585">
        <v>90.5</v>
      </c>
      <c r="AI585" s="2" t="str">
        <f t="shared" si="45"/>
        <v>Independent</v>
      </c>
      <c r="AJ585" s="2" t="str">
        <f t="shared" si="46"/>
        <v>NO</v>
      </c>
      <c r="AK585" s="1" t="str">
        <f t="shared" si="47"/>
        <v>Terrace</v>
      </c>
      <c r="AL585" s="1" t="str">
        <f t="shared" si="48"/>
        <v>1 Toilet</v>
      </c>
      <c r="AM585" s="1" t="str">
        <f t="shared" si="49"/>
        <v>YES</v>
      </c>
      <c r="AN585" s="1" t="str">
        <f>VLOOKUP(J585, 'Regions and Cities'!A:B, 2, FALSE)</f>
        <v>Pohjois-Pohjanmaa</v>
      </c>
    </row>
    <row r="586" spans="1:40" x14ac:dyDescent="0.3">
      <c r="A586" t="s">
        <v>6873</v>
      </c>
      <c r="B586" t="s">
        <v>6874</v>
      </c>
      <c r="C586" t="s">
        <v>6875</v>
      </c>
      <c r="D586" t="s">
        <v>274</v>
      </c>
      <c r="E586" t="s">
        <v>275</v>
      </c>
      <c r="F586" t="s">
        <v>79</v>
      </c>
      <c r="G586" t="s">
        <v>6876</v>
      </c>
      <c r="H586">
        <v>74.5</v>
      </c>
      <c r="I586" t="s">
        <v>490</v>
      </c>
      <c r="J586" t="s">
        <v>139</v>
      </c>
      <c r="K586" t="s">
        <v>6877</v>
      </c>
      <c r="L586" t="s">
        <v>6878</v>
      </c>
      <c r="M586" t="s">
        <v>37</v>
      </c>
      <c r="N586" t="s">
        <v>6879</v>
      </c>
      <c r="O586" t="s">
        <v>6880</v>
      </c>
      <c r="P586" t="s">
        <v>6881</v>
      </c>
      <c r="R586" t="s">
        <v>37</v>
      </c>
      <c r="S586" t="s">
        <v>37</v>
      </c>
      <c r="T586">
        <v>61.483837999999999</v>
      </c>
      <c r="U586" t="s">
        <v>6882</v>
      </c>
      <c r="V586" t="s">
        <v>6883</v>
      </c>
      <c r="W586">
        <v>23.833594000000002</v>
      </c>
      <c r="X586">
        <v>279000</v>
      </c>
      <c r="Y586" t="s">
        <v>1455</v>
      </c>
      <c r="AA586" t="s">
        <v>45</v>
      </c>
      <c r="AB586" t="s">
        <v>39</v>
      </c>
      <c r="AC586" t="s">
        <v>6510</v>
      </c>
      <c r="AD586" t="s">
        <v>46</v>
      </c>
      <c r="AE586" t="s">
        <v>6884</v>
      </c>
      <c r="AF586" t="s">
        <v>6885</v>
      </c>
      <c r="AG586" t="s">
        <v>6886</v>
      </c>
      <c r="AH586">
        <v>74.5</v>
      </c>
      <c r="AI586" s="2" t="str">
        <f t="shared" si="45"/>
        <v>Independent</v>
      </c>
      <c r="AJ586" s="2" t="str">
        <f t="shared" si="46"/>
        <v>YES</v>
      </c>
      <c r="AK586" s="1" t="str">
        <f t="shared" si="47"/>
        <v>None</v>
      </c>
      <c r="AL586" s="1" t="str">
        <f t="shared" si="48"/>
        <v>1 Toilet</v>
      </c>
      <c r="AM586" s="1" t="str">
        <f t="shared" si="49"/>
        <v>YES</v>
      </c>
      <c r="AN586" s="1" t="str">
        <f>VLOOKUP(J586, 'Regions and Cities'!A:B, 2, FALSE)</f>
        <v>Pirkanmaa</v>
      </c>
    </row>
    <row r="587" spans="1:40" x14ac:dyDescent="0.3">
      <c r="A587" t="s">
        <v>9759</v>
      </c>
      <c r="B587" t="s">
        <v>9760</v>
      </c>
      <c r="C587" t="s">
        <v>7139</v>
      </c>
      <c r="D587" t="s">
        <v>1717</v>
      </c>
      <c r="E587" t="s">
        <v>1718</v>
      </c>
      <c r="F587" t="s">
        <v>1719</v>
      </c>
      <c r="H587">
        <v>51</v>
      </c>
      <c r="I587" t="s">
        <v>1720</v>
      </c>
      <c r="J587" t="s">
        <v>137</v>
      </c>
      <c r="K587" t="s">
        <v>7143</v>
      </c>
      <c r="L587" t="s">
        <v>9761</v>
      </c>
      <c r="M587" t="s">
        <v>37</v>
      </c>
      <c r="N587" t="s">
        <v>9762</v>
      </c>
      <c r="O587" t="s">
        <v>9763</v>
      </c>
      <c r="R587" t="s">
        <v>37</v>
      </c>
      <c r="S587" t="s">
        <v>37</v>
      </c>
      <c r="T587">
        <v>60.283943999999998</v>
      </c>
      <c r="U587" t="s">
        <v>9764</v>
      </c>
      <c r="V587" t="s">
        <v>9765</v>
      </c>
      <c r="W587">
        <v>25.031956000000001</v>
      </c>
      <c r="X587">
        <v>18360.03</v>
      </c>
      <c r="Y587" t="s">
        <v>9766</v>
      </c>
      <c r="AA587" t="s">
        <v>54</v>
      </c>
      <c r="AB587" t="s">
        <v>39</v>
      </c>
      <c r="AC587" t="s">
        <v>6510</v>
      </c>
      <c r="AD587" t="s">
        <v>40</v>
      </c>
      <c r="AE587" t="s">
        <v>1741</v>
      </c>
      <c r="AF587" t="s">
        <v>9767</v>
      </c>
      <c r="AG587" t="s">
        <v>9768</v>
      </c>
      <c r="AH587"/>
      <c r="AI587" s="2" t="str">
        <f t="shared" si="45"/>
        <v>Kitchenette</v>
      </c>
      <c r="AJ587" s="2" t="str">
        <f t="shared" si="46"/>
        <v>YES</v>
      </c>
      <c r="AK587" s="1" t="str">
        <f t="shared" si="47"/>
        <v>None</v>
      </c>
      <c r="AL587" s="1" t="str">
        <f t="shared" si="48"/>
        <v>1 Toilet</v>
      </c>
      <c r="AM587" s="1" t="str">
        <f t="shared" si="49"/>
        <v>NO</v>
      </c>
      <c r="AN587" s="1" t="str">
        <f>VLOOKUP(J587, 'Regions and Cities'!A:B, 2, FALSE)</f>
        <v>Uusimaa</v>
      </c>
    </row>
    <row r="588" spans="1:40" x14ac:dyDescent="0.3">
      <c r="A588" t="s">
        <v>6749</v>
      </c>
      <c r="B588" t="s">
        <v>6750</v>
      </c>
      <c r="C588" t="s">
        <v>6751</v>
      </c>
      <c r="D588" t="s">
        <v>1095</v>
      </c>
      <c r="E588" t="s">
        <v>1096</v>
      </c>
      <c r="F588" t="s">
        <v>105</v>
      </c>
      <c r="H588">
        <v>43</v>
      </c>
      <c r="I588" t="s">
        <v>244</v>
      </c>
      <c r="J588" t="s">
        <v>137</v>
      </c>
      <c r="K588" t="s">
        <v>6752</v>
      </c>
      <c r="L588" t="s">
        <v>6753</v>
      </c>
      <c r="M588" t="s">
        <v>37</v>
      </c>
      <c r="N588" t="s">
        <v>6754</v>
      </c>
      <c r="O588" t="s">
        <v>6755</v>
      </c>
      <c r="R588" t="s">
        <v>37</v>
      </c>
      <c r="S588" t="s">
        <v>37</v>
      </c>
      <c r="T588">
        <v>60.187089999999998</v>
      </c>
      <c r="U588" t="s">
        <v>6756</v>
      </c>
      <c r="V588" t="s">
        <v>6757</v>
      </c>
      <c r="W588">
        <v>24.966795000000001</v>
      </c>
      <c r="X588">
        <v>235000</v>
      </c>
      <c r="Y588" t="s">
        <v>234</v>
      </c>
      <c r="AA588" t="s">
        <v>38</v>
      </c>
      <c r="AB588" t="s">
        <v>39</v>
      </c>
      <c r="AC588" t="s">
        <v>6510</v>
      </c>
      <c r="AD588" t="s">
        <v>40</v>
      </c>
      <c r="AE588" t="s">
        <v>6046</v>
      </c>
      <c r="AF588" t="s">
        <v>6758</v>
      </c>
      <c r="AG588" t="s">
        <v>6759</v>
      </c>
      <c r="AH588">
        <v>43</v>
      </c>
      <c r="AI588" s="2" t="str">
        <f t="shared" si="45"/>
        <v>Independent</v>
      </c>
      <c r="AJ588" s="2" t="str">
        <f t="shared" si="46"/>
        <v>NO</v>
      </c>
      <c r="AK588" s="1" t="str">
        <f t="shared" si="47"/>
        <v>None</v>
      </c>
      <c r="AL588" s="1" t="str">
        <f t="shared" si="48"/>
        <v>1 Toilet</v>
      </c>
      <c r="AM588" s="1" t="str">
        <f t="shared" si="49"/>
        <v>NO</v>
      </c>
      <c r="AN588" s="1" t="str">
        <f>VLOOKUP(J588, 'Regions and Cities'!A:B, 2, FALSE)</f>
        <v>Uusimaa</v>
      </c>
    </row>
    <row r="589" spans="1:40" x14ac:dyDescent="0.3">
      <c r="A589" t="s">
        <v>7613</v>
      </c>
      <c r="B589" t="s">
        <v>7614</v>
      </c>
      <c r="C589" t="s">
        <v>7588</v>
      </c>
      <c r="D589" t="s">
        <v>2226</v>
      </c>
      <c r="E589" t="s">
        <v>2227</v>
      </c>
      <c r="F589" t="s">
        <v>79</v>
      </c>
      <c r="G589" t="s">
        <v>2228</v>
      </c>
      <c r="H589">
        <v>51</v>
      </c>
      <c r="I589" t="s">
        <v>174</v>
      </c>
      <c r="J589" t="s">
        <v>265</v>
      </c>
      <c r="K589" t="s">
        <v>7589</v>
      </c>
      <c r="L589" t="s">
        <v>7615</v>
      </c>
      <c r="M589" t="s">
        <v>37</v>
      </c>
      <c r="N589" t="s">
        <v>7616</v>
      </c>
      <c r="O589" t="s">
        <v>7617</v>
      </c>
      <c r="P589" t="s">
        <v>7618</v>
      </c>
      <c r="R589" t="s">
        <v>37</v>
      </c>
      <c r="S589" t="s">
        <v>37</v>
      </c>
      <c r="T589">
        <v>65.008426999999998</v>
      </c>
      <c r="U589" t="s">
        <v>7619</v>
      </c>
      <c r="V589" t="s">
        <v>7620</v>
      </c>
      <c r="W589">
        <v>25.485676999999999</v>
      </c>
      <c r="X589">
        <v>92000</v>
      </c>
      <c r="Y589" t="s">
        <v>4666</v>
      </c>
      <c r="AA589" t="s">
        <v>38</v>
      </c>
      <c r="AB589" t="s">
        <v>39</v>
      </c>
      <c r="AC589" t="s">
        <v>6510</v>
      </c>
      <c r="AD589" t="s">
        <v>40</v>
      </c>
      <c r="AE589" t="s">
        <v>7621</v>
      </c>
      <c r="AF589" t="s">
        <v>7622</v>
      </c>
      <c r="AG589" t="s">
        <v>7623</v>
      </c>
      <c r="AH589">
        <v>51</v>
      </c>
      <c r="AI589" s="2" t="str">
        <f t="shared" si="45"/>
        <v>Independent</v>
      </c>
      <c r="AJ589" s="2" t="str">
        <f t="shared" si="46"/>
        <v>NO</v>
      </c>
      <c r="AK589" s="1" t="str">
        <f t="shared" si="47"/>
        <v>None</v>
      </c>
      <c r="AL589" s="1" t="str">
        <f t="shared" si="48"/>
        <v>1 Toilet</v>
      </c>
      <c r="AM589" s="1" t="str">
        <f t="shared" si="49"/>
        <v>NO</v>
      </c>
      <c r="AN589" s="1" t="str">
        <f>VLOOKUP(J589, 'Regions and Cities'!A:B, 2, FALSE)</f>
        <v>Pohjois-Pohjanmaa</v>
      </c>
    </row>
    <row r="590" spans="1:40" x14ac:dyDescent="0.3">
      <c r="A590" t="s">
        <v>3230</v>
      </c>
      <c r="B590" t="s">
        <v>3231</v>
      </c>
      <c r="C590" t="s">
        <v>3232</v>
      </c>
      <c r="D590" t="s">
        <v>3233</v>
      </c>
      <c r="E590" t="s">
        <v>3234</v>
      </c>
      <c r="F590" t="s">
        <v>3235</v>
      </c>
      <c r="H590">
        <v>120.5</v>
      </c>
      <c r="I590" t="s">
        <v>3236</v>
      </c>
      <c r="J590" t="s">
        <v>126</v>
      </c>
      <c r="K590" t="s">
        <v>3237</v>
      </c>
      <c r="L590" t="s">
        <v>3238</v>
      </c>
      <c r="M590" t="s">
        <v>37</v>
      </c>
      <c r="N590" t="s">
        <v>3239</v>
      </c>
      <c r="O590" t="s">
        <v>3240</v>
      </c>
      <c r="R590" t="s">
        <v>37</v>
      </c>
      <c r="S590" t="s">
        <v>37</v>
      </c>
      <c r="T590">
        <v>60.175871000000001</v>
      </c>
      <c r="U590" t="s">
        <v>3241</v>
      </c>
      <c r="V590" t="s">
        <v>3242</v>
      </c>
      <c r="W590">
        <v>24.748999999999999</v>
      </c>
      <c r="X590">
        <v>379000</v>
      </c>
      <c r="Y590" t="s">
        <v>3243</v>
      </c>
      <c r="AA590" t="s">
        <v>54</v>
      </c>
      <c r="AB590" t="s">
        <v>39</v>
      </c>
      <c r="AC590" t="s">
        <v>480</v>
      </c>
      <c r="AD590" t="s">
        <v>55</v>
      </c>
      <c r="AE590" t="s">
        <v>3244</v>
      </c>
      <c r="AF590" t="s">
        <v>3245</v>
      </c>
      <c r="AG590" t="s">
        <v>3246</v>
      </c>
      <c r="AH590">
        <v>120.5</v>
      </c>
      <c r="AI590" s="2" t="str">
        <f t="shared" si="45"/>
        <v>Independent</v>
      </c>
      <c r="AJ590" s="2" t="str">
        <f t="shared" si="46"/>
        <v>NO</v>
      </c>
      <c r="AK590" s="1" t="str">
        <f t="shared" si="47"/>
        <v>None</v>
      </c>
      <c r="AL590" s="1" t="str">
        <f t="shared" si="48"/>
        <v>1 Toilet</v>
      </c>
      <c r="AM590" s="1" t="str">
        <f t="shared" si="49"/>
        <v>NO</v>
      </c>
      <c r="AN590" s="1" t="str">
        <f>VLOOKUP(J590, 'Regions and Cities'!A:B, 2, FALSE)</f>
        <v>Uusimaa</v>
      </c>
    </row>
    <row r="591" spans="1:40" x14ac:dyDescent="0.3">
      <c r="A591" t="s">
        <v>6961</v>
      </c>
      <c r="B591" t="s">
        <v>6962</v>
      </c>
      <c r="C591" t="s">
        <v>6963</v>
      </c>
      <c r="D591" t="s">
        <v>2876</v>
      </c>
      <c r="E591" t="s">
        <v>2877</v>
      </c>
      <c r="F591" t="s">
        <v>2878</v>
      </c>
      <c r="H591">
        <v>100</v>
      </c>
      <c r="I591" t="s">
        <v>5144</v>
      </c>
      <c r="J591" t="s">
        <v>385</v>
      </c>
      <c r="K591" t="s">
        <v>6964</v>
      </c>
      <c r="L591" t="s">
        <v>6965</v>
      </c>
      <c r="M591" t="s">
        <v>37</v>
      </c>
      <c r="N591" t="s">
        <v>6966</v>
      </c>
      <c r="O591" t="s">
        <v>6967</v>
      </c>
      <c r="R591" t="s">
        <v>37</v>
      </c>
      <c r="S591" t="s">
        <v>37</v>
      </c>
      <c r="T591">
        <v>60.369230999999999</v>
      </c>
      <c r="U591" t="s">
        <v>6968</v>
      </c>
      <c r="V591" t="s">
        <v>6969</v>
      </c>
      <c r="W591">
        <v>24.41169</v>
      </c>
      <c r="X591">
        <v>109000</v>
      </c>
      <c r="Y591" t="s">
        <v>976</v>
      </c>
      <c r="AA591" t="s">
        <v>63</v>
      </c>
      <c r="AB591" t="s">
        <v>39</v>
      </c>
      <c r="AC591" t="s">
        <v>6510</v>
      </c>
      <c r="AD591" t="s">
        <v>46</v>
      </c>
      <c r="AE591" t="s">
        <v>6970</v>
      </c>
      <c r="AF591" t="s">
        <v>6971</v>
      </c>
      <c r="AG591" t="s">
        <v>6972</v>
      </c>
      <c r="AH591">
        <v>148</v>
      </c>
      <c r="AI591" s="2" t="str">
        <f t="shared" si="45"/>
        <v>Independent</v>
      </c>
      <c r="AJ591" s="2" t="str">
        <f t="shared" si="46"/>
        <v>NO</v>
      </c>
      <c r="AK591" s="1" t="str">
        <f t="shared" si="47"/>
        <v>None</v>
      </c>
      <c r="AL591" s="1" t="str">
        <f t="shared" si="48"/>
        <v>1 Toilet</v>
      </c>
      <c r="AM591" s="1" t="str">
        <f t="shared" si="49"/>
        <v>YES</v>
      </c>
      <c r="AN591" s="1" t="str">
        <f>VLOOKUP(J591, 'Regions and Cities'!A:B, 2, FALSE)</f>
        <v>Uusimaa</v>
      </c>
    </row>
    <row r="592" spans="1:40" x14ac:dyDescent="0.3">
      <c r="A592" t="s">
        <v>1777</v>
      </c>
      <c r="B592" t="s">
        <v>1778</v>
      </c>
      <c r="C592" t="s">
        <v>1779</v>
      </c>
      <c r="D592" t="s">
        <v>1717</v>
      </c>
      <c r="E592" t="s">
        <v>1718</v>
      </c>
      <c r="F592" t="s">
        <v>1719</v>
      </c>
      <c r="H592">
        <v>100.5</v>
      </c>
      <c r="I592" t="s">
        <v>1780</v>
      </c>
      <c r="J592" t="s">
        <v>126</v>
      </c>
      <c r="K592" t="s">
        <v>1781</v>
      </c>
      <c r="L592" t="s">
        <v>1782</v>
      </c>
      <c r="M592" t="s">
        <v>37</v>
      </c>
      <c r="N592" t="s">
        <v>1783</v>
      </c>
      <c r="O592" t="s">
        <v>1784</v>
      </c>
      <c r="R592" t="s">
        <v>37</v>
      </c>
      <c r="S592" t="s">
        <v>37</v>
      </c>
      <c r="T592">
        <v>60.197032999999998</v>
      </c>
      <c r="U592" t="s">
        <v>1785</v>
      </c>
      <c r="V592" t="s">
        <v>1786</v>
      </c>
      <c r="W592">
        <v>24.763057</v>
      </c>
      <c r="X592">
        <v>30517.88</v>
      </c>
      <c r="Y592" t="s">
        <v>1787</v>
      </c>
      <c r="AA592" t="s">
        <v>54</v>
      </c>
      <c r="AB592" t="s">
        <v>39</v>
      </c>
      <c r="AC592" t="s">
        <v>480</v>
      </c>
      <c r="AD592" t="s">
        <v>55</v>
      </c>
      <c r="AE592" t="s">
        <v>1788</v>
      </c>
      <c r="AF592" t="s">
        <v>1789</v>
      </c>
      <c r="AG592" t="s">
        <v>1790</v>
      </c>
      <c r="AH592"/>
      <c r="AI592" s="2" t="str">
        <f t="shared" si="45"/>
        <v>Independent</v>
      </c>
      <c r="AJ592" s="2" t="str">
        <f t="shared" si="46"/>
        <v>YES</v>
      </c>
      <c r="AK592" s="1" t="str">
        <f t="shared" si="47"/>
        <v>None</v>
      </c>
      <c r="AL592" s="1" t="str">
        <f t="shared" si="48"/>
        <v>1 Toilet</v>
      </c>
      <c r="AM592" s="1" t="str">
        <f t="shared" si="49"/>
        <v>NO</v>
      </c>
      <c r="AN592" s="1" t="str">
        <f>VLOOKUP(J592, 'Regions and Cities'!A:B, 2, FALSE)</f>
        <v>Uusimaa</v>
      </c>
    </row>
    <row r="593" spans="1:40" x14ac:dyDescent="0.3">
      <c r="A593" t="s">
        <v>1777</v>
      </c>
      <c r="B593" t="s">
        <v>1778</v>
      </c>
      <c r="C593" t="s">
        <v>1779</v>
      </c>
      <c r="D593" t="s">
        <v>1717</v>
      </c>
      <c r="E593" t="s">
        <v>1718</v>
      </c>
      <c r="F593" t="s">
        <v>1719</v>
      </c>
      <c r="H593">
        <v>100.5</v>
      </c>
      <c r="I593" t="s">
        <v>1780</v>
      </c>
      <c r="J593" t="s">
        <v>126</v>
      </c>
      <c r="K593" t="s">
        <v>1781</v>
      </c>
      <c r="L593" t="s">
        <v>1782</v>
      </c>
      <c r="M593" t="s">
        <v>37</v>
      </c>
      <c r="N593" t="s">
        <v>1783</v>
      </c>
      <c r="O593" t="s">
        <v>1784</v>
      </c>
      <c r="R593" t="s">
        <v>37</v>
      </c>
      <c r="S593" t="s">
        <v>37</v>
      </c>
      <c r="T593">
        <v>60.197032999999998</v>
      </c>
      <c r="U593" t="s">
        <v>1785</v>
      </c>
      <c r="V593" t="s">
        <v>1786</v>
      </c>
      <c r="W593">
        <v>24.763057</v>
      </c>
      <c r="X593">
        <v>30517.88</v>
      </c>
      <c r="Y593" t="s">
        <v>1787</v>
      </c>
      <c r="AA593" t="s">
        <v>54</v>
      </c>
      <c r="AB593" t="s">
        <v>39</v>
      </c>
      <c r="AC593" t="s">
        <v>480</v>
      </c>
      <c r="AD593" t="s">
        <v>55</v>
      </c>
      <c r="AE593" t="s">
        <v>1788</v>
      </c>
      <c r="AF593" t="s">
        <v>1791</v>
      </c>
      <c r="AG593" t="s">
        <v>1790</v>
      </c>
      <c r="AH593"/>
      <c r="AI593" s="2" t="str">
        <f t="shared" si="45"/>
        <v>Independent</v>
      </c>
      <c r="AJ593" s="2" t="str">
        <f t="shared" si="46"/>
        <v>YES</v>
      </c>
      <c r="AK593" s="1" t="str">
        <f t="shared" si="47"/>
        <v>None</v>
      </c>
      <c r="AL593" s="1" t="str">
        <f t="shared" si="48"/>
        <v>1 Toilet</v>
      </c>
      <c r="AM593" s="1" t="str">
        <f t="shared" si="49"/>
        <v>NO</v>
      </c>
      <c r="AN593" s="1" t="str">
        <f>VLOOKUP(J593, 'Regions and Cities'!A:B, 2, FALSE)</f>
        <v>Uusimaa</v>
      </c>
    </row>
    <row r="594" spans="1:40" x14ac:dyDescent="0.3">
      <c r="A594" t="s">
        <v>3206</v>
      </c>
      <c r="B594" t="s">
        <v>3207</v>
      </c>
      <c r="C594" t="s">
        <v>1811</v>
      </c>
      <c r="D594" t="s">
        <v>938</v>
      </c>
      <c r="E594" t="s">
        <v>939</v>
      </c>
      <c r="F594" t="s">
        <v>187</v>
      </c>
      <c r="H594">
        <v>59.5</v>
      </c>
      <c r="I594" t="s">
        <v>125</v>
      </c>
      <c r="J594" t="s">
        <v>130</v>
      </c>
      <c r="K594" t="s">
        <v>1815</v>
      </c>
      <c r="L594" t="s">
        <v>3208</v>
      </c>
      <c r="M594" t="s">
        <v>37</v>
      </c>
      <c r="N594" t="s">
        <v>3209</v>
      </c>
      <c r="O594" t="s">
        <v>3210</v>
      </c>
      <c r="R594" t="s">
        <v>37</v>
      </c>
      <c r="S594" t="s">
        <v>37</v>
      </c>
      <c r="T594">
        <v>62.906359999999999</v>
      </c>
      <c r="U594" t="s">
        <v>3211</v>
      </c>
      <c r="V594" t="s">
        <v>3212</v>
      </c>
      <c r="W594">
        <v>27.635860000000001</v>
      </c>
      <c r="X594">
        <v>219000</v>
      </c>
      <c r="Y594" t="s">
        <v>115</v>
      </c>
      <c r="AA594" t="s">
        <v>38</v>
      </c>
      <c r="AB594" t="s">
        <v>39</v>
      </c>
      <c r="AC594" t="s">
        <v>480</v>
      </c>
      <c r="AD594" t="s">
        <v>46</v>
      </c>
      <c r="AE594" t="s">
        <v>3213</v>
      </c>
      <c r="AF594" t="s">
        <v>3214</v>
      </c>
      <c r="AG594" t="s">
        <v>3215</v>
      </c>
      <c r="AH594">
        <v>59.5</v>
      </c>
      <c r="AI594" s="2" t="str">
        <f t="shared" si="45"/>
        <v>Open</v>
      </c>
      <c r="AJ594" s="2" t="str">
        <f t="shared" si="46"/>
        <v>YES</v>
      </c>
      <c r="AK594" s="1" t="str">
        <f t="shared" si="47"/>
        <v>Standard Balcony</v>
      </c>
      <c r="AL594" s="1" t="str">
        <f t="shared" si="48"/>
        <v>1 Toilet</v>
      </c>
      <c r="AM594" s="1" t="str">
        <f t="shared" si="49"/>
        <v>NO</v>
      </c>
      <c r="AN594" s="1" t="str">
        <f>VLOOKUP(J594, 'Regions and Cities'!A:B, 2, FALSE)</f>
        <v>Pohjois-Savo</v>
      </c>
    </row>
    <row r="595" spans="1:40" x14ac:dyDescent="0.3">
      <c r="A595" t="s">
        <v>2889</v>
      </c>
      <c r="B595" t="s">
        <v>2890</v>
      </c>
      <c r="C595" t="s">
        <v>2891</v>
      </c>
      <c r="D595" t="s">
        <v>2892</v>
      </c>
      <c r="E595" t="s">
        <v>2893</v>
      </c>
      <c r="F595" t="s">
        <v>2894</v>
      </c>
      <c r="H595">
        <v>143.5</v>
      </c>
      <c r="I595" t="s">
        <v>227</v>
      </c>
      <c r="J595" t="s">
        <v>386</v>
      </c>
      <c r="K595" t="s">
        <v>2895</v>
      </c>
      <c r="L595" t="s">
        <v>2896</v>
      </c>
      <c r="M595" t="s">
        <v>37</v>
      </c>
      <c r="N595" t="s">
        <v>2897</v>
      </c>
      <c r="O595" t="s">
        <v>2898</v>
      </c>
      <c r="R595" t="s">
        <v>37</v>
      </c>
      <c r="S595" t="s">
        <v>37</v>
      </c>
      <c r="T595">
        <v>66.147396000000001</v>
      </c>
      <c r="U595" t="s">
        <v>2899</v>
      </c>
      <c r="V595" t="s">
        <v>2900</v>
      </c>
      <c r="W595">
        <v>29.242777</v>
      </c>
      <c r="X595">
        <v>220000</v>
      </c>
      <c r="Y595" t="s">
        <v>155</v>
      </c>
      <c r="AA595" t="s">
        <v>63</v>
      </c>
      <c r="AB595" t="s">
        <v>39</v>
      </c>
      <c r="AC595" t="s">
        <v>480</v>
      </c>
      <c r="AD595" t="s">
        <v>64</v>
      </c>
      <c r="AE595" t="s">
        <v>2901</v>
      </c>
      <c r="AF595" t="s">
        <v>2902</v>
      </c>
      <c r="AG595" t="s">
        <v>2903</v>
      </c>
      <c r="AH595">
        <v>143.5</v>
      </c>
      <c r="AI595" s="2" t="str">
        <f t="shared" si="45"/>
        <v>Independent</v>
      </c>
      <c r="AJ595" s="2" t="str">
        <f t="shared" si="46"/>
        <v>NO</v>
      </c>
      <c r="AK595" s="1" t="str">
        <f t="shared" si="47"/>
        <v>None</v>
      </c>
      <c r="AL595" s="1" t="str">
        <f t="shared" si="48"/>
        <v>1 Toilet</v>
      </c>
      <c r="AM595" s="1" t="str">
        <f t="shared" si="49"/>
        <v>NO</v>
      </c>
      <c r="AN595" s="1" t="str">
        <f>VLOOKUP(J595, 'Regions and Cities'!A:B, 2, FALSE)</f>
        <v>Pohjois-Pohjanmaa</v>
      </c>
    </row>
    <row r="596" spans="1:40" x14ac:dyDescent="0.3">
      <c r="A596" t="s">
        <v>9130</v>
      </c>
      <c r="B596" t="s">
        <v>9131</v>
      </c>
      <c r="C596" t="s">
        <v>9132</v>
      </c>
      <c r="D596" t="s">
        <v>9133</v>
      </c>
      <c r="E596" t="s">
        <v>9134</v>
      </c>
      <c r="F596" t="s">
        <v>70</v>
      </c>
      <c r="G596" t="s">
        <v>9135</v>
      </c>
      <c r="H596">
        <v>146</v>
      </c>
      <c r="I596" t="s">
        <v>3712</v>
      </c>
      <c r="J596" t="s">
        <v>139</v>
      </c>
      <c r="K596" t="s">
        <v>9136</v>
      </c>
      <c r="L596" t="s">
        <v>9137</v>
      </c>
      <c r="M596" t="s">
        <v>37</v>
      </c>
      <c r="N596" t="s">
        <v>9138</v>
      </c>
      <c r="O596" t="s">
        <v>9139</v>
      </c>
      <c r="P596" t="s">
        <v>9140</v>
      </c>
      <c r="R596" t="s">
        <v>37</v>
      </c>
      <c r="S596" t="s">
        <v>37</v>
      </c>
      <c r="T596">
        <v>61.436253999999998</v>
      </c>
      <c r="U596" t="s">
        <v>9141</v>
      </c>
      <c r="V596" t="s">
        <v>9142</v>
      </c>
      <c r="W596">
        <v>23.802011</v>
      </c>
      <c r="X596">
        <v>590000</v>
      </c>
      <c r="Y596" t="s">
        <v>9143</v>
      </c>
      <c r="AA596" t="s">
        <v>63</v>
      </c>
      <c r="AB596" t="s">
        <v>39</v>
      </c>
      <c r="AC596" t="s">
        <v>132</v>
      </c>
      <c r="AD596" t="s">
        <v>55</v>
      </c>
      <c r="AE596" t="s">
        <v>9144</v>
      </c>
      <c r="AF596" t="s">
        <v>9145</v>
      </c>
      <c r="AG596" t="s">
        <v>9146</v>
      </c>
      <c r="AH596">
        <v>165</v>
      </c>
      <c r="AI596" s="2" t="str">
        <f t="shared" si="45"/>
        <v>Kitchenette</v>
      </c>
      <c r="AJ596" s="2" t="str">
        <f t="shared" si="46"/>
        <v>YES</v>
      </c>
      <c r="AK596" s="1" t="str">
        <f t="shared" si="47"/>
        <v>None</v>
      </c>
      <c r="AL596" s="1" t="str">
        <f t="shared" si="48"/>
        <v>1 Toilet</v>
      </c>
      <c r="AM596" s="1" t="str">
        <f t="shared" si="49"/>
        <v>YES</v>
      </c>
      <c r="AN596" s="1" t="str">
        <f>VLOOKUP(J596, 'Regions and Cities'!A:B, 2, FALSE)</f>
        <v>Pirkanmaa</v>
      </c>
    </row>
    <row r="597" spans="1:40" x14ac:dyDescent="0.3">
      <c r="A597" t="s">
        <v>7719</v>
      </c>
      <c r="B597" t="s">
        <v>7720</v>
      </c>
      <c r="C597" t="s">
        <v>7721</v>
      </c>
      <c r="D597" t="s">
        <v>7722</v>
      </c>
      <c r="E597" t="s">
        <v>7723</v>
      </c>
      <c r="F597" t="s">
        <v>7724</v>
      </c>
      <c r="H597">
        <v>170</v>
      </c>
      <c r="I597" t="s">
        <v>3652</v>
      </c>
      <c r="J597" t="s">
        <v>126</v>
      </c>
      <c r="K597" t="s">
        <v>7725</v>
      </c>
      <c r="L597" t="s">
        <v>7726</v>
      </c>
      <c r="M597" t="s">
        <v>37</v>
      </c>
      <c r="N597" t="s">
        <v>7727</v>
      </c>
      <c r="O597" t="s">
        <v>7728</v>
      </c>
      <c r="R597" t="s">
        <v>37</v>
      </c>
      <c r="S597" t="s">
        <v>37</v>
      </c>
      <c r="T597">
        <v>60.301749999999998</v>
      </c>
      <c r="U597" t="s">
        <v>7729</v>
      </c>
      <c r="V597" t="s">
        <v>7730</v>
      </c>
      <c r="W597">
        <v>24.74072</v>
      </c>
      <c r="X597">
        <v>495000</v>
      </c>
      <c r="Y597" t="s">
        <v>7731</v>
      </c>
      <c r="AA597" t="s">
        <v>63</v>
      </c>
      <c r="AB597" t="s">
        <v>39</v>
      </c>
      <c r="AC597" t="s">
        <v>6510</v>
      </c>
      <c r="AD597" t="s">
        <v>55</v>
      </c>
      <c r="AE597" t="s">
        <v>7732</v>
      </c>
      <c r="AF597" t="s">
        <v>7733</v>
      </c>
      <c r="AG597" t="s">
        <v>7734</v>
      </c>
      <c r="AH597">
        <v>266</v>
      </c>
      <c r="AI597" s="2" t="str">
        <f t="shared" si="45"/>
        <v>Independent</v>
      </c>
      <c r="AJ597" s="2" t="str">
        <f t="shared" si="46"/>
        <v>NO</v>
      </c>
      <c r="AK597" s="1" t="str">
        <f t="shared" si="47"/>
        <v>None</v>
      </c>
      <c r="AL597" s="1" t="str">
        <f t="shared" si="48"/>
        <v>1 Toilet</v>
      </c>
      <c r="AM597" s="1" t="str">
        <f t="shared" si="49"/>
        <v>YES</v>
      </c>
      <c r="AN597" s="1" t="str">
        <f>VLOOKUP(J597, 'Regions and Cities'!A:B, 2, FALSE)</f>
        <v>Uusimaa</v>
      </c>
    </row>
    <row r="598" spans="1:40" x14ac:dyDescent="0.3">
      <c r="A598" t="s">
        <v>5580</v>
      </c>
      <c r="B598" t="s">
        <v>5581</v>
      </c>
      <c r="C598" t="s">
        <v>5460</v>
      </c>
      <c r="D598" t="s">
        <v>48</v>
      </c>
      <c r="E598" t="s">
        <v>49</v>
      </c>
      <c r="F598" t="s">
        <v>50</v>
      </c>
      <c r="G598" t="s">
        <v>5582</v>
      </c>
      <c r="H598">
        <v>78.5</v>
      </c>
      <c r="I598" t="s">
        <v>861</v>
      </c>
      <c r="J598" t="s">
        <v>101</v>
      </c>
      <c r="K598" t="s">
        <v>5464</v>
      </c>
      <c r="L598" t="s">
        <v>5583</v>
      </c>
      <c r="M598" t="s">
        <v>37</v>
      </c>
      <c r="N598" t="s">
        <v>5584</v>
      </c>
      <c r="O598" t="s">
        <v>5585</v>
      </c>
      <c r="P598" t="s">
        <v>5586</v>
      </c>
      <c r="Q598" t="s">
        <v>5587</v>
      </c>
      <c r="R598" t="s">
        <v>37</v>
      </c>
      <c r="S598" t="s">
        <v>37</v>
      </c>
      <c r="T598">
        <v>60.952300000000001</v>
      </c>
      <c r="U598" t="s">
        <v>5588</v>
      </c>
      <c r="V598" t="s">
        <v>5589</v>
      </c>
      <c r="W598">
        <v>25.83914</v>
      </c>
      <c r="X598">
        <v>147000</v>
      </c>
      <c r="Y598" t="s">
        <v>3761</v>
      </c>
      <c r="AA598" t="s">
        <v>45</v>
      </c>
      <c r="AB598" t="s">
        <v>39</v>
      </c>
      <c r="AC598" t="s">
        <v>480</v>
      </c>
      <c r="AD598" t="s">
        <v>46</v>
      </c>
      <c r="AE598" t="s">
        <v>5590</v>
      </c>
      <c r="AF598" t="s">
        <v>5591</v>
      </c>
      <c r="AG598" t="s">
        <v>5592</v>
      </c>
      <c r="AH598">
        <v>78.5</v>
      </c>
      <c r="AI598" s="2" t="str">
        <f t="shared" si="45"/>
        <v>Independent</v>
      </c>
      <c r="AJ598" s="2" t="str">
        <f t="shared" si="46"/>
        <v>NO</v>
      </c>
      <c r="AK598" s="1" t="str">
        <f t="shared" si="47"/>
        <v>Terrace</v>
      </c>
      <c r="AL598" s="1" t="str">
        <f t="shared" si="48"/>
        <v>1 Toilet</v>
      </c>
      <c r="AM598" s="1" t="str">
        <f t="shared" si="49"/>
        <v>YES</v>
      </c>
      <c r="AN598" s="1" t="str">
        <f>VLOOKUP(J598, 'Regions and Cities'!A:B, 2, FALSE)</f>
        <v>Päijät-Häme</v>
      </c>
    </row>
    <row r="599" spans="1:40" x14ac:dyDescent="0.3">
      <c r="A599" t="s">
        <v>4820</v>
      </c>
      <c r="B599" t="s">
        <v>4821</v>
      </c>
      <c r="C599" t="s">
        <v>4822</v>
      </c>
      <c r="D599" t="s">
        <v>4808</v>
      </c>
      <c r="E599" t="s">
        <v>4809</v>
      </c>
      <c r="F599" t="s">
        <v>4810</v>
      </c>
      <c r="H599">
        <v>116</v>
      </c>
      <c r="I599" t="s">
        <v>138</v>
      </c>
      <c r="J599" t="s">
        <v>116</v>
      </c>
      <c r="K599" t="s">
        <v>4823</v>
      </c>
      <c r="L599" t="s">
        <v>4824</v>
      </c>
      <c r="M599" t="s">
        <v>37</v>
      </c>
      <c r="N599" t="s">
        <v>4825</v>
      </c>
      <c r="O599" t="s">
        <v>4826</v>
      </c>
      <c r="R599" t="s">
        <v>111</v>
      </c>
      <c r="S599" t="s">
        <v>37</v>
      </c>
      <c r="T599">
        <v>60.266348000000001</v>
      </c>
      <c r="U599" t="s">
        <v>4827</v>
      </c>
      <c r="V599" t="s">
        <v>4828</v>
      </c>
      <c r="W599">
        <v>24.82647</v>
      </c>
      <c r="X599">
        <v>425000</v>
      </c>
      <c r="Y599" t="s">
        <v>153</v>
      </c>
      <c r="AA599" t="s">
        <v>63</v>
      </c>
      <c r="AB599" t="s">
        <v>39</v>
      </c>
      <c r="AC599" t="s">
        <v>4829</v>
      </c>
      <c r="AD599" t="s">
        <v>55</v>
      </c>
      <c r="AE599" t="s">
        <v>4830</v>
      </c>
      <c r="AF599" t="s">
        <v>4831</v>
      </c>
      <c r="AG599" t="s">
        <v>4832</v>
      </c>
      <c r="AH599">
        <v>116</v>
      </c>
      <c r="AI599" s="2" t="str">
        <f t="shared" si="45"/>
        <v>Independent</v>
      </c>
      <c r="AJ599" s="2" t="str">
        <f t="shared" si="46"/>
        <v>NO</v>
      </c>
      <c r="AK599" s="1" t="str">
        <f t="shared" si="47"/>
        <v>None</v>
      </c>
      <c r="AL599" s="1" t="str">
        <f t="shared" si="48"/>
        <v>1 Toilet</v>
      </c>
      <c r="AM599" s="1" t="str">
        <f t="shared" si="49"/>
        <v>YES</v>
      </c>
      <c r="AN599" s="1" t="str">
        <f>VLOOKUP(J599, 'Regions and Cities'!A:B, 2, FALSE)</f>
        <v>Uusimaa</v>
      </c>
    </row>
    <row r="600" spans="1:40" x14ac:dyDescent="0.3">
      <c r="A600" t="s">
        <v>5782</v>
      </c>
      <c r="B600" t="s">
        <v>5783</v>
      </c>
      <c r="C600" t="s">
        <v>5336</v>
      </c>
      <c r="D600" t="s">
        <v>249</v>
      </c>
      <c r="E600" t="s">
        <v>250</v>
      </c>
      <c r="F600" t="s">
        <v>251</v>
      </c>
      <c r="H600">
        <v>52</v>
      </c>
      <c r="I600" t="s">
        <v>294</v>
      </c>
      <c r="J600" t="s">
        <v>116</v>
      </c>
      <c r="K600" t="s">
        <v>5337</v>
      </c>
      <c r="L600" t="s">
        <v>5784</v>
      </c>
      <c r="M600" t="s">
        <v>37</v>
      </c>
      <c r="N600" t="s">
        <v>5785</v>
      </c>
      <c r="O600" t="s">
        <v>5786</v>
      </c>
      <c r="R600" t="s">
        <v>37</v>
      </c>
      <c r="S600" t="s">
        <v>37</v>
      </c>
      <c r="T600">
        <v>60.274830000000001</v>
      </c>
      <c r="U600" t="s">
        <v>5787</v>
      </c>
      <c r="V600" t="s">
        <v>5788</v>
      </c>
      <c r="W600">
        <v>24.9635</v>
      </c>
      <c r="X600">
        <v>212000</v>
      </c>
      <c r="Y600" t="s">
        <v>4066</v>
      </c>
      <c r="AA600" t="s">
        <v>38</v>
      </c>
      <c r="AB600" t="s">
        <v>39</v>
      </c>
      <c r="AC600" t="s">
        <v>480</v>
      </c>
      <c r="AD600" t="s">
        <v>40</v>
      </c>
      <c r="AE600" t="s">
        <v>5789</v>
      </c>
      <c r="AF600" t="s">
        <v>5790</v>
      </c>
      <c r="AG600" t="s">
        <v>5791</v>
      </c>
      <c r="AH600">
        <v>52</v>
      </c>
      <c r="AI600" s="2" t="str">
        <f t="shared" si="45"/>
        <v>Independent</v>
      </c>
      <c r="AJ600" s="2" t="str">
        <f t="shared" si="46"/>
        <v>NO</v>
      </c>
      <c r="AK600" s="1" t="str">
        <f t="shared" si="47"/>
        <v>Glazed Balcony</v>
      </c>
      <c r="AL600" s="1" t="str">
        <f t="shared" si="48"/>
        <v>1 Toilet</v>
      </c>
      <c r="AM600" s="1" t="str">
        <f t="shared" si="49"/>
        <v>YES</v>
      </c>
      <c r="AN600" s="1" t="str">
        <f>VLOOKUP(J600, 'Regions and Cities'!A:B, 2, FALSE)</f>
        <v>Uusimaa</v>
      </c>
    </row>
    <row r="601" spans="1:40" x14ac:dyDescent="0.3">
      <c r="A601" t="s">
        <v>5334</v>
      </c>
      <c r="B601" t="s">
        <v>5335</v>
      </c>
      <c r="C601" t="s">
        <v>5336</v>
      </c>
      <c r="D601" t="s">
        <v>123</v>
      </c>
      <c r="E601" t="s">
        <v>124</v>
      </c>
      <c r="F601" t="s">
        <v>58</v>
      </c>
      <c r="H601">
        <v>71</v>
      </c>
      <c r="I601" t="s">
        <v>190</v>
      </c>
      <c r="J601" t="s">
        <v>116</v>
      </c>
      <c r="K601" t="s">
        <v>5337</v>
      </c>
      <c r="L601" t="s">
        <v>5338</v>
      </c>
      <c r="M601" t="s">
        <v>37</v>
      </c>
      <c r="N601" t="s">
        <v>5339</v>
      </c>
      <c r="O601" t="s">
        <v>5340</v>
      </c>
      <c r="R601" t="s">
        <v>37</v>
      </c>
      <c r="S601" t="s">
        <v>37</v>
      </c>
      <c r="T601">
        <v>60.276299999999999</v>
      </c>
      <c r="U601" t="s">
        <v>5341</v>
      </c>
      <c r="V601" t="s">
        <v>5342</v>
      </c>
      <c r="W601">
        <v>24.969270000000002</v>
      </c>
      <c r="X601">
        <v>310000</v>
      </c>
      <c r="Y601" t="s">
        <v>1970</v>
      </c>
      <c r="AA601" t="s">
        <v>38</v>
      </c>
      <c r="AB601" t="s">
        <v>39</v>
      </c>
      <c r="AC601" t="s">
        <v>480</v>
      </c>
      <c r="AD601" t="s">
        <v>46</v>
      </c>
      <c r="AE601" t="s">
        <v>5343</v>
      </c>
      <c r="AF601" t="s">
        <v>5344</v>
      </c>
      <c r="AG601" t="s">
        <v>5345</v>
      </c>
      <c r="AH601">
        <v>71</v>
      </c>
      <c r="AI601" s="2" t="str">
        <f t="shared" si="45"/>
        <v>Open</v>
      </c>
      <c r="AJ601" s="2" t="str">
        <f t="shared" si="46"/>
        <v>YES</v>
      </c>
      <c r="AK601" s="1" t="str">
        <f t="shared" si="47"/>
        <v>None</v>
      </c>
      <c r="AL601" s="1" t="str">
        <f t="shared" si="48"/>
        <v>1 Toilet</v>
      </c>
      <c r="AM601" s="1" t="str">
        <f t="shared" si="49"/>
        <v>NO</v>
      </c>
      <c r="AN601" s="1" t="str">
        <f>VLOOKUP(J601, 'Regions and Cities'!A:B, 2, FALSE)</f>
        <v>Uusimaa</v>
      </c>
    </row>
    <row r="602" spans="1:40" x14ac:dyDescent="0.3">
      <c r="A602" t="s">
        <v>5792</v>
      </c>
      <c r="B602" t="s">
        <v>5793</v>
      </c>
      <c r="C602" t="s">
        <v>5794</v>
      </c>
      <c r="D602" t="s">
        <v>5795</v>
      </c>
      <c r="E602" t="s">
        <v>5796</v>
      </c>
      <c r="F602" t="s">
        <v>187</v>
      </c>
      <c r="G602" t="s">
        <v>5797</v>
      </c>
      <c r="H602">
        <v>85</v>
      </c>
      <c r="I602" t="s">
        <v>472</v>
      </c>
      <c r="J602" t="s">
        <v>101</v>
      </c>
      <c r="K602" t="s">
        <v>5798</v>
      </c>
      <c r="L602" t="s">
        <v>5799</v>
      </c>
      <c r="M602" t="s">
        <v>37</v>
      </c>
      <c r="N602" t="s">
        <v>5800</v>
      </c>
      <c r="O602" t="s">
        <v>5801</v>
      </c>
      <c r="P602" t="s">
        <v>5802</v>
      </c>
      <c r="R602" t="s">
        <v>37</v>
      </c>
      <c r="S602" t="s">
        <v>37</v>
      </c>
      <c r="T602">
        <v>61.013210000000001</v>
      </c>
      <c r="U602" t="s">
        <v>5803</v>
      </c>
      <c r="V602" t="s">
        <v>5804</v>
      </c>
      <c r="W602">
        <v>25.651620000000001</v>
      </c>
      <c r="X602">
        <v>95000</v>
      </c>
      <c r="Y602" t="s">
        <v>2338</v>
      </c>
      <c r="AA602" t="s">
        <v>38</v>
      </c>
      <c r="AB602" t="s">
        <v>39</v>
      </c>
      <c r="AC602" t="s">
        <v>480</v>
      </c>
      <c r="AD602" t="s">
        <v>75</v>
      </c>
      <c r="AE602" t="s">
        <v>5805</v>
      </c>
      <c r="AF602" t="s">
        <v>5806</v>
      </c>
      <c r="AG602" t="s">
        <v>5807</v>
      </c>
      <c r="AH602">
        <v>85</v>
      </c>
      <c r="AI602" s="2" t="str">
        <f t="shared" si="45"/>
        <v>Independent</v>
      </c>
      <c r="AJ602" s="2" t="str">
        <f t="shared" si="46"/>
        <v>NO</v>
      </c>
      <c r="AK602" s="1" t="str">
        <f t="shared" si="47"/>
        <v>None</v>
      </c>
      <c r="AL602" s="1" t="str">
        <f t="shared" si="48"/>
        <v>1 Toilet</v>
      </c>
      <c r="AM602" s="1" t="str">
        <f t="shared" si="49"/>
        <v>YES</v>
      </c>
      <c r="AN602" s="1" t="str">
        <f>VLOOKUP(J602, 'Regions and Cities'!A:B, 2, FALSE)</f>
        <v>Päijät-Häme</v>
      </c>
    </row>
    <row r="603" spans="1:40" x14ac:dyDescent="0.3">
      <c r="A603" t="s">
        <v>7520</v>
      </c>
      <c r="B603" t="s">
        <v>7521</v>
      </c>
      <c r="C603" t="s">
        <v>7139</v>
      </c>
      <c r="D603" t="s">
        <v>1717</v>
      </c>
      <c r="E603" t="s">
        <v>1718</v>
      </c>
      <c r="F603" t="s">
        <v>1719</v>
      </c>
      <c r="H603">
        <v>52</v>
      </c>
      <c r="I603" t="s">
        <v>1670</v>
      </c>
      <c r="J603" t="s">
        <v>137</v>
      </c>
      <c r="K603" t="s">
        <v>7143</v>
      </c>
      <c r="L603" t="s">
        <v>7522</v>
      </c>
      <c r="M603" t="s">
        <v>37</v>
      </c>
      <c r="N603" t="s">
        <v>7523</v>
      </c>
      <c r="O603" t="s">
        <v>7524</v>
      </c>
      <c r="R603" t="s">
        <v>37</v>
      </c>
      <c r="S603" t="s">
        <v>37</v>
      </c>
      <c r="T603">
        <v>60.276910999999998</v>
      </c>
      <c r="U603" t="s">
        <v>7525</v>
      </c>
      <c r="V603" t="s">
        <v>7526</v>
      </c>
      <c r="W603">
        <v>25.035955999999999</v>
      </c>
      <c r="X603">
        <v>27368.58</v>
      </c>
      <c r="Y603" t="s">
        <v>7527</v>
      </c>
      <c r="AA603" t="s">
        <v>38</v>
      </c>
      <c r="AB603" t="s">
        <v>39</v>
      </c>
      <c r="AC603" t="s">
        <v>6510</v>
      </c>
      <c r="AD603" t="s">
        <v>40</v>
      </c>
      <c r="AE603" t="s">
        <v>1741</v>
      </c>
      <c r="AF603" t="s">
        <v>7528</v>
      </c>
      <c r="AG603" t="s">
        <v>7529</v>
      </c>
      <c r="AH603"/>
      <c r="AI603" s="2" t="str">
        <f t="shared" si="45"/>
        <v>Kitchenette</v>
      </c>
      <c r="AJ603" s="2" t="str">
        <f t="shared" si="46"/>
        <v>YES</v>
      </c>
      <c r="AK603" s="1" t="str">
        <f t="shared" si="47"/>
        <v>None</v>
      </c>
      <c r="AL603" s="1" t="str">
        <f t="shared" si="48"/>
        <v>1 Toilet</v>
      </c>
      <c r="AM603" s="1" t="str">
        <f t="shared" si="49"/>
        <v>NO</v>
      </c>
      <c r="AN603" s="1" t="str">
        <f>VLOOKUP(J603, 'Regions and Cities'!A:B, 2, FALSE)</f>
        <v>Uusimaa</v>
      </c>
    </row>
    <row r="604" spans="1:40" x14ac:dyDescent="0.3">
      <c r="A604" t="s">
        <v>7680</v>
      </c>
      <c r="B604" t="s">
        <v>7681</v>
      </c>
      <c r="C604" t="s">
        <v>7682</v>
      </c>
      <c r="D604" t="s">
        <v>5595</v>
      </c>
      <c r="E604" t="s">
        <v>5596</v>
      </c>
      <c r="F604" t="s">
        <v>105</v>
      </c>
      <c r="G604" t="s">
        <v>7683</v>
      </c>
      <c r="H604">
        <v>140</v>
      </c>
      <c r="I604" t="s">
        <v>272</v>
      </c>
      <c r="J604" t="s">
        <v>265</v>
      </c>
      <c r="K604" t="s">
        <v>7684</v>
      </c>
      <c r="L604" t="s">
        <v>7685</v>
      </c>
      <c r="M604" t="s">
        <v>37</v>
      </c>
      <c r="N604" t="s">
        <v>7686</v>
      </c>
      <c r="O604" t="s">
        <v>7687</v>
      </c>
      <c r="P604" t="s">
        <v>7688</v>
      </c>
      <c r="R604" t="s">
        <v>37</v>
      </c>
      <c r="S604" t="s">
        <v>37</v>
      </c>
      <c r="T604">
        <v>65.036631999999997</v>
      </c>
      <c r="U604" t="s">
        <v>7689</v>
      </c>
      <c r="V604" t="s">
        <v>7690</v>
      </c>
      <c r="W604">
        <v>25.479966999999998</v>
      </c>
      <c r="X604">
        <v>119000</v>
      </c>
      <c r="Y604" t="s">
        <v>297</v>
      </c>
      <c r="AA604" t="s">
        <v>45</v>
      </c>
      <c r="AB604" t="s">
        <v>39</v>
      </c>
      <c r="AC604" t="s">
        <v>6510</v>
      </c>
      <c r="AD604" t="s">
        <v>55</v>
      </c>
      <c r="AE604" t="s">
        <v>7691</v>
      </c>
      <c r="AF604" t="s">
        <v>7692</v>
      </c>
      <c r="AG604" t="s">
        <v>7693</v>
      </c>
      <c r="AH604">
        <v>140</v>
      </c>
      <c r="AI604" s="2" t="str">
        <f t="shared" si="45"/>
        <v>Independent</v>
      </c>
      <c r="AJ604" s="2" t="str">
        <f t="shared" si="46"/>
        <v>NO</v>
      </c>
      <c r="AK604" s="1" t="str">
        <f t="shared" si="47"/>
        <v>None</v>
      </c>
      <c r="AL604" s="1" t="str">
        <f t="shared" si="48"/>
        <v>1 Toilet</v>
      </c>
      <c r="AM604" s="1" t="str">
        <f t="shared" si="49"/>
        <v>YES</v>
      </c>
      <c r="AN604" s="1" t="str">
        <f>VLOOKUP(J604, 'Regions and Cities'!A:B, 2, FALSE)</f>
        <v>Pohjois-Pohjanmaa</v>
      </c>
    </row>
    <row r="605" spans="1:40" x14ac:dyDescent="0.3">
      <c r="A605" t="s">
        <v>7191</v>
      </c>
      <c r="B605" t="s">
        <v>7192</v>
      </c>
      <c r="C605" t="s">
        <v>6219</v>
      </c>
      <c r="D605" t="s">
        <v>7193</v>
      </c>
      <c r="E605" t="s">
        <v>7194</v>
      </c>
      <c r="F605" t="s">
        <v>58</v>
      </c>
      <c r="H605">
        <v>53</v>
      </c>
      <c r="I605" t="s">
        <v>35</v>
      </c>
      <c r="J605" t="s">
        <v>340</v>
      </c>
      <c r="K605" t="s">
        <v>6220</v>
      </c>
      <c r="L605" t="s">
        <v>7195</v>
      </c>
      <c r="M605" t="s">
        <v>37</v>
      </c>
      <c r="N605" t="s">
        <v>7196</v>
      </c>
      <c r="O605" t="s">
        <v>7197</v>
      </c>
      <c r="R605" t="s">
        <v>37</v>
      </c>
      <c r="S605" t="s">
        <v>37</v>
      </c>
      <c r="T605">
        <v>60.311610000000002</v>
      </c>
      <c r="U605" t="s">
        <v>7198</v>
      </c>
      <c r="V605" t="s">
        <v>7199</v>
      </c>
      <c r="W605">
        <v>25.346699999999998</v>
      </c>
      <c r="X605">
        <v>168000</v>
      </c>
      <c r="Y605" t="s">
        <v>2613</v>
      </c>
      <c r="AA605" t="s">
        <v>808</v>
      </c>
      <c r="AB605" t="s">
        <v>39</v>
      </c>
      <c r="AC605" t="s">
        <v>6510</v>
      </c>
      <c r="AD605" t="s">
        <v>46</v>
      </c>
      <c r="AE605" t="s">
        <v>7200</v>
      </c>
      <c r="AF605" t="s">
        <v>7201</v>
      </c>
      <c r="AG605" t="s">
        <v>7202</v>
      </c>
      <c r="AH605">
        <v>53</v>
      </c>
      <c r="AI605" s="2" t="str">
        <f t="shared" si="45"/>
        <v>Independent</v>
      </c>
      <c r="AJ605" s="2" t="str">
        <f t="shared" si="46"/>
        <v>NO</v>
      </c>
      <c r="AK605" s="1" t="str">
        <f t="shared" si="47"/>
        <v>Standard Balcony</v>
      </c>
      <c r="AL605" s="1" t="str">
        <f t="shared" si="48"/>
        <v>1 Toilet</v>
      </c>
      <c r="AM605" s="1" t="str">
        <f t="shared" si="49"/>
        <v>YES</v>
      </c>
      <c r="AN605" s="1" t="str">
        <f>VLOOKUP(J605, 'Regions and Cities'!A:B, 2, FALSE)</f>
        <v>Uusimaa</v>
      </c>
    </row>
    <row r="606" spans="1:40" x14ac:dyDescent="0.3">
      <c r="A606" t="s">
        <v>7543</v>
      </c>
      <c r="B606" t="s">
        <v>7544</v>
      </c>
      <c r="C606" t="s">
        <v>7545</v>
      </c>
      <c r="D606" t="s">
        <v>2353</v>
      </c>
      <c r="E606" t="s">
        <v>2354</v>
      </c>
      <c r="F606" t="s">
        <v>2355</v>
      </c>
      <c r="G606" t="s">
        <v>7546</v>
      </c>
      <c r="H606">
        <v>49.5</v>
      </c>
      <c r="I606" t="s">
        <v>35</v>
      </c>
      <c r="J606" t="s">
        <v>73</v>
      </c>
      <c r="K606" t="s">
        <v>7547</v>
      </c>
      <c r="L606" t="s">
        <v>7548</v>
      </c>
      <c r="M606" t="s">
        <v>37</v>
      </c>
      <c r="N606" t="s">
        <v>7549</v>
      </c>
      <c r="O606" t="s">
        <v>7550</v>
      </c>
      <c r="P606" t="s">
        <v>7551</v>
      </c>
      <c r="Q606" t="s">
        <v>7552</v>
      </c>
      <c r="R606" t="s">
        <v>37</v>
      </c>
      <c r="S606" t="s">
        <v>37</v>
      </c>
      <c r="T606">
        <v>62.258940000000003</v>
      </c>
      <c r="U606" t="s">
        <v>7553</v>
      </c>
      <c r="V606" t="s">
        <v>7554</v>
      </c>
      <c r="W606">
        <v>25.742629999999998</v>
      </c>
      <c r="X606">
        <v>174000</v>
      </c>
      <c r="Y606" t="s">
        <v>7555</v>
      </c>
      <c r="AA606" t="s">
        <v>38</v>
      </c>
      <c r="AB606" t="s">
        <v>39</v>
      </c>
      <c r="AC606" t="s">
        <v>6510</v>
      </c>
      <c r="AD606" t="s">
        <v>40</v>
      </c>
      <c r="AE606" t="s">
        <v>7556</v>
      </c>
      <c r="AF606" t="s">
        <v>7557</v>
      </c>
      <c r="AG606" t="s">
        <v>7558</v>
      </c>
      <c r="AH606">
        <v>49.5</v>
      </c>
      <c r="AI606" s="2" t="str">
        <f t="shared" si="45"/>
        <v>Independent</v>
      </c>
      <c r="AJ606" s="2" t="str">
        <f t="shared" si="46"/>
        <v>NO</v>
      </c>
      <c r="AK606" s="1" t="str">
        <f t="shared" si="47"/>
        <v>Glazed Balcony</v>
      </c>
      <c r="AL606" s="1" t="str">
        <f t="shared" si="48"/>
        <v>1 Toilet</v>
      </c>
      <c r="AM606" s="1" t="str">
        <f t="shared" si="49"/>
        <v>NO</v>
      </c>
      <c r="AN606" s="1" t="str">
        <f>VLOOKUP(J606, 'Regions and Cities'!A:B, 2, FALSE)</f>
        <v>Keski-Suomi</v>
      </c>
    </row>
    <row r="607" spans="1:40" x14ac:dyDescent="0.3">
      <c r="A607" t="s">
        <v>8621</v>
      </c>
      <c r="B607" t="s">
        <v>8622</v>
      </c>
      <c r="C607" t="s">
        <v>8623</v>
      </c>
      <c r="D607" t="s">
        <v>8624</v>
      </c>
      <c r="E607" t="s">
        <v>8625</v>
      </c>
      <c r="H607">
        <v>118</v>
      </c>
      <c r="I607" t="s">
        <v>556</v>
      </c>
      <c r="J607" t="s">
        <v>434</v>
      </c>
      <c r="K607" t="s">
        <v>8626</v>
      </c>
      <c r="L607" t="s">
        <v>8627</v>
      </c>
      <c r="M607" t="s">
        <v>37</v>
      </c>
      <c r="N607" t="s">
        <v>8628</v>
      </c>
      <c r="O607" t="s">
        <v>8629</v>
      </c>
      <c r="R607" t="s">
        <v>37</v>
      </c>
      <c r="S607" t="s">
        <v>37</v>
      </c>
      <c r="T607">
        <v>61.105545999999997</v>
      </c>
      <c r="U607" t="s">
        <v>8630</v>
      </c>
      <c r="V607" t="s">
        <v>8631</v>
      </c>
      <c r="W607">
        <v>22.197051999999999</v>
      </c>
      <c r="X607">
        <v>68000</v>
      </c>
      <c r="Y607" t="s">
        <v>7596</v>
      </c>
      <c r="AA607" t="s">
        <v>63</v>
      </c>
      <c r="AB607" t="s">
        <v>39</v>
      </c>
      <c r="AC607" t="s">
        <v>6510</v>
      </c>
      <c r="AD607" t="s">
        <v>75</v>
      </c>
      <c r="AE607" t="s">
        <v>8632</v>
      </c>
      <c r="AF607" t="s">
        <v>8633</v>
      </c>
      <c r="AG607" t="s">
        <v>8634</v>
      </c>
      <c r="AH607">
        <v>174</v>
      </c>
      <c r="AI607" s="2" t="str">
        <f t="shared" si="45"/>
        <v>Independent</v>
      </c>
      <c r="AJ607" s="2" t="str">
        <f t="shared" si="46"/>
        <v>NO</v>
      </c>
      <c r="AK607" s="1" t="str">
        <f t="shared" si="47"/>
        <v>None</v>
      </c>
      <c r="AL607" s="1" t="str">
        <f t="shared" si="48"/>
        <v>1 Toilet</v>
      </c>
      <c r="AM607" s="1" t="str">
        <f t="shared" si="49"/>
        <v>YES</v>
      </c>
      <c r="AN607" s="1" t="str">
        <f>VLOOKUP(J607, 'Regions and Cities'!A:B, 2, FALSE)</f>
        <v>Satakunta</v>
      </c>
    </row>
    <row r="608" spans="1:40" x14ac:dyDescent="0.3">
      <c r="A608" t="s">
        <v>3664</v>
      </c>
      <c r="B608" t="s">
        <v>3665</v>
      </c>
      <c r="C608" t="s">
        <v>3666</v>
      </c>
      <c r="D608" t="s">
        <v>3150</v>
      </c>
      <c r="E608" t="s">
        <v>3151</v>
      </c>
      <c r="F608" t="s">
        <v>105</v>
      </c>
      <c r="G608" t="s">
        <v>3651</v>
      </c>
      <c r="H608">
        <v>48</v>
      </c>
      <c r="I608" t="s">
        <v>100</v>
      </c>
      <c r="J608" t="s">
        <v>114</v>
      </c>
      <c r="K608" t="s">
        <v>131</v>
      </c>
      <c r="L608" t="s">
        <v>3667</v>
      </c>
      <c r="M608" t="s">
        <v>37</v>
      </c>
      <c r="N608" t="s">
        <v>3668</v>
      </c>
      <c r="O608" t="s">
        <v>3669</v>
      </c>
      <c r="P608" t="s">
        <v>3670</v>
      </c>
      <c r="R608" t="s">
        <v>37</v>
      </c>
      <c r="S608" t="s">
        <v>37</v>
      </c>
      <c r="T608">
        <v>60.252068000000001</v>
      </c>
      <c r="U608" t="s">
        <v>3671</v>
      </c>
      <c r="V608" t="s">
        <v>3672</v>
      </c>
      <c r="W608">
        <v>24.061171000000002</v>
      </c>
      <c r="X608">
        <v>119000</v>
      </c>
      <c r="Y608" t="s">
        <v>297</v>
      </c>
      <c r="AA608" t="s">
        <v>38</v>
      </c>
      <c r="AB608" t="s">
        <v>39</v>
      </c>
      <c r="AC608" t="s">
        <v>3673</v>
      </c>
      <c r="AD608" t="s">
        <v>40</v>
      </c>
      <c r="AE608" t="s">
        <v>209</v>
      </c>
      <c r="AF608" t="s">
        <v>3674</v>
      </c>
      <c r="AG608" t="s">
        <v>3675</v>
      </c>
      <c r="AH608">
        <v>48</v>
      </c>
      <c r="AI608" s="2" t="str">
        <f t="shared" si="45"/>
        <v>Independent</v>
      </c>
      <c r="AJ608" s="2" t="str">
        <f t="shared" si="46"/>
        <v>NO</v>
      </c>
      <c r="AK608" s="1" t="str">
        <f t="shared" si="47"/>
        <v>None</v>
      </c>
      <c r="AL608" s="1" t="str">
        <f t="shared" si="48"/>
        <v>1 Toilet</v>
      </c>
      <c r="AM608" s="1" t="str">
        <f t="shared" si="49"/>
        <v>NO</v>
      </c>
      <c r="AN608" s="1" t="str">
        <f>VLOOKUP(J608, 'Regions and Cities'!A:B, 2, FALSE)</f>
        <v>Uusimaa</v>
      </c>
    </row>
    <row r="609" spans="1:40" x14ac:dyDescent="0.3">
      <c r="A609" t="s">
        <v>2239</v>
      </c>
      <c r="B609" t="s">
        <v>2240</v>
      </c>
      <c r="C609" t="s">
        <v>2241</v>
      </c>
      <c r="D609" t="s">
        <v>2242</v>
      </c>
      <c r="E609" t="s">
        <v>2243</v>
      </c>
      <c r="F609" t="s">
        <v>79</v>
      </c>
      <c r="G609" t="s">
        <v>2244</v>
      </c>
      <c r="H609">
        <v>113</v>
      </c>
      <c r="I609" t="s">
        <v>183</v>
      </c>
      <c r="J609" t="s">
        <v>192</v>
      </c>
      <c r="K609" t="s">
        <v>2245</v>
      </c>
      <c r="L609" t="s">
        <v>2246</v>
      </c>
      <c r="M609" t="s">
        <v>37</v>
      </c>
      <c r="N609" t="s">
        <v>2247</v>
      </c>
      <c r="O609" t="s">
        <v>2248</v>
      </c>
      <c r="P609" t="s">
        <v>2249</v>
      </c>
      <c r="Q609" t="s">
        <v>2250</v>
      </c>
      <c r="R609" t="s">
        <v>37</v>
      </c>
      <c r="S609" t="s">
        <v>37</v>
      </c>
      <c r="T609">
        <v>60.379472999999997</v>
      </c>
      <c r="U609" t="s">
        <v>2251</v>
      </c>
      <c r="V609" t="s">
        <v>2252</v>
      </c>
      <c r="W609">
        <v>25.100334</v>
      </c>
      <c r="X609">
        <v>282000</v>
      </c>
      <c r="Y609" t="s">
        <v>2253</v>
      </c>
      <c r="AA609" t="s">
        <v>45</v>
      </c>
      <c r="AB609" t="s">
        <v>39</v>
      </c>
      <c r="AC609" t="s">
        <v>480</v>
      </c>
      <c r="AD609" t="s">
        <v>75</v>
      </c>
      <c r="AE609" t="s">
        <v>2254</v>
      </c>
      <c r="AF609" t="s">
        <v>2255</v>
      </c>
      <c r="AG609" t="s">
        <v>2256</v>
      </c>
      <c r="AH609">
        <v>113</v>
      </c>
      <c r="AI609" s="2" t="str">
        <f t="shared" si="45"/>
        <v>Independent</v>
      </c>
      <c r="AJ609" s="2" t="str">
        <f t="shared" si="46"/>
        <v>NO</v>
      </c>
      <c r="AK609" s="1" t="str">
        <f t="shared" si="47"/>
        <v>None</v>
      </c>
      <c r="AL609" s="1" t="str">
        <f t="shared" si="48"/>
        <v>1 Toilet</v>
      </c>
      <c r="AM609" s="1" t="str">
        <f t="shared" si="49"/>
        <v>NO</v>
      </c>
      <c r="AN609" s="1" t="str">
        <f>VLOOKUP(J609, 'Regions and Cities'!A:B, 2, FALSE)</f>
        <v>Uusimaa</v>
      </c>
    </row>
    <row r="610" spans="1:40" x14ac:dyDescent="0.3">
      <c r="A610" t="s">
        <v>8556</v>
      </c>
      <c r="B610" t="s">
        <v>8557</v>
      </c>
      <c r="C610" t="s">
        <v>3783</v>
      </c>
      <c r="D610" t="s">
        <v>5127</v>
      </c>
      <c r="E610" t="s">
        <v>5128</v>
      </c>
      <c r="F610" t="s">
        <v>105</v>
      </c>
      <c r="G610" t="s">
        <v>8558</v>
      </c>
      <c r="H610">
        <v>42.5</v>
      </c>
      <c r="I610" t="s">
        <v>224</v>
      </c>
      <c r="J610" t="s">
        <v>139</v>
      </c>
      <c r="K610" t="s">
        <v>3784</v>
      </c>
      <c r="L610" t="s">
        <v>8559</v>
      </c>
      <c r="M610" t="s">
        <v>37</v>
      </c>
      <c r="N610" t="s">
        <v>8560</v>
      </c>
      <c r="O610" t="s">
        <v>8561</v>
      </c>
      <c r="P610" t="s">
        <v>8562</v>
      </c>
      <c r="R610" t="s">
        <v>37</v>
      </c>
      <c r="S610" t="s">
        <v>37</v>
      </c>
      <c r="T610">
        <v>61.501434000000003</v>
      </c>
      <c r="U610" t="s">
        <v>8563</v>
      </c>
      <c r="V610" t="s">
        <v>8564</v>
      </c>
      <c r="W610">
        <v>23.797526000000001</v>
      </c>
      <c r="X610">
        <v>159000</v>
      </c>
      <c r="Y610" t="s">
        <v>83</v>
      </c>
      <c r="AA610" t="s">
        <v>38</v>
      </c>
      <c r="AB610" t="s">
        <v>39</v>
      </c>
      <c r="AC610" t="s">
        <v>6510</v>
      </c>
      <c r="AD610" t="s">
        <v>40</v>
      </c>
      <c r="AE610" t="s">
        <v>8565</v>
      </c>
      <c r="AF610" t="s">
        <v>8566</v>
      </c>
      <c r="AG610" t="s">
        <v>8567</v>
      </c>
      <c r="AH610">
        <v>42.5</v>
      </c>
      <c r="AI610" s="2" t="str">
        <f t="shared" si="45"/>
        <v>Independent</v>
      </c>
      <c r="AJ610" s="2" t="str">
        <f t="shared" si="46"/>
        <v>NO</v>
      </c>
      <c r="AK610" s="1" t="str">
        <f t="shared" si="47"/>
        <v>None</v>
      </c>
      <c r="AL610" s="1" t="str">
        <f t="shared" si="48"/>
        <v>1 Toilet</v>
      </c>
      <c r="AM610" s="1" t="str">
        <f t="shared" si="49"/>
        <v>YES</v>
      </c>
      <c r="AN610" s="1" t="str">
        <f>VLOOKUP(J610, 'Regions and Cities'!A:B, 2, FALSE)</f>
        <v>Pirkanmaa</v>
      </c>
    </row>
    <row r="611" spans="1:40" x14ac:dyDescent="0.3">
      <c r="A611" t="s">
        <v>1943</v>
      </c>
      <c r="B611" t="s">
        <v>1944</v>
      </c>
      <c r="C611" t="s">
        <v>1945</v>
      </c>
      <c r="D611" t="s">
        <v>1946</v>
      </c>
      <c r="E611" t="s">
        <v>1947</v>
      </c>
      <c r="F611" t="s">
        <v>1948</v>
      </c>
      <c r="H611">
        <v>98</v>
      </c>
      <c r="I611" t="s">
        <v>589</v>
      </c>
      <c r="J611" t="s">
        <v>116</v>
      </c>
      <c r="K611" t="s">
        <v>1949</v>
      </c>
      <c r="L611" t="s">
        <v>1950</v>
      </c>
      <c r="M611" t="s">
        <v>37</v>
      </c>
      <c r="N611" t="s">
        <v>1951</v>
      </c>
      <c r="O611" t="s">
        <v>1952</v>
      </c>
      <c r="R611" t="s">
        <v>37</v>
      </c>
      <c r="S611" t="s">
        <v>37</v>
      </c>
      <c r="T611">
        <v>60.306486999999997</v>
      </c>
      <c r="U611" t="s">
        <v>1953</v>
      </c>
      <c r="V611" t="s">
        <v>1954</v>
      </c>
      <c r="W611">
        <v>25.035187000000001</v>
      </c>
      <c r="X611">
        <v>319000</v>
      </c>
      <c r="Y611" t="s">
        <v>1955</v>
      </c>
      <c r="AA611" t="s">
        <v>63</v>
      </c>
      <c r="AB611" t="s">
        <v>39</v>
      </c>
      <c r="AC611" t="s">
        <v>480</v>
      </c>
      <c r="AD611" t="s">
        <v>75</v>
      </c>
      <c r="AE611" t="s">
        <v>1956</v>
      </c>
      <c r="AF611" t="s">
        <v>1957</v>
      </c>
      <c r="AG611" t="s">
        <v>1958</v>
      </c>
      <c r="AH611">
        <v>98</v>
      </c>
      <c r="AI611" s="2" t="str">
        <f t="shared" si="45"/>
        <v>Independent</v>
      </c>
      <c r="AJ611" s="2" t="str">
        <f t="shared" si="46"/>
        <v>NO</v>
      </c>
      <c r="AK611" s="1" t="str">
        <f t="shared" si="47"/>
        <v>None</v>
      </c>
      <c r="AL611" s="1" t="str">
        <f t="shared" si="48"/>
        <v>1 Toilet</v>
      </c>
      <c r="AM611" s="1" t="str">
        <f t="shared" si="49"/>
        <v>YES</v>
      </c>
      <c r="AN611" s="1" t="str">
        <f>VLOOKUP(J611, 'Regions and Cities'!A:B, 2, FALSE)</f>
        <v>Uusimaa</v>
      </c>
    </row>
    <row r="612" spans="1:40" x14ac:dyDescent="0.3">
      <c r="A612" t="s">
        <v>7586</v>
      </c>
      <c r="B612" t="s">
        <v>7587</v>
      </c>
      <c r="C612" t="s">
        <v>7588</v>
      </c>
      <c r="D612" t="s">
        <v>2226</v>
      </c>
      <c r="E612" t="s">
        <v>2227</v>
      </c>
      <c r="F612" t="s">
        <v>79</v>
      </c>
      <c r="H612">
        <v>43</v>
      </c>
      <c r="I612" t="s">
        <v>213</v>
      </c>
      <c r="J612" t="s">
        <v>265</v>
      </c>
      <c r="K612" t="s">
        <v>7589</v>
      </c>
      <c r="L612" t="s">
        <v>7590</v>
      </c>
      <c r="M612" t="s">
        <v>37</v>
      </c>
      <c r="N612" t="s">
        <v>7591</v>
      </c>
      <c r="O612" t="s">
        <v>7592</v>
      </c>
      <c r="P612" t="s">
        <v>7593</v>
      </c>
      <c r="R612" t="s">
        <v>37</v>
      </c>
      <c r="S612" t="s">
        <v>37</v>
      </c>
      <c r="T612">
        <v>65.007292000000007</v>
      </c>
      <c r="U612" t="s">
        <v>7594</v>
      </c>
      <c r="V612" t="s">
        <v>7595</v>
      </c>
      <c r="W612">
        <v>25.490354</v>
      </c>
      <c r="X612">
        <v>68000</v>
      </c>
      <c r="Y612" t="s">
        <v>7596</v>
      </c>
      <c r="AA612" t="s">
        <v>38</v>
      </c>
      <c r="AB612" t="s">
        <v>39</v>
      </c>
      <c r="AC612" t="s">
        <v>6510</v>
      </c>
      <c r="AD612" t="s">
        <v>40</v>
      </c>
      <c r="AE612" t="s">
        <v>790</v>
      </c>
      <c r="AF612" t="s">
        <v>7597</v>
      </c>
      <c r="AG612" t="s">
        <v>7598</v>
      </c>
      <c r="AH612">
        <v>43</v>
      </c>
      <c r="AI612" s="2" t="str">
        <f t="shared" si="45"/>
        <v>Independent</v>
      </c>
      <c r="AJ612" s="2" t="str">
        <f t="shared" si="46"/>
        <v>NO</v>
      </c>
      <c r="AK612" s="1" t="str">
        <f t="shared" si="47"/>
        <v>None</v>
      </c>
      <c r="AL612" s="1" t="str">
        <f t="shared" si="48"/>
        <v>1 Toilet</v>
      </c>
      <c r="AM612" s="1" t="str">
        <f t="shared" si="49"/>
        <v>NO</v>
      </c>
      <c r="AN612" s="1" t="str">
        <f>VLOOKUP(J612, 'Regions and Cities'!A:B, 2, FALSE)</f>
        <v>Pohjois-Pohjanmaa</v>
      </c>
    </row>
    <row r="613" spans="1:40" x14ac:dyDescent="0.3">
      <c r="A613" t="s">
        <v>9607</v>
      </c>
      <c r="B613" t="s">
        <v>9608</v>
      </c>
      <c r="C613" t="s">
        <v>9609</v>
      </c>
      <c r="D613" t="s">
        <v>587</v>
      </c>
      <c r="E613" t="s">
        <v>588</v>
      </c>
      <c r="F613" t="s">
        <v>187</v>
      </c>
      <c r="H613">
        <v>53</v>
      </c>
      <c r="J613" t="s">
        <v>385</v>
      </c>
      <c r="K613" t="s">
        <v>9610</v>
      </c>
      <c r="L613" t="s">
        <v>9611</v>
      </c>
      <c r="M613" t="s">
        <v>37</v>
      </c>
      <c r="N613" t="s">
        <v>9612</v>
      </c>
      <c r="O613" t="s">
        <v>9613</v>
      </c>
      <c r="R613" t="s">
        <v>37</v>
      </c>
      <c r="S613" t="s">
        <v>37</v>
      </c>
      <c r="T613">
        <v>60.33961</v>
      </c>
      <c r="U613" t="s">
        <v>9614</v>
      </c>
      <c r="V613" t="s">
        <v>9615</v>
      </c>
      <c r="W613">
        <v>24.294699999999999</v>
      </c>
      <c r="X613">
        <v>95000</v>
      </c>
      <c r="Y613" t="s">
        <v>2338</v>
      </c>
      <c r="AA613" t="s">
        <v>45</v>
      </c>
      <c r="AB613" t="s">
        <v>39</v>
      </c>
      <c r="AC613" t="s">
        <v>6510</v>
      </c>
      <c r="AD613" t="s">
        <v>40</v>
      </c>
      <c r="AE613" t="s">
        <v>165</v>
      </c>
      <c r="AF613" t="s">
        <v>9616</v>
      </c>
      <c r="AG613" t="s">
        <v>9617</v>
      </c>
      <c r="AH613">
        <v>53</v>
      </c>
      <c r="AI613" s="2" t="str">
        <f t="shared" si="45"/>
        <v>Independent</v>
      </c>
      <c r="AJ613" s="2" t="str">
        <f t="shared" si="46"/>
        <v>YES</v>
      </c>
      <c r="AK613" s="1" t="str">
        <f t="shared" si="47"/>
        <v>None</v>
      </c>
      <c r="AL613" s="1" t="str">
        <f t="shared" si="48"/>
        <v>1 Toilet</v>
      </c>
      <c r="AM613" s="1" t="str">
        <f t="shared" si="49"/>
        <v>NO</v>
      </c>
      <c r="AN613" s="1" t="str">
        <f>VLOOKUP(J613, 'Regions and Cities'!A:B, 2, FALSE)</f>
        <v>Uusimaa</v>
      </c>
    </row>
    <row r="614" spans="1:40" x14ac:dyDescent="0.3">
      <c r="A614" t="s">
        <v>5754</v>
      </c>
      <c r="B614" t="s">
        <v>5755</v>
      </c>
      <c r="C614" t="s">
        <v>5756</v>
      </c>
      <c r="H614">
        <v>39.5</v>
      </c>
      <c r="I614" t="s">
        <v>66</v>
      </c>
      <c r="J614" t="s">
        <v>73</v>
      </c>
      <c r="K614" t="s">
        <v>5757</v>
      </c>
      <c r="L614" t="s">
        <v>5758</v>
      </c>
      <c r="M614" t="s">
        <v>37</v>
      </c>
      <c r="N614" t="s">
        <v>5759</v>
      </c>
      <c r="O614" t="s">
        <v>5760</v>
      </c>
      <c r="R614" t="s">
        <v>37</v>
      </c>
      <c r="S614" t="s">
        <v>111</v>
      </c>
      <c r="T614">
        <v>62.241759999999999</v>
      </c>
      <c r="U614" t="s">
        <v>5761</v>
      </c>
      <c r="V614" t="s">
        <v>5762</v>
      </c>
      <c r="W614">
        <v>25.799757</v>
      </c>
      <c r="X614">
        <v>89900</v>
      </c>
      <c r="Y614" t="s">
        <v>5763</v>
      </c>
      <c r="Z614" t="s">
        <v>5764</v>
      </c>
      <c r="AA614" t="s">
        <v>38</v>
      </c>
      <c r="AB614" t="s">
        <v>39</v>
      </c>
      <c r="AC614" t="s">
        <v>5765</v>
      </c>
      <c r="AD614" t="s">
        <v>40</v>
      </c>
      <c r="AE614" t="s">
        <v>5766</v>
      </c>
      <c r="AF614" t="s">
        <v>5767</v>
      </c>
      <c r="AG614" t="s">
        <v>5768</v>
      </c>
      <c r="AH614">
        <v>39.5</v>
      </c>
      <c r="AI614" s="2" t="str">
        <f t="shared" si="45"/>
        <v>Independent</v>
      </c>
      <c r="AJ614" s="2" t="str">
        <f t="shared" si="46"/>
        <v>YES</v>
      </c>
      <c r="AK614" s="1" t="str">
        <f t="shared" si="47"/>
        <v>None</v>
      </c>
      <c r="AL614" s="1" t="str">
        <f t="shared" si="48"/>
        <v>1 Toilet</v>
      </c>
      <c r="AM614" s="1" t="str">
        <f t="shared" si="49"/>
        <v>NO</v>
      </c>
      <c r="AN614" s="1" t="str">
        <f>VLOOKUP(J614, 'Regions and Cities'!A:B, 2, FALSE)</f>
        <v>Keski-Suomi</v>
      </c>
    </row>
    <row r="615" spans="1:40" x14ac:dyDescent="0.3">
      <c r="A615" t="s">
        <v>5672</v>
      </c>
      <c r="B615" t="s">
        <v>5673</v>
      </c>
      <c r="C615" t="s">
        <v>5674</v>
      </c>
      <c r="H615">
        <v>136.5</v>
      </c>
      <c r="I615" t="s">
        <v>1522</v>
      </c>
      <c r="J615" t="s">
        <v>350</v>
      </c>
      <c r="K615" t="s">
        <v>5675</v>
      </c>
      <c r="L615" t="s">
        <v>5676</v>
      </c>
      <c r="M615" t="s">
        <v>37</v>
      </c>
      <c r="N615" t="s">
        <v>5677</v>
      </c>
      <c r="O615" t="s">
        <v>5678</v>
      </c>
      <c r="R615" t="s">
        <v>37</v>
      </c>
      <c r="S615" t="s">
        <v>111</v>
      </c>
      <c r="T615">
        <v>62.593566000000003</v>
      </c>
      <c r="U615" t="s">
        <v>5679</v>
      </c>
      <c r="V615" t="s">
        <v>5680</v>
      </c>
      <c r="W615">
        <v>29.780263999999999</v>
      </c>
      <c r="X615">
        <v>269000</v>
      </c>
      <c r="Y615" t="s">
        <v>1145</v>
      </c>
      <c r="Z615" t="s">
        <v>5681</v>
      </c>
      <c r="AA615" t="s">
        <v>38</v>
      </c>
      <c r="AB615" t="s">
        <v>39</v>
      </c>
      <c r="AC615" t="s">
        <v>5682</v>
      </c>
      <c r="AD615" t="s">
        <v>55</v>
      </c>
      <c r="AE615" t="s">
        <v>5683</v>
      </c>
      <c r="AF615" t="s">
        <v>5684</v>
      </c>
      <c r="AG615" t="s">
        <v>5685</v>
      </c>
      <c r="AH615">
        <v>136.5</v>
      </c>
      <c r="AI615" s="2" t="str">
        <f t="shared" si="45"/>
        <v>Open</v>
      </c>
      <c r="AJ615" s="2" t="str">
        <f t="shared" si="46"/>
        <v>NO</v>
      </c>
      <c r="AK615" s="1" t="str">
        <f t="shared" si="47"/>
        <v>Glazed Balcony</v>
      </c>
      <c r="AL615" s="1" t="str">
        <f t="shared" si="48"/>
        <v>1 Toilet</v>
      </c>
      <c r="AM615" s="1" t="str">
        <f t="shared" si="49"/>
        <v>YES</v>
      </c>
      <c r="AN615" s="1" t="str">
        <f>VLOOKUP(J615, 'Regions and Cities'!A:B, 2, FALSE)</f>
        <v>Pohjois-Karjala</v>
      </c>
    </row>
    <row r="616" spans="1:40" x14ac:dyDescent="0.3">
      <c r="A616" t="s">
        <v>7432</v>
      </c>
      <c r="B616" t="s">
        <v>7433</v>
      </c>
      <c r="C616" t="s">
        <v>182</v>
      </c>
      <c r="D616" t="s">
        <v>7434</v>
      </c>
      <c r="E616" t="s">
        <v>7435</v>
      </c>
      <c r="F616" t="s">
        <v>105</v>
      </c>
      <c r="H616">
        <v>58</v>
      </c>
      <c r="I616" t="s">
        <v>861</v>
      </c>
      <c r="J616" t="s">
        <v>137</v>
      </c>
      <c r="K616" t="s">
        <v>184</v>
      </c>
      <c r="L616" t="s">
        <v>7436</v>
      </c>
      <c r="M616" t="s">
        <v>37</v>
      </c>
      <c r="N616" t="s">
        <v>7437</v>
      </c>
      <c r="O616" t="s">
        <v>7438</v>
      </c>
      <c r="R616" t="s">
        <v>37</v>
      </c>
      <c r="S616" t="s">
        <v>37</v>
      </c>
      <c r="T616">
        <v>60.22954</v>
      </c>
      <c r="U616" t="s">
        <v>7439</v>
      </c>
      <c r="V616" t="s">
        <v>7440</v>
      </c>
      <c r="W616">
        <v>25.02946</v>
      </c>
      <c r="X616">
        <v>228000</v>
      </c>
      <c r="Y616" t="s">
        <v>3419</v>
      </c>
      <c r="AA616" t="s">
        <v>38</v>
      </c>
      <c r="AB616" t="s">
        <v>39</v>
      </c>
      <c r="AC616" t="s">
        <v>6510</v>
      </c>
      <c r="AD616" t="s">
        <v>40</v>
      </c>
      <c r="AE616" t="s">
        <v>7441</v>
      </c>
      <c r="AF616" t="s">
        <v>7442</v>
      </c>
      <c r="AG616" t="s">
        <v>7443</v>
      </c>
      <c r="AH616">
        <v>58</v>
      </c>
      <c r="AI616" s="2" t="str">
        <f t="shared" si="45"/>
        <v>Independent</v>
      </c>
      <c r="AJ616" s="2" t="str">
        <f t="shared" si="46"/>
        <v>NO</v>
      </c>
      <c r="AK616" s="1" t="str">
        <f t="shared" si="47"/>
        <v>Standard Balcony</v>
      </c>
      <c r="AL616" s="1" t="str">
        <f t="shared" si="48"/>
        <v>1 Toilet</v>
      </c>
      <c r="AM616" s="1" t="str">
        <f t="shared" si="49"/>
        <v>YES</v>
      </c>
      <c r="AN616" s="1" t="str">
        <f>VLOOKUP(J616, 'Regions and Cities'!A:B, 2, FALSE)</f>
        <v>Uusimaa</v>
      </c>
    </row>
    <row r="617" spans="1:40" x14ac:dyDescent="0.3">
      <c r="A617" t="s">
        <v>4574</v>
      </c>
      <c r="B617" t="s">
        <v>4575</v>
      </c>
      <c r="C617" t="s">
        <v>197</v>
      </c>
      <c r="D617" t="s">
        <v>4576</v>
      </c>
      <c r="E617" t="s">
        <v>4577</v>
      </c>
      <c r="F617" t="s">
        <v>58</v>
      </c>
      <c r="H617">
        <v>46.5</v>
      </c>
      <c r="I617" t="s">
        <v>848</v>
      </c>
      <c r="J617" t="s">
        <v>116</v>
      </c>
      <c r="K617" t="s">
        <v>198</v>
      </c>
      <c r="L617" t="s">
        <v>4578</v>
      </c>
      <c r="M617" t="s">
        <v>37</v>
      </c>
      <c r="N617" t="s">
        <v>4579</v>
      </c>
      <c r="O617" t="s">
        <v>4580</v>
      </c>
      <c r="R617" t="s">
        <v>37</v>
      </c>
      <c r="S617" t="s">
        <v>37</v>
      </c>
      <c r="T617">
        <v>60.320540000000001</v>
      </c>
      <c r="U617" t="s">
        <v>4581</v>
      </c>
      <c r="V617" t="s">
        <v>4582</v>
      </c>
      <c r="W617">
        <v>24.852609999999999</v>
      </c>
      <c r="X617">
        <v>210000</v>
      </c>
      <c r="Y617" t="s">
        <v>1821</v>
      </c>
      <c r="AA617" t="s">
        <v>38</v>
      </c>
      <c r="AB617" t="s">
        <v>39</v>
      </c>
      <c r="AC617" t="s">
        <v>480</v>
      </c>
      <c r="AD617" t="s">
        <v>40</v>
      </c>
      <c r="AE617" t="s">
        <v>4583</v>
      </c>
      <c r="AF617" t="s">
        <v>4584</v>
      </c>
      <c r="AG617" t="s">
        <v>4585</v>
      </c>
      <c r="AH617">
        <v>46.5</v>
      </c>
      <c r="AI617" s="2" t="str">
        <f t="shared" si="45"/>
        <v>Independent</v>
      </c>
      <c r="AJ617" s="2" t="str">
        <f t="shared" si="46"/>
        <v>NO</v>
      </c>
      <c r="AK617" s="1" t="str">
        <f t="shared" si="47"/>
        <v>None</v>
      </c>
      <c r="AL617" s="1" t="str">
        <f t="shared" si="48"/>
        <v>1 Toilet</v>
      </c>
      <c r="AM617" s="1" t="str">
        <f t="shared" si="49"/>
        <v>NO</v>
      </c>
      <c r="AN617" s="1" t="str">
        <f>VLOOKUP(J617, 'Regions and Cities'!A:B, 2, FALSE)</f>
        <v>Uusimaa</v>
      </c>
    </row>
    <row r="618" spans="1:40" x14ac:dyDescent="0.3">
      <c r="A618" t="s">
        <v>4574</v>
      </c>
      <c r="B618" t="s">
        <v>4575</v>
      </c>
      <c r="C618" t="s">
        <v>197</v>
      </c>
      <c r="D618" t="s">
        <v>4576</v>
      </c>
      <c r="E618" t="s">
        <v>4577</v>
      </c>
      <c r="F618" t="s">
        <v>58</v>
      </c>
      <c r="H618">
        <v>81.5</v>
      </c>
      <c r="I618" t="s">
        <v>848</v>
      </c>
      <c r="J618" t="s">
        <v>116</v>
      </c>
      <c r="K618" t="s">
        <v>198</v>
      </c>
      <c r="L618" t="s">
        <v>4600</v>
      </c>
      <c r="M618" t="s">
        <v>37</v>
      </c>
      <c r="N618" t="s">
        <v>4601</v>
      </c>
      <c r="O618" t="s">
        <v>4602</v>
      </c>
      <c r="R618" t="s">
        <v>37</v>
      </c>
      <c r="S618" t="s">
        <v>37</v>
      </c>
      <c r="T618">
        <v>60.320540000000001</v>
      </c>
      <c r="U618" t="s">
        <v>4603</v>
      </c>
      <c r="V618" t="s">
        <v>4604</v>
      </c>
      <c r="W618">
        <v>24.852609999999999</v>
      </c>
      <c r="X618">
        <v>349000</v>
      </c>
      <c r="Y618" t="s">
        <v>284</v>
      </c>
      <c r="AA618" t="s">
        <v>38</v>
      </c>
      <c r="AB618" t="s">
        <v>39</v>
      </c>
      <c r="AC618" t="s">
        <v>480</v>
      </c>
      <c r="AD618" t="s">
        <v>46</v>
      </c>
      <c r="AE618" t="s">
        <v>4605</v>
      </c>
      <c r="AF618" t="s">
        <v>4606</v>
      </c>
      <c r="AG618" t="s">
        <v>4607</v>
      </c>
      <c r="AH618">
        <v>81.5</v>
      </c>
      <c r="AI618" s="2" t="str">
        <f t="shared" si="45"/>
        <v>Independent</v>
      </c>
      <c r="AJ618" s="2" t="str">
        <f t="shared" si="46"/>
        <v>YES</v>
      </c>
      <c r="AK618" s="1" t="str">
        <f t="shared" si="47"/>
        <v>None</v>
      </c>
      <c r="AL618" s="1" t="str">
        <f t="shared" si="48"/>
        <v>1 Toilet</v>
      </c>
      <c r="AM618" s="1" t="str">
        <f t="shared" si="49"/>
        <v>NO</v>
      </c>
      <c r="AN618" s="1" t="str">
        <f>VLOOKUP(J618, 'Regions and Cities'!A:B, 2, FALSE)</f>
        <v>Uusimaa</v>
      </c>
    </row>
    <row r="619" spans="1:40" x14ac:dyDescent="0.3">
      <c r="A619" t="s">
        <v>2990</v>
      </c>
      <c r="B619" t="s">
        <v>2991</v>
      </c>
      <c r="C619" t="s">
        <v>197</v>
      </c>
      <c r="D619" t="s">
        <v>845</v>
      </c>
      <c r="E619" t="s">
        <v>846</v>
      </c>
      <c r="F619" t="s">
        <v>105</v>
      </c>
      <c r="G619" t="s">
        <v>2992</v>
      </c>
      <c r="H619">
        <v>48.5</v>
      </c>
      <c r="I619" t="s">
        <v>109</v>
      </c>
      <c r="J619" t="s">
        <v>116</v>
      </c>
      <c r="K619" t="s">
        <v>198</v>
      </c>
      <c r="L619" t="s">
        <v>2993</v>
      </c>
      <c r="M619" t="s">
        <v>37</v>
      </c>
      <c r="N619" t="s">
        <v>2994</v>
      </c>
      <c r="O619" t="s">
        <v>2995</v>
      </c>
      <c r="P619" t="s">
        <v>2996</v>
      </c>
      <c r="R619" t="s">
        <v>37</v>
      </c>
      <c r="S619" t="s">
        <v>37</v>
      </c>
      <c r="T619">
        <v>60.319408000000003</v>
      </c>
      <c r="U619" t="s">
        <v>2997</v>
      </c>
      <c r="V619" t="s">
        <v>2998</v>
      </c>
      <c r="W619">
        <v>24.853493</v>
      </c>
      <c r="X619">
        <v>182000</v>
      </c>
      <c r="Y619" t="s">
        <v>2999</v>
      </c>
      <c r="AA619" t="s">
        <v>38</v>
      </c>
      <c r="AB619" t="s">
        <v>39</v>
      </c>
      <c r="AC619" t="s">
        <v>480</v>
      </c>
      <c r="AD619" t="s">
        <v>40</v>
      </c>
      <c r="AE619" t="s">
        <v>3000</v>
      </c>
      <c r="AF619" t="s">
        <v>3001</v>
      </c>
      <c r="AG619" t="s">
        <v>3002</v>
      </c>
      <c r="AH619">
        <v>48.5</v>
      </c>
      <c r="AI619" s="2" t="str">
        <f t="shared" si="45"/>
        <v>Open</v>
      </c>
      <c r="AJ619" s="2" t="str">
        <f t="shared" si="46"/>
        <v>NO</v>
      </c>
      <c r="AK619" s="1" t="str">
        <f t="shared" si="47"/>
        <v>Glazed Balcony</v>
      </c>
      <c r="AL619" s="1" t="str">
        <f t="shared" si="48"/>
        <v>1 Toilet</v>
      </c>
      <c r="AM619" s="1" t="str">
        <f t="shared" si="49"/>
        <v>NO</v>
      </c>
      <c r="AN619" s="1" t="str">
        <f>VLOOKUP(J619, 'Regions and Cities'!A:B, 2, FALSE)</f>
        <v>Uusimaa</v>
      </c>
    </row>
    <row r="620" spans="1:40" x14ac:dyDescent="0.3">
      <c r="A620" t="s">
        <v>9440</v>
      </c>
      <c r="B620" t="s">
        <v>9441</v>
      </c>
      <c r="C620" t="s">
        <v>9442</v>
      </c>
      <c r="D620" t="s">
        <v>9443</v>
      </c>
      <c r="E620" t="s">
        <v>9444</v>
      </c>
      <c r="F620" t="s">
        <v>1493</v>
      </c>
      <c r="H620">
        <v>289</v>
      </c>
      <c r="I620" t="s">
        <v>1522</v>
      </c>
      <c r="J620" t="s">
        <v>439</v>
      </c>
      <c r="K620" t="s">
        <v>9445</v>
      </c>
      <c r="L620" t="s">
        <v>9446</v>
      </c>
      <c r="M620" t="s">
        <v>37</v>
      </c>
      <c r="N620" t="s">
        <v>9447</v>
      </c>
      <c r="O620" t="s">
        <v>9448</v>
      </c>
      <c r="R620" t="s">
        <v>37</v>
      </c>
      <c r="S620" t="s">
        <v>37</v>
      </c>
      <c r="T620">
        <v>62.520440000000001</v>
      </c>
      <c r="U620" t="s">
        <v>9449</v>
      </c>
      <c r="V620" t="s">
        <v>9450</v>
      </c>
      <c r="W620">
        <v>29.401142</v>
      </c>
      <c r="X620">
        <v>183000</v>
      </c>
      <c r="Y620" t="s">
        <v>9451</v>
      </c>
      <c r="AA620" t="s">
        <v>63</v>
      </c>
      <c r="AB620" t="s">
        <v>39</v>
      </c>
      <c r="AC620" t="s">
        <v>6510</v>
      </c>
      <c r="AD620" t="s">
        <v>55</v>
      </c>
      <c r="AE620" t="s">
        <v>9452</v>
      </c>
      <c r="AF620" t="s">
        <v>9453</v>
      </c>
      <c r="AG620" t="s">
        <v>9454</v>
      </c>
      <c r="AH620">
        <v>402</v>
      </c>
      <c r="AI620" s="2" t="str">
        <f t="shared" si="45"/>
        <v>Open</v>
      </c>
      <c r="AJ620" s="2" t="str">
        <f t="shared" si="46"/>
        <v>NO</v>
      </c>
      <c r="AK620" s="1" t="str">
        <f t="shared" si="47"/>
        <v>None</v>
      </c>
      <c r="AL620" s="1" t="str">
        <f t="shared" si="48"/>
        <v>1 Toilet</v>
      </c>
      <c r="AM620" s="1" t="str">
        <f t="shared" si="49"/>
        <v>NO</v>
      </c>
      <c r="AN620" s="1" t="str">
        <f>VLOOKUP(J620, 'Regions and Cities'!A:B, 2, FALSE)</f>
        <v>Pohjois-Karjala</v>
      </c>
    </row>
    <row r="621" spans="1:40" x14ac:dyDescent="0.3">
      <c r="A621" t="s">
        <v>2662</v>
      </c>
      <c r="B621" t="s">
        <v>2663</v>
      </c>
      <c r="C621" t="s">
        <v>197</v>
      </c>
      <c r="D621" t="s">
        <v>2664</v>
      </c>
      <c r="E621" t="s">
        <v>2665</v>
      </c>
      <c r="F621" t="s">
        <v>2666</v>
      </c>
      <c r="H621">
        <v>33</v>
      </c>
      <c r="I621" t="s">
        <v>1310</v>
      </c>
      <c r="J621" t="s">
        <v>116</v>
      </c>
      <c r="K621" t="s">
        <v>198</v>
      </c>
      <c r="L621" t="s">
        <v>2667</v>
      </c>
      <c r="M621" t="s">
        <v>37</v>
      </c>
      <c r="N621" t="s">
        <v>2668</v>
      </c>
      <c r="O621" t="s">
        <v>2669</v>
      </c>
      <c r="R621" t="s">
        <v>111</v>
      </c>
      <c r="S621" t="s">
        <v>37</v>
      </c>
      <c r="T621">
        <v>60.315420000000003</v>
      </c>
      <c r="U621" t="s">
        <v>2670</v>
      </c>
      <c r="V621" t="s">
        <v>2671</v>
      </c>
      <c r="W621">
        <v>24.84732</v>
      </c>
      <c r="X621">
        <v>203000</v>
      </c>
      <c r="Y621" t="s">
        <v>2672</v>
      </c>
      <c r="AA621" t="s">
        <v>38</v>
      </c>
      <c r="AB621" t="s">
        <v>39</v>
      </c>
      <c r="AC621" t="s">
        <v>2673</v>
      </c>
      <c r="AD621" t="s">
        <v>202</v>
      </c>
      <c r="AE621" t="s">
        <v>2674</v>
      </c>
      <c r="AF621" t="s">
        <v>2675</v>
      </c>
      <c r="AG621" t="s">
        <v>2676</v>
      </c>
      <c r="AH621"/>
      <c r="AI621" s="2" t="str">
        <f t="shared" si="45"/>
        <v>Open</v>
      </c>
      <c r="AJ621" s="2" t="str">
        <f t="shared" si="46"/>
        <v>NO</v>
      </c>
      <c r="AK621" s="1" t="str">
        <f t="shared" si="47"/>
        <v>None</v>
      </c>
      <c r="AL621" s="1" t="str">
        <f t="shared" si="48"/>
        <v>1 Toilet</v>
      </c>
      <c r="AM621" s="1" t="str">
        <f t="shared" si="49"/>
        <v>NO</v>
      </c>
      <c r="AN621" s="1" t="str">
        <f>VLOOKUP(J621, 'Regions and Cities'!A:B, 2, FALSE)</f>
        <v>Uusimaa</v>
      </c>
    </row>
    <row r="622" spans="1:40" x14ac:dyDescent="0.3">
      <c r="A622" t="s">
        <v>3648</v>
      </c>
      <c r="B622" t="s">
        <v>3649</v>
      </c>
      <c r="C622" t="s">
        <v>3650</v>
      </c>
      <c r="D622" t="s">
        <v>3150</v>
      </c>
      <c r="E622" t="s">
        <v>3151</v>
      </c>
      <c r="F622" t="s">
        <v>105</v>
      </c>
      <c r="G622" t="s">
        <v>3651</v>
      </c>
      <c r="H622">
        <v>115</v>
      </c>
      <c r="I622" t="s">
        <v>3652</v>
      </c>
      <c r="J622" t="s">
        <v>114</v>
      </c>
      <c r="K622" t="s">
        <v>3653</v>
      </c>
      <c r="L622" t="s">
        <v>3654</v>
      </c>
      <c r="M622" t="s">
        <v>37</v>
      </c>
      <c r="N622" t="s">
        <v>3655</v>
      </c>
      <c r="O622" t="s">
        <v>3656</v>
      </c>
      <c r="P622" t="s">
        <v>3657</v>
      </c>
      <c r="R622" t="s">
        <v>37</v>
      </c>
      <c r="S622" t="s">
        <v>37</v>
      </c>
      <c r="T622">
        <v>60.215876999999999</v>
      </c>
      <c r="U622" t="s">
        <v>3658</v>
      </c>
      <c r="V622" t="s">
        <v>3659</v>
      </c>
      <c r="W622">
        <v>24.025193000000002</v>
      </c>
      <c r="X622">
        <v>164000</v>
      </c>
      <c r="Y622" t="s">
        <v>3660</v>
      </c>
      <c r="AA622" t="s">
        <v>63</v>
      </c>
      <c r="AB622" t="s">
        <v>39</v>
      </c>
      <c r="AC622" t="s">
        <v>596</v>
      </c>
      <c r="AD622" t="s">
        <v>75</v>
      </c>
      <c r="AE622" t="s">
        <v>3661</v>
      </c>
      <c r="AF622" t="s">
        <v>3662</v>
      </c>
      <c r="AG622" t="s">
        <v>3663</v>
      </c>
      <c r="AH622">
        <v>157</v>
      </c>
      <c r="AI622" s="2" t="str">
        <f t="shared" si="45"/>
        <v>Independent</v>
      </c>
      <c r="AJ622" s="2" t="str">
        <f t="shared" si="46"/>
        <v>YES</v>
      </c>
      <c r="AK622" s="1" t="str">
        <f t="shared" si="47"/>
        <v>None</v>
      </c>
      <c r="AL622" s="1" t="str">
        <f t="shared" si="48"/>
        <v>2 Toilets</v>
      </c>
      <c r="AM622" s="1" t="str">
        <f t="shared" si="49"/>
        <v>YES</v>
      </c>
      <c r="AN622" s="1" t="str">
        <f>VLOOKUP(J622, 'Regions and Cities'!A:B, 2, FALSE)</f>
        <v>Uusimaa</v>
      </c>
    </row>
    <row r="623" spans="1:40" x14ac:dyDescent="0.3">
      <c r="A623" t="s">
        <v>2071</v>
      </c>
      <c r="B623" t="s">
        <v>2072</v>
      </c>
      <c r="C623" t="s">
        <v>2073</v>
      </c>
      <c r="D623" t="s">
        <v>2074</v>
      </c>
      <c r="E623" t="s">
        <v>2075</v>
      </c>
      <c r="F623" t="s">
        <v>79</v>
      </c>
      <c r="G623" t="s">
        <v>2076</v>
      </c>
      <c r="H623">
        <v>41</v>
      </c>
      <c r="I623" t="s">
        <v>119</v>
      </c>
      <c r="J623" t="s">
        <v>374</v>
      </c>
      <c r="K623" t="s">
        <v>131</v>
      </c>
      <c r="L623" t="s">
        <v>2077</v>
      </c>
      <c r="M623" t="s">
        <v>37</v>
      </c>
      <c r="N623" t="s">
        <v>2078</v>
      </c>
      <c r="O623" t="s">
        <v>2079</v>
      </c>
      <c r="P623" t="s">
        <v>2080</v>
      </c>
      <c r="R623" t="s">
        <v>37</v>
      </c>
      <c r="S623" t="s">
        <v>37</v>
      </c>
      <c r="T623">
        <v>60.868484000000002</v>
      </c>
      <c r="U623" t="s">
        <v>2081</v>
      </c>
      <c r="V623" t="s">
        <v>2082</v>
      </c>
      <c r="W623">
        <v>26.698857</v>
      </c>
      <c r="X623">
        <v>45000</v>
      </c>
      <c r="Y623" t="s">
        <v>2083</v>
      </c>
      <c r="AA623" t="s">
        <v>38</v>
      </c>
      <c r="AB623" t="s">
        <v>39</v>
      </c>
      <c r="AC623" t="s">
        <v>480</v>
      </c>
      <c r="AD623" t="s">
        <v>40</v>
      </c>
      <c r="AE623" t="s">
        <v>2084</v>
      </c>
      <c r="AF623" t="s">
        <v>2085</v>
      </c>
      <c r="AG623" t="s">
        <v>2086</v>
      </c>
      <c r="AH623">
        <v>41</v>
      </c>
      <c r="AI623" s="2" t="str">
        <f t="shared" si="45"/>
        <v>Independent</v>
      </c>
      <c r="AJ623" s="2" t="str">
        <f t="shared" si="46"/>
        <v>NO</v>
      </c>
      <c r="AK623" s="1" t="str">
        <f t="shared" si="47"/>
        <v>None</v>
      </c>
      <c r="AL623" s="1" t="str">
        <f t="shared" si="48"/>
        <v>1 Toilet</v>
      </c>
      <c r="AM623" s="1" t="str">
        <f t="shared" si="49"/>
        <v>NO</v>
      </c>
      <c r="AN623" s="1" t="str">
        <f>VLOOKUP(J623, 'Regions and Cities'!A:B, 2, FALSE)</f>
        <v>Kymenlaakso</v>
      </c>
    </row>
    <row r="624" spans="1:40" x14ac:dyDescent="0.3">
      <c r="A624" t="s">
        <v>6249</v>
      </c>
      <c r="B624" t="s">
        <v>6250</v>
      </c>
      <c r="C624" t="s">
        <v>6251</v>
      </c>
      <c r="D624" t="s">
        <v>178</v>
      </c>
      <c r="E624" t="s">
        <v>179</v>
      </c>
      <c r="F624" t="s">
        <v>180</v>
      </c>
      <c r="H624">
        <v>87.5</v>
      </c>
      <c r="I624" t="s">
        <v>109</v>
      </c>
      <c r="J624" t="s">
        <v>417</v>
      </c>
      <c r="K624" t="s">
        <v>5337</v>
      </c>
      <c r="L624" t="s">
        <v>6252</v>
      </c>
      <c r="M624" t="s">
        <v>37</v>
      </c>
      <c r="N624" t="s">
        <v>6253</v>
      </c>
      <c r="O624" t="s">
        <v>6254</v>
      </c>
      <c r="R624" t="s">
        <v>37</v>
      </c>
      <c r="S624" t="s">
        <v>37</v>
      </c>
      <c r="T624">
        <v>60.478900000000003</v>
      </c>
      <c r="U624" t="s">
        <v>6255</v>
      </c>
      <c r="V624" t="s">
        <v>6256</v>
      </c>
      <c r="W624">
        <v>22.0642</v>
      </c>
      <c r="X624">
        <v>43274.15</v>
      </c>
      <c r="Y624" t="s">
        <v>6257</v>
      </c>
      <c r="AA624" t="s">
        <v>45</v>
      </c>
      <c r="AB624" t="s">
        <v>39</v>
      </c>
      <c r="AC624" t="s">
        <v>480</v>
      </c>
      <c r="AD624" t="s">
        <v>75</v>
      </c>
      <c r="AE624" t="s">
        <v>141</v>
      </c>
      <c r="AF624" t="s">
        <v>6258</v>
      </c>
      <c r="AG624" t="s">
        <v>6259</v>
      </c>
      <c r="AH624"/>
      <c r="AI624" s="2" t="str">
        <f t="shared" si="45"/>
        <v>Open</v>
      </c>
      <c r="AJ624" s="2" t="str">
        <f t="shared" si="46"/>
        <v>YES</v>
      </c>
      <c r="AK624" s="1" t="str">
        <f t="shared" si="47"/>
        <v>None</v>
      </c>
      <c r="AL624" s="1" t="str">
        <f t="shared" si="48"/>
        <v>1 Toilet</v>
      </c>
      <c r="AM624" s="1" t="str">
        <f t="shared" si="49"/>
        <v>NO</v>
      </c>
      <c r="AN624" s="1" t="str">
        <f>VLOOKUP(J624, 'Regions and Cities'!A:B, 2, FALSE)</f>
        <v>Varsinais-Suomi</v>
      </c>
    </row>
    <row r="625" spans="1:40" x14ac:dyDescent="0.3">
      <c r="A625" t="s">
        <v>6249</v>
      </c>
      <c r="B625" t="s">
        <v>6250</v>
      </c>
      <c r="C625" t="s">
        <v>6251</v>
      </c>
      <c r="D625" t="s">
        <v>178</v>
      </c>
      <c r="E625" t="s">
        <v>179</v>
      </c>
      <c r="F625" t="s">
        <v>180</v>
      </c>
      <c r="H625">
        <v>87.5</v>
      </c>
      <c r="I625" t="s">
        <v>109</v>
      </c>
      <c r="J625" t="s">
        <v>417</v>
      </c>
      <c r="K625" t="s">
        <v>5337</v>
      </c>
      <c r="L625" t="s">
        <v>6260</v>
      </c>
      <c r="M625" t="s">
        <v>37</v>
      </c>
      <c r="N625" t="s">
        <v>6261</v>
      </c>
      <c r="O625" t="s">
        <v>6262</v>
      </c>
      <c r="R625" t="s">
        <v>37</v>
      </c>
      <c r="S625" t="s">
        <v>37</v>
      </c>
      <c r="T625">
        <v>60.478900000000003</v>
      </c>
      <c r="U625" t="s">
        <v>6263</v>
      </c>
      <c r="V625" t="s">
        <v>6264</v>
      </c>
      <c r="W625">
        <v>22.0642</v>
      </c>
      <c r="X625">
        <v>44065.41</v>
      </c>
      <c r="Y625" t="s">
        <v>6265</v>
      </c>
      <c r="AA625" t="s">
        <v>45</v>
      </c>
      <c r="AB625" t="s">
        <v>39</v>
      </c>
      <c r="AC625" t="s">
        <v>480</v>
      </c>
      <c r="AD625" t="s">
        <v>75</v>
      </c>
      <c r="AE625" t="s">
        <v>141</v>
      </c>
      <c r="AF625" t="s">
        <v>6266</v>
      </c>
      <c r="AG625" t="s">
        <v>6259</v>
      </c>
      <c r="AH625"/>
      <c r="AI625" s="2" t="str">
        <f t="shared" si="45"/>
        <v>Open</v>
      </c>
      <c r="AJ625" s="2" t="str">
        <f t="shared" si="46"/>
        <v>YES</v>
      </c>
      <c r="AK625" s="1" t="str">
        <f t="shared" si="47"/>
        <v>None</v>
      </c>
      <c r="AL625" s="1" t="str">
        <f t="shared" si="48"/>
        <v>1 Toilet</v>
      </c>
      <c r="AM625" s="1" t="str">
        <f t="shared" si="49"/>
        <v>NO</v>
      </c>
      <c r="AN625" s="1" t="str">
        <f>VLOOKUP(J625, 'Regions and Cities'!A:B, 2, FALSE)</f>
        <v>Varsinais-Suomi</v>
      </c>
    </row>
    <row r="626" spans="1:40" x14ac:dyDescent="0.3">
      <c r="A626" t="s">
        <v>7775</v>
      </c>
      <c r="B626" t="s">
        <v>7776</v>
      </c>
      <c r="C626" t="s">
        <v>7777</v>
      </c>
      <c r="D626" t="s">
        <v>7778</v>
      </c>
      <c r="E626" t="s">
        <v>7779</v>
      </c>
      <c r="F626" t="s">
        <v>58</v>
      </c>
      <c r="H626">
        <v>121</v>
      </c>
      <c r="I626" t="s">
        <v>925</v>
      </c>
      <c r="J626" t="s">
        <v>110</v>
      </c>
      <c r="K626" t="s">
        <v>7780</v>
      </c>
      <c r="L626" t="s">
        <v>7781</v>
      </c>
      <c r="M626" t="s">
        <v>37</v>
      </c>
      <c r="N626" t="s">
        <v>7782</v>
      </c>
      <c r="O626" t="s">
        <v>7783</v>
      </c>
      <c r="R626" t="s">
        <v>37</v>
      </c>
      <c r="S626" t="s">
        <v>37</v>
      </c>
      <c r="T626">
        <v>60.481969999999997</v>
      </c>
      <c r="U626" t="s">
        <v>7784</v>
      </c>
      <c r="V626" t="s">
        <v>7785</v>
      </c>
      <c r="W626">
        <v>22.265070000000001</v>
      </c>
      <c r="X626">
        <v>369000</v>
      </c>
      <c r="Y626" t="s">
        <v>4276</v>
      </c>
      <c r="AA626" t="s">
        <v>63</v>
      </c>
      <c r="AB626" t="s">
        <v>39</v>
      </c>
      <c r="AC626" t="s">
        <v>6510</v>
      </c>
      <c r="AD626" t="s">
        <v>75</v>
      </c>
      <c r="AE626" t="s">
        <v>7786</v>
      </c>
      <c r="AF626" t="s">
        <v>7787</v>
      </c>
      <c r="AG626" t="s">
        <v>7788</v>
      </c>
      <c r="AH626">
        <v>148</v>
      </c>
      <c r="AI626" s="2" t="str">
        <f t="shared" si="45"/>
        <v>Independent</v>
      </c>
      <c r="AJ626" s="2" t="str">
        <f t="shared" si="46"/>
        <v>NO</v>
      </c>
      <c r="AK626" s="1" t="str">
        <f t="shared" si="47"/>
        <v>None</v>
      </c>
      <c r="AL626" s="1" t="str">
        <f t="shared" si="48"/>
        <v>1 Toilet</v>
      </c>
      <c r="AM626" s="1" t="str">
        <f t="shared" si="49"/>
        <v>YES</v>
      </c>
      <c r="AN626" s="1" t="str">
        <f>VLOOKUP(J626, 'Regions and Cities'!A:B, 2, FALSE)</f>
        <v>Varsinais-Suomi</v>
      </c>
    </row>
    <row r="627" spans="1:40" x14ac:dyDescent="0.3">
      <c r="A627" t="s">
        <v>2327</v>
      </c>
      <c r="B627" t="s">
        <v>2328</v>
      </c>
      <c r="C627" t="s">
        <v>1382</v>
      </c>
      <c r="D627" t="s">
        <v>2329</v>
      </c>
      <c r="E627" t="s">
        <v>2330</v>
      </c>
      <c r="F627" t="s">
        <v>79</v>
      </c>
      <c r="G627" t="s">
        <v>2331</v>
      </c>
      <c r="H627">
        <v>119.5</v>
      </c>
      <c r="I627" t="s">
        <v>252</v>
      </c>
      <c r="J627" t="s">
        <v>350</v>
      </c>
      <c r="K627" t="s">
        <v>1384</v>
      </c>
      <c r="L627" t="s">
        <v>2332</v>
      </c>
      <c r="M627" t="s">
        <v>37</v>
      </c>
      <c r="N627" t="s">
        <v>2333</v>
      </c>
      <c r="O627" t="s">
        <v>2334</v>
      </c>
      <c r="P627" t="s">
        <v>2335</v>
      </c>
      <c r="R627" t="s">
        <v>37</v>
      </c>
      <c r="S627" t="s">
        <v>37</v>
      </c>
      <c r="T627">
        <v>62.623511999999998</v>
      </c>
      <c r="U627" t="s">
        <v>2336</v>
      </c>
      <c r="V627" t="s">
        <v>2337</v>
      </c>
      <c r="W627">
        <v>29.826675999999999</v>
      </c>
      <c r="X627">
        <v>95000</v>
      </c>
      <c r="Y627" t="s">
        <v>2338</v>
      </c>
      <c r="AA627" t="s">
        <v>63</v>
      </c>
      <c r="AB627" t="s">
        <v>39</v>
      </c>
      <c r="AC627" t="s">
        <v>480</v>
      </c>
      <c r="AD627" t="s">
        <v>75</v>
      </c>
      <c r="AE627" t="s">
        <v>2339</v>
      </c>
      <c r="AF627" t="s">
        <v>2340</v>
      </c>
      <c r="AG627" t="s">
        <v>2341</v>
      </c>
      <c r="AH627">
        <v>163</v>
      </c>
      <c r="AI627" s="2" t="str">
        <f t="shared" si="45"/>
        <v>Independent</v>
      </c>
      <c r="AJ627" s="2" t="str">
        <f t="shared" si="46"/>
        <v>NO</v>
      </c>
      <c r="AK627" s="1" t="str">
        <f t="shared" si="47"/>
        <v>None</v>
      </c>
      <c r="AL627" s="1" t="str">
        <f t="shared" si="48"/>
        <v>1 Toilet</v>
      </c>
      <c r="AM627" s="1" t="str">
        <f t="shared" si="49"/>
        <v>NO</v>
      </c>
      <c r="AN627" s="1" t="str">
        <f>VLOOKUP(J627, 'Regions and Cities'!A:B, 2, FALSE)</f>
        <v>Pohjois-Karjala</v>
      </c>
    </row>
    <row r="628" spans="1:40" x14ac:dyDescent="0.3">
      <c r="A628" t="s">
        <v>1855</v>
      </c>
      <c r="B628" t="s">
        <v>1856</v>
      </c>
      <c r="C628" t="s">
        <v>1857</v>
      </c>
      <c r="D628" t="s">
        <v>1717</v>
      </c>
      <c r="E628" t="s">
        <v>1718</v>
      </c>
      <c r="F628" t="s">
        <v>1719</v>
      </c>
      <c r="H628">
        <v>88.5</v>
      </c>
      <c r="I628" t="s">
        <v>1858</v>
      </c>
      <c r="J628" t="s">
        <v>126</v>
      </c>
      <c r="K628" t="s">
        <v>1859</v>
      </c>
      <c r="L628" t="s">
        <v>1860</v>
      </c>
      <c r="M628" t="s">
        <v>37</v>
      </c>
      <c r="N628" t="s">
        <v>1861</v>
      </c>
      <c r="O628" t="s">
        <v>1862</v>
      </c>
      <c r="R628" t="s">
        <v>37</v>
      </c>
      <c r="S628" t="s">
        <v>37</v>
      </c>
      <c r="T628">
        <v>60.216898999999998</v>
      </c>
      <c r="U628" t="s">
        <v>1863</v>
      </c>
      <c r="V628" t="s">
        <v>1864</v>
      </c>
      <c r="W628">
        <v>24.785207</v>
      </c>
      <c r="X628">
        <v>35275.980000000003</v>
      </c>
      <c r="Y628" t="s">
        <v>1865</v>
      </c>
      <c r="AA628" t="s">
        <v>38</v>
      </c>
      <c r="AB628" t="s">
        <v>39</v>
      </c>
      <c r="AC628" t="s">
        <v>480</v>
      </c>
      <c r="AD628" t="s">
        <v>75</v>
      </c>
      <c r="AE628" t="s">
        <v>1866</v>
      </c>
      <c r="AF628" t="s">
        <v>1867</v>
      </c>
      <c r="AG628" t="s">
        <v>1868</v>
      </c>
      <c r="AH628"/>
      <c r="AI628" s="2" t="str">
        <f t="shared" si="45"/>
        <v>Independent</v>
      </c>
      <c r="AJ628" s="2" t="str">
        <f t="shared" si="46"/>
        <v>YES</v>
      </c>
      <c r="AK628" s="1" t="str">
        <f t="shared" si="47"/>
        <v>None</v>
      </c>
      <c r="AL628" s="1" t="str">
        <f t="shared" si="48"/>
        <v>1 Toilet</v>
      </c>
      <c r="AM628" s="1" t="str">
        <f t="shared" si="49"/>
        <v>NO</v>
      </c>
      <c r="AN628" s="1" t="str">
        <f>VLOOKUP(J628, 'Regions and Cities'!A:B, 2, FALSE)</f>
        <v>Uusimaa</v>
      </c>
    </row>
    <row r="629" spans="1:40" x14ac:dyDescent="0.3">
      <c r="A629" t="s">
        <v>9749</v>
      </c>
      <c r="B629" t="s">
        <v>9750</v>
      </c>
      <c r="C629" t="s">
        <v>1857</v>
      </c>
      <c r="D629" t="s">
        <v>1717</v>
      </c>
      <c r="E629" t="s">
        <v>1718</v>
      </c>
      <c r="F629" t="s">
        <v>1719</v>
      </c>
      <c r="H629">
        <v>63.5</v>
      </c>
      <c r="I629" t="s">
        <v>4114</v>
      </c>
      <c r="J629" t="s">
        <v>126</v>
      </c>
      <c r="K629" t="s">
        <v>1859</v>
      </c>
      <c r="L629" t="s">
        <v>9751</v>
      </c>
      <c r="M629" t="s">
        <v>37</v>
      </c>
      <c r="N629" t="s">
        <v>9752</v>
      </c>
      <c r="O629" t="s">
        <v>9753</v>
      </c>
      <c r="R629" t="s">
        <v>37</v>
      </c>
      <c r="S629" t="s">
        <v>37</v>
      </c>
      <c r="T629">
        <v>60.217354</v>
      </c>
      <c r="U629" t="s">
        <v>9754</v>
      </c>
      <c r="V629" t="s">
        <v>9755</v>
      </c>
      <c r="W629">
        <v>24.786792999999999</v>
      </c>
      <c r="X629">
        <v>33418.42</v>
      </c>
      <c r="Y629" t="s">
        <v>9756</v>
      </c>
      <c r="AA629" t="s">
        <v>38</v>
      </c>
      <c r="AB629" t="s">
        <v>39</v>
      </c>
      <c r="AC629" t="s">
        <v>6510</v>
      </c>
      <c r="AD629" t="s">
        <v>46</v>
      </c>
      <c r="AE629" t="s">
        <v>4108</v>
      </c>
      <c r="AF629" t="s">
        <v>9757</v>
      </c>
      <c r="AG629" t="s">
        <v>9758</v>
      </c>
      <c r="AH629"/>
      <c r="AI629" s="2" t="str">
        <f t="shared" si="45"/>
        <v>Independent</v>
      </c>
      <c r="AJ629" s="2" t="str">
        <f t="shared" si="46"/>
        <v>YES</v>
      </c>
      <c r="AK629" s="1" t="str">
        <f t="shared" si="47"/>
        <v>None</v>
      </c>
      <c r="AL629" s="1" t="str">
        <f t="shared" si="48"/>
        <v>1 Toilet</v>
      </c>
      <c r="AM629" s="1" t="str">
        <f t="shared" si="49"/>
        <v>NO</v>
      </c>
      <c r="AN629" s="1" t="str">
        <f>VLOOKUP(J629, 'Regions and Cities'!A:B, 2, FALSE)</f>
        <v>Uusimaa</v>
      </c>
    </row>
    <row r="630" spans="1:40" x14ac:dyDescent="0.3">
      <c r="A630" t="s">
        <v>6670</v>
      </c>
      <c r="B630" t="s">
        <v>6671</v>
      </c>
      <c r="C630" t="s">
        <v>6672</v>
      </c>
      <c r="D630" t="s">
        <v>1946</v>
      </c>
      <c r="E630" t="s">
        <v>1947</v>
      </c>
      <c r="F630" t="s">
        <v>1948</v>
      </c>
      <c r="H630">
        <v>76</v>
      </c>
      <c r="I630" t="s">
        <v>4311</v>
      </c>
      <c r="J630" t="s">
        <v>137</v>
      </c>
      <c r="K630" t="s">
        <v>6673</v>
      </c>
      <c r="L630" t="s">
        <v>6674</v>
      </c>
      <c r="M630" t="s">
        <v>37</v>
      </c>
      <c r="N630" t="s">
        <v>6675</v>
      </c>
      <c r="O630" t="s">
        <v>6676</v>
      </c>
      <c r="R630" t="s">
        <v>37</v>
      </c>
      <c r="S630" t="s">
        <v>37</v>
      </c>
      <c r="T630">
        <v>60.191766999999999</v>
      </c>
      <c r="U630" t="s">
        <v>6677</v>
      </c>
      <c r="V630" t="s">
        <v>6678</v>
      </c>
      <c r="W630">
        <v>24.906034999999999</v>
      </c>
      <c r="X630">
        <v>445000</v>
      </c>
      <c r="Y630" t="s">
        <v>4123</v>
      </c>
      <c r="AA630" t="s">
        <v>38</v>
      </c>
      <c r="AB630" t="s">
        <v>39</v>
      </c>
      <c r="AC630" t="s">
        <v>6510</v>
      </c>
      <c r="AD630" t="s">
        <v>55</v>
      </c>
      <c r="AE630" t="s">
        <v>6679</v>
      </c>
      <c r="AF630" t="s">
        <v>6680</v>
      </c>
      <c r="AG630" t="s">
        <v>6681</v>
      </c>
      <c r="AH630">
        <v>76</v>
      </c>
      <c r="AI630" s="2" t="str">
        <f t="shared" si="45"/>
        <v>Independent</v>
      </c>
      <c r="AJ630" s="2" t="str">
        <f t="shared" si="46"/>
        <v>NO</v>
      </c>
      <c r="AK630" s="1" t="str">
        <f t="shared" si="47"/>
        <v>Standard Balcony</v>
      </c>
      <c r="AL630" s="1" t="str">
        <f t="shared" si="48"/>
        <v>1 Toilet</v>
      </c>
      <c r="AM630" s="1" t="str">
        <f t="shared" si="49"/>
        <v>NO</v>
      </c>
      <c r="AN630" s="1" t="str">
        <f>VLOOKUP(J630, 'Regions and Cities'!A:B, 2, FALSE)</f>
        <v>Uusimaa</v>
      </c>
    </row>
    <row r="631" spans="1:40" x14ac:dyDescent="0.3">
      <c r="A631" t="s">
        <v>6670</v>
      </c>
      <c r="B631" t="s">
        <v>6671</v>
      </c>
      <c r="C631" t="s">
        <v>6672</v>
      </c>
      <c r="D631" t="s">
        <v>1946</v>
      </c>
      <c r="E631" t="s">
        <v>1947</v>
      </c>
      <c r="F631" t="s">
        <v>1948</v>
      </c>
      <c r="H631">
        <v>55</v>
      </c>
      <c r="I631" t="s">
        <v>4311</v>
      </c>
      <c r="J631" t="s">
        <v>137</v>
      </c>
      <c r="K631" t="s">
        <v>6673</v>
      </c>
      <c r="L631" t="s">
        <v>9389</v>
      </c>
      <c r="M631" t="s">
        <v>37</v>
      </c>
      <c r="N631" t="s">
        <v>9390</v>
      </c>
      <c r="O631" t="s">
        <v>9391</v>
      </c>
      <c r="R631" t="s">
        <v>37</v>
      </c>
      <c r="S631" t="s">
        <v>37</v>
      </c>
      <c r="T631">
        <v>60.191766999999999</v>
      </c>
      <c r="U631" t="s">
        <v>9392</v>
      </c>
      <c r="V631" t="s">
        <v>9393</v>
      </c>
      <c r="W631">
        <v>24.906034999999999</v>
      </c>
      <c r="X631">
        <v>298000</v>
      </c>
      <c r="Y631" t="s">
        <v>743</v>
      </c>
      <c r="AA631" t="s">
        <v>38</v>
      </c>
      <c r="AB631" t="s">
        <v>39</v>
      </c>
      <c r="AC631" t="s">
        <v>6510</v>
      </c>
      <c r="AD631" t="s">
        <v>40</v>
      </c>
      <c r="AE631" t="s">
        <v>9394</v>
      </c>
      <c r="AF631" t="s">
        <v>9395</v>
      </c>
      <c r="AG631" t="s">
        <v>9396</v>
      </c>
      <c r="AH631">
        <v>55</v>
      </c>
      <c r="AI631" s="2" t="str">
        <f t="shared" si="45"/>
        <v>Kitchenette</v>
      </c>
      <c r="AJ631" s="2" t="str">
        <f t="shared" si="46"/>
        <v>NO</v>
      </c>
      <c r="AK631" s="1" t="str">
        <f t="shared" si="47"/>
        <v>Standard Balcony</v>
      </c>
      <c r="AL631" s="1" t="str">
        <f t="shared" si="48"/>
        <v>1 Toilet</v>
      </c>
      <c r="AM631" s="1" t="str">
        <f t="shared" si="49"/>
        <v>NO</v>
      </c>
      <c r="AN631" s="1" t="str">
        <f>VLOOKUP(J631, 'Regions and Cities'!A:B, 2, FALSE)</f>
        <v>Uusimaa</v>
      </c>
    </row>
    <row r="632" spans="1:40" x14ac:dyDescent="0.3">
      <c r="A632" t="s">
        <v>467</v>
      </c>
      <c r="B632" t="s">
        <v>468</v>
      </c>
      <c r="C632" t="s">
        <v>469</v>
      </c>
      <c r="D632" t="s">
        <v>470</v>
      </c>
      <c r="E632" t="s">
        <v>471</v>
      </c>
      <c r="F632" t="s">
        <v>58</v>
      </c>
      <c r="H632">
        <v>177</v>
      </c>
      <c r="I632" t="s">
        <v>472</v>
      </c>
      <c r="J632" t="s">
        <v>137</v>
      </c>
      <c r="K632" t="s">
        <v>473</v>
      </c>
      <c r="L632" t="s">
        <v>474</v>
      </c>
      <c r="M632" t="s">
        <v>37</v>
      </c>
      <c r="N632" t="s">
        <v>475</v>
      </c>
      <c r="O632" t="s">
        <v>476</v>
      </c>
      <c r="R632" t="s">
        <v>37</v>
      </c>
      <c r="S632" t="s">
        <v>37</v>
      </c>
      <c r="T632">
        <v>60.270009999999999</v>
      </c>
      <c r="U632" t="s">
        <v>477</v>
      </c>
      <c r="V632" t="s">
        <v>478</v>
      </c>
      <c r="W632">
        <v>25.069520000000001</v>
      </c>
      <c r="X632">
        <v>387000</v>
      </c>
      <c r="Y632" t="s">
        <v>479</v>
      </c>
      <c r="AA632" t="s">
        <v>54</v>
      </c>
      <c r="AB632" t="s">
        <v>39</v>
      </c>
      <c r="AC632" t="s">
        <v>480</v>
      </c>
      <c r="AD632" t="s">
        <v>75</v>
      </c>
      <c r="AE632" t="s">
        <v>481</v>
      </c>
      <c r="AF632" t="s">
        <v>482</v>
      </c>
      <c r="AG632" t="s">
        <v>483</v>
      </c>
      <c r="AH632">
        <v>177</v>
      </c>
      <c r="AI632" s="2" t="str">
        <f t="shared" si="45"/>
        <v>Independent</v>
      </c>
      <c r="AJ632" s="2" t="str">
        <f t="shared" si="46"/>
        <v>NO</v>
      </c>
      <c r="AK632" s="1" t="str">
        <f t="shared" si="47"/>
        <v>None</v>
      </c>
      <c r="AL632" s="1" t="str">
        <f t="shared" si="48"/>
        <v>1 Toilet</v>
      </c>
      <c r="AM632" s="1" t="str">
        <f t="shared" si="49"/>
        <v>YES</v>
      </c>
      <c r="AN632" s="1" t="str">
        <f>VLOOKUP(J632, 'Regions and Cities'!A:B, 2, FALSE)</f>
        <v>Uusimaa</v>
      </c>
    </row>
    <row r="633" spans="1:40" x14ac:dyDescent="0.3">
      <c r="A633" t="s">
        <v>2592</v>
      </c>
      <c r="B633" t="s">
        <v>2593</v>
      </c>
      <c r="C633" t="s">
        <v>128</v>
      </c>
      <c r="D633" t="s">
        <v>938</v>
      </c>
      <c r="E633" t="s">
        <v>939</v>
      </c>
      <c r="F633" t="s">
        <v>187</v>
      </c>
      <c r="H633">
        <v>53</v>
      </c>
      <c r="I633" t="s">
        <v>2091</v>
      </c>
      <c r="J633" t="s">
        <v>130</v>
      </c>
      <c r="K633" t="s">
        <v>131</v>
      </c>
      <c r="L633" t="s">
        <v>2594</v>
      </c>
      <c r="M633" t="s">
        <v>37</v>
      </c>
      <c r="N633" t="s">
        <v>2595</v>
      </c>
      <c r="O633" t="s">
        <v>2596</v>
      </c>
      <c r="R633" t="s">
        <v>37</v>
      </c>
      <c r="S633" t="s">
        <v>37</v>
      </c>
      <c r="T633">
        <v>62.893470000000001</v>
      </c>
      <c r="U633" t="s">
        <v>2597</v>
      </c>
      <c r="V633" t="s">
        <v>2598</v>
      </c>
      <c r="W633">
        <v>27.680389999999999</v>
      </c>
      <c r="X633">
        <v>247000</v>
      </c>
      <c r="Y633" t="s">
        <v>2599</v>
      </c>
      <c r="AA633" t="s">
        <v>38</v>
      </c>
      <c r="AB633" t="s">
        <v>39</v>
      </c>
      <c r="AC633" t="s">
        <v>480</v>
      </c>
      <c r="AD633" t="s">
        <v>40</v>
      </c>
      <c r="AE633" t="s">
        <v>41</v>
      </c>
      <c r="AF633" t="s">
        <v>2600</v>
      </c>
      <c r="AG633" t="s">
        <v>2601</v>
      </c>
      <c r="AH633">
        <v>53</v>
      </c>
      <c r="AI633" s="2" t="str">
        <f t="shared" si="45"/>
        <v>Open</v>
      </c>
      <c r="AJ633" s="2" t="str">
        <f t="shared" si="46"/>
        <v>YES</v>
      </c>
      <c r="AK633" s="1" t="str">
        <f t="shared" si="47"/>
        <v>None</v>
      </c>
      <c r="AL633" s="1" t="str">
        <f t="shared" si="48"/>
        <v>1 Toilet</v>
      </c>
      <c r="AM633" s="1" t="str">
        <f t="shared" si="49"/>
        <v>NO</v>
      </c>
      <c r="AN633" s="1" t="str">
        <f>VLOOKUP(J633, 'Regions and Cities'!A:B, 2, FALSE)</f>
        <v>Pohjois-Savo</v>
      </c>
    </row>
    <row r="634" spans="1:40" x14ac:dyDescent="0.3">
      <c r="A634" t="s">
        <v>5125</v>
      </c>
      <c r="B634" t="s">
        <v>5126</v>
      </c>
      <c r="C634" t="s">
        <v>1794</v>
      </c>
      <c r="D634" t="s">
        <v>5127</v>
      </c>
      <c r="E634" t="s">
        <v>5128</v>
      </c>
      <c r="F634" t="s">
        <v>105</v>
      </c>
      <c r="G634" t="s">
        <v>5129</v>
      </c>
      <c r="H634">
        <v>32</v>
      </c>
      <c r="I634" t="s">
        <v>189</v>
      </c>
      <c r="J634" t="s">
        <v>139</v>
      </c>
      <c r="K634" t="s">
        <v>131</v>
      </c>
      <c r="L634" t="s">
        <v>5130</v>
      </c>
      <c r="M634" t="s">
        <v>37</v>
      </c>
      <c r="N634" t="s">
        <v>5131</v>
      </c>
      <c r="O634" t="s">
        <v>5132</v>
      </c>
      <c r="P634" t="s">
        <v>5133</v>
      </c>
      <c r="Q634" t="s">
        <v>5134</v>
      </c>
      <c r="R634" t="s">
        <v>37</v>
      </c>
      <c r="S634" t="s">
        <v>37</v>
      </c>
      <c r="T634">
        <v>61.496271999999998</v>
      </c>
      <c r="U634" t="s">
        <v>5135</v>
      </c>
      <c r="V634" t="s">
        <v>5136</v>
      </c>
      <c r="W634">
        <v>23.770572000000001</v>
      </c>
      <c r="X634">
        <v>250000</v>
      </c>
      <c r="Y634" t="s">
        <v>5137</v>
      </c>
      <c r="AA634" t="s">
        <v>38</v>
      </c>
      <c r="AB634" t="s">
        <v>39</v>
      </c>
      <c r="AC634" t="s">
        <v>480</v>
      </c>
      <c r="AD634" t="s">
        <v>202</v>
      </c>
      <c r="AE634" t="s">
        <v>5138</v>
      </c>
      <c r="AF634" t="s">
        <v>5139</v>
      </c>
      <c r="AG634" t="s">
        <v>5140</v>
      </c>
      <c r="AH634"/>
      <c r="AI634" s="2" t="str">
        <f t="shared" si="45"/>
        <v>Open</v>
      </c>
      <c r="AJ634" s="2" t="str">
        <f t="shared" si="46"/>
        <v>NO</v>
      </c>
      <c r="AK634" s="1" t="str">
        <f t="shared" si="47"/>
        <v>None</v>
      </c>
      <c r="AL634" s="1" t="str">
        <f t="shared" si="48"/>
        <v>1 Toilet</v>
      </c>
      <c r="AM634" s="1" t="str">
        <f t="shared" si="49"/>
        <v>NO</v>
      </c>
      <c r="AN634" s="1" t="str">
        <f>VLOOKUP(J634, 'Regions and Cities'!A:B, 2, FALSE)</f>
        <v>Pirkanmaa</v>
      </c>
    </row>
    <row r="635" spans="1:40" x14ac:dyDescent="0.3">
      <c r="A635" t="s">
        <v>447</v>
      </c>
      <c r="B635" t="s">
        <v>448</v>
      </c>
      <c r="C635" t="s">
        <v>449</v>
      </c>
      <c r="D635" t="s">
        <v>450</v>
      </c>
      <c r="E635" t="s">
        <v>451</v>
      </c>
      <c r="F635" t="s">
        <v>452</v>
      </c>
      <c r="G635" t="s">
        <v>453</v>
      </c>
      <c r="H635">
        <v>201</v>
      </c>
      <c r="I635" t="s">
        <v>454</v>
      </c>
      <c r="J635" t="s">
        <v>110</v>
      </c>
      <c r="K635" t="s">
        <v>455</v>
      </c>
      <c r="L635" t="s">
        <v>456</v>
      </c>
      <c r="M635" t="s">
        <v>37</v>
      </c>
      <c r="N635" t="s">
        <v>457</v>
      </c>
      <c r="O635" t="s">
        <v>458</v>
      </c>
      <c r="P635" t="s">
        <v>459</v>
      </c>
      <c r="R635" t="s">
        <v>37</v>
      </c>
      <c r="S635" t="s">
        <v>37</v>
      </c>
      <c r="T635">
        <v>60.407091999999999</v>
      </c>
      <c r="U635" t="s">
        <v>460</v>
      </c>
      <c r="V635" t="s">
        <v>461</v>
      </c>
      <c r="W635">
        <v>22.215454999999999</v>
      </c>
      <c r="X635">
        <v>498000</v>
      </c>
      <c r="Y635" t="s">
        <v>462</v>
      </c>
      <c r="AA635" t="s">
        <v>63</v>
      </c>
      <c r="AB635" t="s">
        <v>39</v>
      </c>
      <c r="AC635" t="s">
        <v>463</v>
      </c>
      <c r="AD635" t="s">
        <v>64</v>
      </c>
      <c r="AE635" t="s">
        <v>464</v>
      </c>
      <c r="AF635" t="s">
        <v>465</v>
      </c>
      <c r="AG635" t="s">
        <v>466</v>
      </c>
      <c r="AH635">
        <v>213</v>
      </c>
      <c r="AI635" s="2" t="str">
        <f t="shared" si="45"/>
        <v>Independent</v>
      </c>
      <c r="AJ635" s="2" t="str">
        <f t="shared" si="46"/>
        <v>YES</v>
      </c>
      <c r="AK635" s="1" t="str">
        <f t="shared" si="47"/>
        <v>None</v>
      </c>
      <c r="AL635" s="1" t="str">
        <f t="shared" si="48"/>
        <v>1 Toilet</v>
      </c>
      <c r="AM635" s="1" t="str">
        <f t="shared" si="49"/>
        <v>YES</v>
      </c>
      <c r="AN635" s="1" t="str">
        <f>VLOOKUP(J635, 'Regions and Cities'!A:B, 2, FALSE)</f>
        <v>Varsinais-Suomi</v>
      </c>
    </row>
    <row r="636" spans="1:40" x14ac:dyDescent="0.3">
      <c r="A636" t="s">
        <v>7838</v>
      </c>
      <c r="B636" t="s">
        <v>7839</v>
      </c>
      <c r="C636" t="s">
        <v>7840</v>
      </c>
      <c r="D636" t="s">
        <v>690</v>
      </c>
      <c r="E636" t="s">
        <v>691</v>
      </c>
      <c r="H636">
        <v>191</v>
      </c>
      <c r="I636" t="s">
        <v>4114</v>
      </c>
      <c r="J636" t="s">
        <v>265</v>
      </c>
      <c r="K636" t="s">
        <v>7841</v>
      </c>
      <c r="L636" t="s">
        <v>7842</v>
      </c>
      <c r="M636" t="s">
        <v>37</v>
      </c>
      <c r="N636" t="s">
        <v>7843</v>
      </c>
      <c r="O636" t="s">
        <v>7844</v>
      </c>
      <c r="R636" t="s">
        <v>37</v>
      </c>
      <c r="S636" t="s">
        <v>37</v>
      </c>
      <c r="T636">
        <v>64.955639000000005</v>
      </c>
      <c r="U636" t="s">
        <v>7845</v>
      </c>
      <c r="V636" t="s">
        <v>7846</v>
      </c>
      <c r="W636">
        <v>25.547052999999998</v>
      </c>
      <c r="X636">
        <v>328000</v>
      </c>
      <c r="Y636" t="s">
        <v>7847</v>
      </c>
      <c r="AA636" t="s">
        <v>63</v>
      </c>
      <c r="AB636" t="s">
        <v>39</v>
      </c>
      <c r="AC636" t="s">
        <v>6510</v>
      </c>
      <c r="AD636" t="s">
        <v>64</v>
      </c>
      <c r="AE636" t="s">
        <v>7848</v>
      </c>
      <c r="AF636" t="s">
        <v>7849</v>
      </c>
      <c r="AG636" t="s">
        <v>7850</v>
      </c>
      <c r="AH636">
        <v>191</v>
      </c>
      <c r="AI636" s="2" t="str">
        <f t="shared" si="45"/>
        <v>Independent</v>
      </c>
      <c r="AJ636" s="2" t="str">
        <f t="shared" si="46"/>
        <v>NO</v>
      </c>
      <c r="AK636" s="1" t="str">
        <f t="shared" si="47"/>
        <v>None</v>
      </c>
      <c r="AL636" s="1" t="str">
        <f t="shared" si="48"/>
        <v>1 Toilet</v>
      </c>
      <c r="AM636" s="1" t="str">
        <f t="shared" si="49"/>
        <v>NO</v>
      </c>
      <c r="AN636" s="1" t="str">
        <f>VLOOKUP(J636, 'Regions and Cities'!A:B, 2, FALSE)</f>
        <v>Pohjois-Pohjanmaa</v>
      </c>
    </row>
    <row r="637" spans="1:40" x14ac:dyDescent="0.3">
      <c r="A637" t="s">
        <v>1263</v>
      </c>
      <c r="B637" t="s">
        <v>1264</v>
      </c>
      <c r="C637" t="s">
        <v>1265</v>
      </c>
      <c r="D637" t="s">
        <v>552</v>
      </c>
      <c r="E637" t="s">
        <v>553</v>
      </c>
      <c r="F637" t="s">
        <v>554</v>
      </c>
      <c r="G637" t="s">
        <v>1179</v>
      </c>
      <c r="H637">
        <v>75</v>
      </c>
      <c r="I637" t="s">
        <v>100</v>
      </c>
      <c r="J637" t="s">
        <v>360</v>
      </c>
      <c r="K637" t="s">
        <v>1266</v>
      </c>
      <c r="L637" t="s">
        <v>1267</v>
      </c>
      <c r="M637" t="s">
        <v>37</v>
      </c>
      <c r="N637" t="s">
        <v>1268</v>
      </c>
      <c r="O637" t="s">
        <v>1269</v>
      </c>
      <c r="P637" t="s">
        <v>1270</v>
      </c>
      <c r="R637" t="s">
        <v>37</v>
      </c>
      <c r="S637" t="s">
        <v>37</v>
      </c>
      <c r="T637">
        <v>66.513810000000007</v>
      </c>
      <c r="U637" t="s">
        <v>1271</v>
      </c>
      <c r="V637" t="s">
        <v>1272</v>
      </c>
      <c r="W637">
        <v>27.24736</v>
      </c>
      <c r="X637">
        <v>48750</v>
      </c>
      <c r="Y637" t="s">
        <v>1273</v>
      </c>
      <c r="AA637" t="s">
        <v>45</v>
      </c>
      <c r="AB637" t="s">
        <v>39</v>
      </c>
      <c r="AC637" t="s">
        <v>480</v>
      </c>
      <c r="AD637" t="s">
        <v>46</v>
      </c>
      <c r="AE637" t="s">
        <v>1274</v>
      </c>
      <c r="AF637" t="s">
        <v>1275</v>
      </c>
      <c r="AG637" t="s">
        <v>1276</v>
      </c>
      <c r="AH637">
        <v>75</v>
      </c>
      <c r="AI637" s="2" t="str">
        <f t="shared" si="45"/>
        <v>Independent</v>
      </c>
      <c r="AJ637" s="2" t="str">
        <f t="shared" si="46"/>
        <v>NO</v>
      </c>
      <c r="AK637" s="1" t="str">
        <f t="shared" si="47"/>
        <v>Terrace</v>
      </c>
      <c r="AL637" s="1" t="str">
        <f t="shared" si="48"/>
        <v>1 Toilet</v>
      </c>
      <c r="AM637" s="1" t="str">
        <f t="shared" si="49"/>
        <v>NO</v>
      </c>
      <c r="AN637" s="1" t="str">
        <f>VLOOKUP(J637, 'Regions and Cities'!A:B, 2, FALSE)</f>
        <v>Lappi</v>
      </c>
    </row>
    <row r="638" spans="1:40" x14ac:dyDescent="0.3">
      <c r="A638" t="s">
        <v>5275</v>
      </c>
      <c r="B638" t="s">
        <v>5276</v>
      </c>
      <c r="C638" t="s">
        <v>5277</v>
      </c>
      <c r="D638" t="s">
        <v>5278</v>
      </c>
      <c r="E638" t="s">
        <v>5279</v>
      </c>
      <c r="F638" t="s">
        <v>5280</v>
      </c>
      <c r="H638">
        <v>105</v>
      </c>
      <c r="I638" t="s">
        <v>106</v>
      </c>
      <c r="J638" t="s">
        <v>412</v>
      </c>
      <c r="K638" t="s">
        <v>5281</v>
      </c>
      <c r="L638" t="s">
        <v>5282</v>
      </c>
      <c r="M638" t="s">
        <v>37</v>
      </c>
      <c r="N638" t="s">
        <v>5283</v>
      </c>
      <c r="O638" t="s">
        <v>5284</v>
      </c>
      <c r="R638" t="s">
        <v>37</v>
      </c>
      <c r="S638" t="s">
        <v>37</v>
      </c>
      <c r="T638">
        <v>63.798952999999997</v>
      </c>
      <c r="U638" t="s">
        <v>5285</v>
      </c>
      <c r="V638" t="s">
        <v>5286</v>
      </c>
      <c r="W638">
        <v>23.898841999999998</v>
      </c>
      <c r="X638">
        <v>55250</v>
      </c>
      <c r="Y638" t="s">
        <v>5287</v>
      </c>
      <c r="AA638" t="s">
        <v>63</v>
      </c>
      <c r="AB638" t="s">
        <v>39</v>
      </c>
      <c r="AC638" t="s">
        <v>5288</v>
      </c>
      <c r="AD638" t="s">
        <v>64</v>
      </c>
      <c r="AE638" t="s">
        <v>5289</v>
      </c>
      <c r="AF638" t="s">
        <v>5290</v>
      </c>
      <c r="AG638" t="s">
        <v>5291</v>
      </c>
      <c r="AH638">
        <v>159</v>
      </c>
      <c r="AI638" s="2" t="str">
        <f t="shared" si="45"/>
        <v>Independent</v>
      </c>
      <c r="AJ638" s="2" t="str">
        <f t="shared" si="46"/>
        <v>YES</v>
      </c>
      <c r="AK638" s="1" t="str">
        <f t="shared" si="47"/>
        <v>None</v>
      </c>
      <c r="AL638" s="1" t="str">
        <f t="shared" si="48"/>
        <v>1 Toilet</v>
      </c>
      <c r="AM638" s="1" t="str">
        <f t="shared" si="49"/>
        <v>NO</v>
      </c>
      <c r="AN638" s="1" t="str">
        <f>VLOOKUP(J638, 'Regions and Cities'!A:B, 2, FALSE)</f>
        <v>Keski-Pohjanmaa</v>
      </c>
    </row>
    <row r="639" spans="1:40" x14ac:dyDescent="0.3">
      <c r="A639" t="s">
        <v>1162</v>
      </c>
      <c r="B639" t="s">
        <v>1163</v>
      </c>
      <c r="C639" t="s">
        <v>1164</v>
      </c>
      <c r="D639" t="s">
        <v>1165</v>
      </c>
      <c r="E639" t="s">
        <v>1166</v>
      </c>
      <c r="F639" t="s">
        <v>105</v>
      </c>
      <c r="H639">
        <v>73</v>
      </c>
      <c r="I639" t="s">
        <v>43</v>
      </c>
      <c r="J639" t="s">
        <v>358</v>
      </c>
      <c r="K639" t="s">
        <v>131</v>
      </c>
      <c r="L639" t="s">
        <v>1167</v>
      </c>
      <c r="M639" t="s">
        <v>37</v>
      </c>
      <c r="N639" t="s">
        <v>1168</v>
      </c>
      <c r="O639" t="s">
        <v>1169</v>
      </c>
      <c r="R639" t="s">
        <v>37</v>
      </c>
      <c r="S639" t="s">
        <v>37</v>
      </c>
      <c r="T639">
        <v>61.269365999999998</v>
      </c>
      <c r="U639" t="s">
        <v>1170</v>
      </c>
      <c r="V639" t="s">
        <v>1171</v>
      </c>
      <c r="W639">
        <v>24.029333000000001</v>
      </c>
      <c r="X639">
        <v>149000</v>
      </c>
      <c r="Y639" t="s">
        <v>261</v>
      </c>
      <c r="AA639" t="s">
        <v>38</v>
      </c>
      <c r="AB639" t="s">
        <v>39</v>
      </c>
      <c r="AC639" t="s">
        <v>1172</v>
      </c>
      <c r="AD639" t="s">
        <v>46</v>
      </c>
      <c r="AE639" t="s">
        <v>1173</v>
      </c>
      <c r="AF639" t="s">
        <v>1174</v>
      </c>
      <c r="AG639" t="s">
        <v>1175</v>
      </c>
      <c r="AH639"/>
      <c r="AI639" s="2" t="str">
        <f t="shared" si="45"/>
        <v>Independent</v>
      </c>
      <c r="AJ639" s="2" t="str">
        <f t="shared" si="46"/>
        <v>NO</v>
      </c>
      <c r="AK639" s="1" t="str">
        <f t="shared" si="47"/>
        <v>Glazed Balcony</v>
      </c>
      <c r="AL639" s="1" t="str">
        <f t="shared" si="48"/>
        <v>1 Toilet</v>
      </c>
      <c r="AM639" s="1" t="str">
        <f t="shared" si="49"/>
        <v>NO</v>
      </c>
      <c r="AN639" s="1" t="str">
        <f>VLOOKUP(J639, 'Regions and Cities'!A:B, 2, FALSE)</f>
        <v>Pirkanmaa</v>
      </c>
    </row>
    <row r="640" spans="1:40" x14ac:dyDescent="0.3">
      <c r="A640" t="s">
        <v>5978</v>
      </c>
      <c r="B640" t="s">
        <v>5979</v>
      </c>
      <c r="C640" t="s">
        <v>5980</v>
      </c>
      <c r="D640" t="s">
        <v>1946</v>
      </c>
      <c r="E640" t="s">
        <v>1947</v>
      </c>
      <c r="F640" t="s">
        <v>1948</v>
      </c>
      <c r="H640">
        <v>31</v>
      </c>
      <c r="I640" t="s">
        <v>235</v>
      </c>
      <c r="J640" t="s">
        <v>137</v>
      </c>
      <c r="K640" t="s">
        <v>5981</v>
      </c>
      <c r="L640" t="s">
        <v>5982</v>
      </c>
      <c r="M640" t="s">
        <v>37</v>
      </c>
      <c r="N640" t="s">
        <v>5983</v>
      </c>
      <c r="O640" t="s">
        <v>5984</v>
      </c>
      <c r="R640" t="s">
        <v>37</v>
      </c>
      <c r="S640" t="s">
        <v>37</v>
      </c>
      <c r="T640">
        <v>60.208885000000002</v>
      </c>
      <c r="U640" t="s">
        <v>5985</v>
      </c>
      <c r="V640" t="s">
        <v>5986</v>
      </c>
      <c r="W640">
        <v>24.866772999999998</v>
      </c>
      <c r="X640">
        <v>139000</v>
      </c>
      <c r="Y640" t="s">
        <v>74</v>
      </c>
      <c r="AA640" t="s">
        <v>38</v>
      </c>
      <c r="AB640" t="s">
        <v>39</v>
      </c>
      <c r="AC640" t="s">
        <v>480</v>
      </c>
      <c r="AD640" t="s">
        <v>202</v>
      </c>
      <c r="AE640" t="s">
        <v>5987</v>
      </c>
      <c r="AF640" t="s">
        <v>5988</v>
      </c>
      <c r="AG640" t="s">
        <v>5989</v>
      </c>
      <c r="AH640">
        <v>31</v>
      </c>
      <c r="AI640" s="2" t="str">
        <f t="shared" si="45"/>
        <v>Kitchenette</v>
      </c>
      <c r="AJ640" s="2" t="str">
        <f t="shared" si="46"/>
        <v>NO</v>
      </c>
      <c r="AK640" s="1" t="str">
        <f t="shared" si="47"/>
        <v>Standard Balcony</v>
      </c>
      <c r="AL640" s="1" t="str">
        <f t="shared" si="48"/>
        <v>1 Toilet</v>
      </c>
      <c r="AM640" s="1" t="str">
        <f t="shared" si="49"/>
        <v>NO</v>
      </c>
      <c r="AN640" s="1" t="str">
        <f>VLOOKUP(J640, 'Regions and Cities'!A:B, 2, FALSE)</f>
        <v>Uusimaa</v>
      </c>
    </row>
    <row r="641" spans="1:40" x14ac:dyDescent="0.3">
      <c r="A641" t="s">
        <v>7137</v>
      </c>
      <c r="B641" t="s">
        <v>7138</v>
      </c>
      <c r="C641" t="s">
        <v>7139</v>
      </c>
      <c r="D641" t="s">
        <v>7140</v>
      </c>
      <c r="E641" t="s">
        <v>7141</v>
      </c>
      <c r="F641" t="s">
        <v>70</v>
      </c>
      <c r="G641" t="s">
        <v>7142</v>
      </c>
      <c r="H641">
        <v>107.5</v>
      </c>
      <c r="I641" t="s">
        <v>1310</v>
      </c>
      <c r="J641" t="s">
        <v>137</v>
      </c>
      <c r="K641" t="s">
        <v>7143</v>
      </c>
      <c r="L641" t="s">
        <v>7144</v>
      </c>
      <c r="M641" t="s">
        <v>37</v>
      </c>
      <c r="N641" t="s">
        <v>7145</v>
      </c>
      <c r="O641" t="s">
        <v>7146</v>
      </c>
      <c r="P641" t="s">
        <v>7147</v>
      </c>
      <c r="R641" t="s">
        <v>111</v>
      </c>
      <c r="S641" t="s">
        <v>37</v>
      </c>
      <c r="T641">
        <v>60.279029999999999</v>
      </c>
      <c r="U641" t="s">
        <v>7148</v>
      </c>
      <c r="V641" t="s">
        <v>7149</v>
      </c>
      <c r="W641">
        <v>25.019859</v>
      </c>
      <c r="X641">
        <v>530000</v>
      </c>
      <c r="Y641" t="s">
        <v>7150</v>
      </c>
      <c r="AA641" t="s">
        <v>63</v>
      </c>
      <c r="AB641" t="s">
        <v>39</v>
      </c>
      <c r="AC641" t="s">
        <v>7151</v>
      </c>
      <c r="AD641" t="s">
        <v>75</v>
      </c>
      <c r="AE641" t="s">
        <v>7152</v>
      </c>
      <c r="AF641" t="s">
        <v>7153</v>
      </c>
      <c r="AG641" t="s">
        <v>7154</v>
      </c>
      <c r="AH641">
        <v>107.5</v>
      </c>
      <c r="AI641" s="2" t="str">
        <f t="shared" si="45"/>
        <v>Independent</v>
      </c>
      <c r="AJ641" s="2" t="str">
        <f t="shared" si="46"/>
        <v>YES</v>
      </c>
      <c r="AK641" s="1" t="str">
        <f t="shared" si="47"/>
        <v>None</v>
      </c>
      <c r="AL641" s="1" t="str">
        <f t="shared" si="48"/>
        <v>2 Toilets</v>
      </c>
      <c r="AM641" s="1" t="str">
        <f t="shared" si="49"/>
        <v>YES</v>
      </c>
      <c r="AN641" s="1" t="str">
        <f>VLOOKUP(J641, 'Regions and Cities'!A:B, 2, FALSE)</f>
        <v>Uusimaa</v>
      </c>
    </row>
    <row r="642" spans="1:40" x14ac:dyDescent="0.3">
      <c r="A642" t="s">
        <v>5625</v>
      </c>
      <c r="B642" t="s">
        <v>5626</v>
      </c>
      <c r="C642" t="s">
        <v>5627</v>
      </c>
      <c r="D642" t="s">
        <v>5380</v>
      </c>
      <c r="E642" t="s">
        <v>5381</v>
      </c>
      <c r="H642">
        <v>61.5</v>
      </c>
      <c r="I642" t="s">
        <v>51</v>
      </c>
      <c r="J642" t="s">
        <v>350</v>
      </c>
      <c r="K642" t="s">
        <v>5628</v>
      </c>
      <c r="L642" t="s">
        <v>5629</v>
      </c>
      <c r="M642" t="s">
        <v>37</v>
      </c>
      <c r="N642" t="s">
        <v>5630</v>
      </c>
      <c r="O642" t="s">
        <v>5631</v>
      </c>
      <c r="R642" t="s">
        <v>37</v>
      </c>
      <c r="S642" t="s">
        <v>37</v>
      </c>
      <c r="T642">
        <v>62.540875</v>
      </c>
      <c r="U642" t="s">
        <v>5632</v>
      </c>
      <c r="V642" t="s">
        <v>5633</v>
      </c>
      <c r="W642">
        <v>29.843173</v>
      </c>
      <c r="X642">
        <v>132000</v>
      </c>
      <c r="Y642" t="s">
        <v>242</v>
      </c>
      <c r="AA642" t="s">
        <v>38</v>
      </c>
      <c r="AB642" t="s">
        <v>39</v>
      </c>
      <c r="AC642" t="s">
        <v>5032</v>
      </c>
      <c r="AD642" t="s">
        <v>40</v>
      </c>
      <c r="AE642" t="s">
        <v>165</v>
      </c>
      <c r="AF642" t="s">
        <v>5634</v>
      </c>
      <c r="AG642" t="s">
        <v>5635</v>
      </c>
      <c r="AH642">
        <v>61.5</v>
      </c>
      <c r="AI642" s="2" t="str">
        <f t="shared" ref="AI642:AI703" si="50">IF(AE642="", "no info", IF(OR(ISNUMBER(SEARCH("kt", AE642)), ISNUMBER(SEARCH("avokeittiö", AE642))), "Open", IF(ISNUMBER(SEARCH("kk", AE642)), "Kitchenette", "Independent")))</f>
        <v>Independent</v>
      </c>
      <c r="AJ642" s="2" t="str">
        <f t="shared" ref="AJ642:AJ703" si="51">IF(AE642="", "no info", IF(OR(ISNUMBER(SEARCH(" s ", AE642)), ISNUMBER(SEARCH("sauna", AE642)), ISNUMBER(SEARCH("+ s", AE642))), "YES", "NO"))</f>
        <v>YES</v>
      </c>
      <c r="AK642" s="1" t="str">
        <f t="shared" ref="AK642:AK703" si="52">IF(AE642="", "no info", IF(OR(ISNUMBER(SEARCH("las.p", AE642)), ISNUMBER(SEARCH("lasitettu", AE642))), "Glazed Balcony", IF(OR(ISNUMBER(SEARCH(" p ", AE642)), ISNUMBER(SEARCH("parveke", AE642))), "Standard Balcony", IF(OR(ISNUMBER(SEARCH("terassi", AE642)), ISNUMBER(SEARCH("kuisti", AE642))), "Terrace", "None"))))</f>
        <v>None</v>
      </c>
      <c r="AL642" s="1" t="str">
        <f t="shared" ref="AL642:AL703" si="53">IF(AE642="", "no info", IF(OR(ISNUMBER(SEARCH("2wc", AE642)), ISNUMBER(SEARCH("2xwc", AE642))), "2 Toilets", "1 Toilet"))</f>
        <v>1 Toilet</v>
      </c>
      <c r="AM642" s="1" t="str">
        <f t="shared" ref="AM642:AM703" si="54">IF(AE642="", "no info", IF(OR(ISNUMBER(SEARCH("vh", AE642)), ISNUMBER(SEARCH("var", AE642))), "YES", "NO"))</f>
        <v>NO</v>
      </c>
      <c r="AN642" s="1" t="str">
        <f>VLOOKUP(J642, 'Regions and Cities'!A:B, 2, FALSE)</f>
        <v>Pohjois-Karjala</v>
      </c>
    </row>
    <row r="643" spans="1:40" x14ac:dyDescent="0.3">
      <c r="A643" t="s">
        <v>9376</v>
      </c>
      <c r="B643" t="s">
        <v>9377</v>
      </c>
      <c r="C643" t="s">
        <v>9378</v>
      </c>
      <c r="D643" t="s">
        <v>6036</v>
      </c>
      <c r="E643" t="s">
        <v>6037</v>
      </c>
      <c r="F643" t="s">
        <v>105</v>
      </c>
      <c r="H643">
        <v>76</v>
      </c>
      <c r="I643" t="s">
        <v>298</v>
      </c>
      <c r="J643" t="s">
        <v>137</v>
      </c>
      <c r="K643" t="s">
        <v>9379</v>
      </c>
      <c r="L643" t="s">
        <v>9380</v>
      </c>
      <c r="M643" t="s">
        <v>37</v>
      </c>
      <c r="N643" t="s">
        <v>9381</v>
      </c>
      <c r="O643" t="s">
        <v>9382</v>
      </c>
      <c r="R643" t="s">
        <v>37</v>
      </c>
      <c r="S643" t="s">
        <v>37</v>
      </c>
      <c r="T643">
        <v>60.168695999999997</v>
      </c>
      <c r="U643" t="s">
        <v>9383</v>
      </c>
      <c r="V643" t="s">
        <v>9384</v>
      </c>
      <c r="W643">
        <v>24.932233</v>
      </c>
      <c r="X643">
        <v>1136000</v>
      </c>
      <c r="Y643" t="s">
        <v>9385</v>
      </c>
      <c r="AA643" t="s">
        <v>38</v>
      </c>
      <c r="AB643" t="s">
        <v>39</v>
      </c>
      <c r="AC643" t="s">
        <v>6510</v>
      </c>
      <c r="AD643" t="s">
        <v>46</v>
      </c>
      <c r="AE643" t="s">
        <v>9386</v>
      </c>
      <c r="AF643" t="s">
        <v>9387</v>
      </c>
      <c r="AG643" t="s">
        <v>9388</v>
      </c>
      <c r="AH643">
        <v>76</v>
      </c>
      <c r="AI643" s="2" t="str">
        <f t="shared" si="50"/>
        <v>Independent</v>
      </c>
      <c r="AJ643" s="2" t="str">
        <f t="shared" si="51"/>
        <v>YES</v>
      </c>
      <c r="AK643" s="1" t="str">
        <f t="shared" si="52"/>
        <v>Glazed Balcony</v>
      </c>
      <c r="AL643" s="1" t="str">
        <f t="shared" si="53"/>
        <v>1 Toilet</v>
      </c>
      <c r="AM643" s="1" t="str">
        <f t="shared" si="54"/>
        <v>YES</v>
      </c>
      <c r="AN643" s="1" t="str">
        <f>VLOOKUP(J643, 'Regions and Cities'!A:B, 2, FALSE)</f>
        <v>Uusimaa</v>
      </c>
    </row>
    <row r="644" spans="1:40" x14ac:dyDescent="0.3">
      <c r="A644" t="s">
        <v>673</v>
      </c>
      <c r="B644" t="s">
        <v>674</v>
      </c>
      <c r="C644" t="s">
        <v>306</v>
      </c>
      <c r="D644" t="s">
        <v>84</v>
      </c>
      <c r="E644" t="s">
        <v>85</v>
      </c>
      <c r="F644" t="s">
        <v>79</v>
      </c>
      <c r="G644" t="s">
        <v>675</v>
      </c>
      <c r="H644">
        <v>41</v>
      </c>
      <c r="I644" t="s">
        <v>100</v>
      </c>
      <c r="J644" t="s">
        <v>110</v>
      </c>
      <c r="K644" t="s">
        <v>131</v>
      </c>
      <c r="L644" t="s">
        <v>676</v>
      </c>
      <c r="M644" t="s">
        <v>37</v>
      </c>
      <c r="N644" t="s">
        <v>677</v>
      </c>
      <c r="O644" t="s">
        <v>678</v>
      </c>
      <c r="P644" t="s">
        <v>679</v>
      </c>
      <c r="R644" t="s">
        <v>37</v>
      </c>
      <c r="S644" t="s">
        <v>37</v>
      </c>
      <c r="T644">
        <v>60.450031000000003</v>
      </c>
      <c r="U644" t="s">
        <v>680</v>
      </c>
      <c r="V644" t="s">
        <v>681</v>
      </c>
      <c r="W644">
        <v>22.278981999999999</v>
      </c>
      <c r="X644">
        <v>163000</v>
      </c>
      <c r="Y644" t="s">
        <v>682</v>
      </c>
      <c r="AA644" t="s">
        <v>38</v>
      </c>
      <c r="AB644" t="s">
        <v>39</v>
      </c>
      <c r="AC644" t="s">
        <v>683</v>
      </c>
      <c r="AD644" t="s">
        <v>40</v>
      </c>
      <c r="AE644" t="s">
        <v>684</v>
      </c>
      <c r="AF644" t="s">
        <v>685</v>
      </c>
      <c r="AG644" t="s">
        <v>686</v>
      </c>
      <c r="AH644">
        <v>41</v>
      </c>
      <c r="AI644" s="2" t="str">
        <f t="shared" si="50"/>
        <v>Kitchenette</v>
      </c>
      <c r="AJ644" s="2" t="str">
        <f t="shared" si="51"/>
        <v>YES</v>
      </c>
      <c r="AK644" s="1" t="str">
        <f t="shared" si="52"/>
        <v>None</v>
      </c>
      <c r="AL644" s="1" t="str">
        <f t="shared" si="53"/>
        <v>1 Toilet</v>
      </c>
      <c r="AM644" s="1" t="str">
        <f t="shared" si="54"/>
        <v>NO</v>
      </c>
      <c r="AN644" s="1" t="str">
        <f>VLOOKUP(J644, 'Regions and Cities'!A:B, 2, FALSE)</f>
        <v>Varsinais-Suomi</v>
      </c>
    </row>
    <row r="645" spans="1:40" x14ac:dyDescent="0.3">
      <c r="A645" t="s">
        <v>6772</v>
      </c>
      <c r="B645" t="s">
        <v>6773</v>
      </c>
      <c r="C645" t="s">
        <v>76</v>
      </c>
      <c r="D645" t="s">
        <v>68</v>
      </c>
      <c r="E645" t="s">
        <v>69</v>
      </c>
      <c r="F645" t="s">
        <v>70</v>
      </c>
      <c r="G645" t="s">
        <v>6774</v>
      </c>
      <c r="H645">
        <v>186.2</v>
      </c>
      <c r="I645" t="s">
        <v>6775</v>
      </c>
      <c r="J645" t="s">
        <v>73</v>
      </c>
      <c r="K645" t="s">
        <v>82</v>
      </c>
      <c r="L645" t="s">
        <v>6776</v>
      </c>
      <c r="M645" t="s">
        <v>37</v>
      </c>
      <c r="N645" t="s">
        <v>6777</v>
      </c>
      <c r="O645" t="s">
        <v>6778</v>
      </c>
      <c r="P645" t="s">
        <v>6779</v>
      </c>
      <c r="R645" t="s">
        <v>37</v>
      </c>
      <c r="S645" t="s">
        <v>37</v>
      </c>
      <c r="T645">
        <v>62.379202999999997</v>
      </c>
      <c r="U645" t="s">
        <v>6780</v>
      </c>
      <c r="V645" t="s">
        <v>6781</v>
      </c>
      <c r="W645">
        <v>25.670862</v>
      </c>
      <c r="X645">
        <v>279000</v>
      </c>
      <c r="Y645" t="s">
        <v>1455</v>
      </c>
      <c r="AA645" t="s">
        <v>63</v>
      </c>
      <c r="AB645" t="s">
        <v>39</v>
      </c>
      <c r="AC645" t="s">
        <v>6510</v>
      </c>
      <c r="AD645" t="s">
        <v>64</v>
      </c>
      <c r="AE645" t="s">
        <v>6782</v>
      </c>
      <c r="AF645" t="s">
        <v>6783</v>
      </c>
      <c r="AG645" t="s">
        <v>6784</v>
      </c>
      <c r="AH645">
        <v>226.2</v>
      </c>
      <c r="AI645" s="2" t="str">
        <f t="shared" si="50"/>
        <v>Independent</v>
      </c>
      <c r="AJ645" s="2" t="str">
        <f t="shared" si="51"/>
        <v>NO</v>
      </c>
      <c r="AK645" s="1" t="str">
        <f t="shared" si="52"/>
        <v>None</v>
      </c>
      <c r="AL645" s="1" t="str">
        <f t="shared" si="53"/>
        <v>1 Toilet</v>
      </c>
      <c r="AM645" s="1" t="str">
        <f t="shared" si="54"/>
        <v>YES</v>
      </c>
      <c r="AN645" s="1" t="str">
        <f>VLOOKUP(J645, 'Regions and Cities'!A:B, 2, FALSE)</f>
        <v>Keski-Suomi</v>
      </c>
    </row>
    <row r="646" spans="1:40" x14ac:dyDescent="0.3">
      <c r="A646" t="s">
        <v>659</v>
      </c>
      <c r="B646" t="s">
        <v>660</v>
      </c>
      <c r="C646" t="s">
        <v>661</v>
      </c>
      <c r="H646">
        <v>76</v>
      </c>
      <c r="I646" t="s">
        <v>190</v>
      </c>
      <c r="J646" t="s">
        <v>265</v>
      </c>
      <c r="K646" t="s">
        <v>662</v>
      </c>
      <c r="L646" t="s">
        <v>663</v>
      </c>
      <c r="M646" t="s">
        <v>37</v>
      </c>
      <c r="N646" t="s">
        <v>664</v>
      </c>
      <c r="O646" t="s">
        <v>665</v>
      </c>
      <c r="R646" t="s">
        <v>37</v>
      </c>
      <c r="S646" t="s">
        <v>111</v>
      </c>
      <c r="T646">
        <v>62.252251000000001</v>
      </c>
      <c r="U646" t="s">
        <v>666</v>
      </c>
      <c r="V646" t="s">
        <v>667</v>
      </c>
      <c r="W646">
        <v>25.890180999999998</v>
      </c>
      <c r="X646">
        <v>234000</v>
      </c>
      <c r="Y646" t="s">
        <v>668</v>
      </c>
      <c r="Z646" t="s">
        <v>669</v>
      </c>
      <c r="AA646" t="s">
        <v>63</v>
      </c>
      <c r="AB646" t="s">
        <v>39</v>
      </c>
      <c r="AC646" t="s">
        <v>480</v>
      </c>
      <c r="AD646" t="s">
        <v>46</v>
      </c>
      <c r="AE646" t="s">
        <v>670</v>
      </c>
      <c r="AF646" t="s">
        <v>671</v>
      </c>
      <c r="AG646" t="s">
        <v>672</v>
      </c>
      <c r="AH646"/>
      <c r="AI646" s="2" t="str">
        <f t="shared" si="50"/>
        <v>Independent</v>
      </c>
      <c r="AJ646" s="2" t="str">
        <f t="shared" si="51"/>
        <v>YES</v>
      </c>
      <c r="AK646" s="1" t="str">
        <f t="shared" si="52"/>
        <v>None</v>
      </c>
      <c r="AL646" s="1" t="str">
        <f t="shared" si="53"/>
        <v>1 Toilet</v>
      </c>
      <c r="AM646" s="1" t="str">
        <f t="shared" si="54"/>
        <v>NO</v>
      </c>
      <c r="AN646" s="1" t="str">
        <f>VLOOKUP(J646, 'Regions and Cities'!A:B, 2, FALSE)</f>
        <v>Pohjois-Pohjanmaa</v>
      </c>
    </row>
    <row r="647" spans="1:40" x14ac:dyDescent="0.3">
      <c r="A647" t="s">
        <v>4608</v>
      </c>
      <c r="B647" t="s">
        <v>4609</v>
      </c>
      <c r="C647" t="s">
        <v>2282</v>
      </c>
      <c r="D647" t="s">
        <v>1292</v>
      </c>
      <c r="E647" t="s">
        <v>1293</v>
      </c>
      <c r="F647" t="s">
        <v>79</v>
      </c>
      <c r="G647" t="s">
        <v>4610</v>
      </c>
      <c r="H647">
        <v>80.5</v>
      </c>
      <c r="I647" t="s">
        <v>294</v>
      </c>
      <c r="J647" t="s">
        <v>361</v>
      </c>
      <c r="K647" t="s">
        <v>2284</v>
      </c>
      <c r="L647" t="s">
        <v>4611</v>
      </c>
      <c r="M647" t="s">
        <v>37</v>
      </c>
      <c r="N647" t="s">
        <v>4612</v>
      </c>
      <c r="O647" t="s">
        <v>4613</v>
      </c>
      <c r="P647" t="s">
        <v>4614</v>
      </c>
      <c r="R647" t="s">
        <v>37</v>
      </c>
      <c r="S647" t="s">
        <v>37</v>
      </c>
      <c r="T647">
        <v>62.793238000000002</v>
      </c>
      <c r="U647" t="s">
        <v>4615</v>
      </c>
      <c r="V647" t="s">
        <v>4616</v>
      </c>
      <c r="W647">
        <v>22.885577999999999</v>
      </c>
      <c r="X647">
        <v>169500</v>
      </c>
      <c r="Y647" t="s">
        <v>4617</v>
      </c>
      <c r="AA647" t="s">
        <v>45</v>
      </c>
      <c r="AB647" t="s">
        <v>39</v>
      </c>
      <c r="AC647" t="s">
        <v>4618</v>
      </c>
      <c r="AD647" t="s">
        <v>46</v>
      </c>
      <c r="AE647" t="s">
        <v>4619</v>
      </c>
      <c r="AF647" t="s">
        <v>4620</v>
      </c>
      <c r="AG647" t="s">
        <v>4621</v>
      </c>
      <c r="AH647">
        <v>80.5</v>
      </c>
      <c r="AI647" s="2" t="str">
        <f t="shared" si="50"/>
        <v>Independent</v>
      </c>
      <c r="AJ647" s="2" t="str">
        <f t="shared" si="51"/>
        <v>YES</v>
      </c>
      <c r="AK647" s="1" t="str">
        <f t="shared" si="52"/>
        <v>Terrace</v>
      </c>
      <c r="AL647" s="1" t="str">
        <f t="shared" si="53"/>
        <v>1 Toilet</v>
      </c>
      <c r="AM647" s="1" t="str">
        <f t="shared" si="54"/>
        <v>NO</v>
      </c>
      <c r="AN647" s="1" t="str">
        <f>VLOOKUP(J647, 'Regions and Cities'!A:B, 2, FALSE)</f>
        <v>Etelä-Pohjanmaa</v>
      </c>
    </row>
    <row r="648" spans="1:40" x14ac:dyDescent="0.3">
      <c r="A648" t="s">
        <v>3637</v>
      </c>
      <c r="B648" t="s">
        <v>3638</v>
      </c>
      <c r="C648" t="s">
        <v>1094</v>
      </c>
      <c r="D648" t="s">
        <v>1931</v>
      </c>
      <c r="E648" t="s">
        <v>1932</v>
      </c>
      <c r="F648" t="s">
        <v>105</v>
      </c>
      <c r="H648">
        <v>66</v>
      </c>
      <c r="I648" t="s">
        <v>1720</v>
      </c>
      <c r="J648" t="s">
        <v>137</v>
      </c>
      <c r="K648" t="s">
        <v>1097</v>
      </c>
      <c r="L648" t="s">
        <v>3639</v>
      </c>
      <c r="M648" t="s">
        <v>111</v>
      </c>
      <c r="N648" t="s">
        <v>3640</v>
      </c>
      <c r="O648" t="s">
        <v>3641</v>
      </c>
      <c r="R648" t="s">
        <v>37</v>
      </c>
      <c r="S648" t="s">
        <v>37</v>
      </c>
      <c r="T648">
        <v>60.188130000000001</v>
      </c>
      <c r="U648" t="s">
        <v>3642</v>
      </c>
      <c r="V648" t="s">
        <v>3643</v>
      </c>
      <c r="W648">
        <v>24.959937</v>
      </c>
      <c r="X648">
        <v>289000</v>
      </c>
      <c r="Y648" t="s">
        <v>3644</v>
      </c>
      <c r="AA648" t="s">
        <v>38</v>
      </c>
      <c r="AB648" t="s">
        <v>39</v>
      </c>
      <c r="AC648" t="s">
        <v>480</v>
      </c>
      <c r="AD648" t="s">
        <v>46</v>
      </c>
      <c r="AE648" t="s">
        <v>3645</v>
      </c>
      <c r="AF648" t="s">
        <v>3646</v>
      </c>
      <c r="AG648" t="s">
        <v>3647</v>
      </c>
      <c r="AH648">
        <v>66</v>
      </c>
      <c r="AI648" s="2" t="str">
        <f t="shared" si="50"/>
        <v>Independent</v>
      </c>
      <c r="AJ648" s="2" t="str">
        <f t="shared" si="51"/>
        <v>NO</v>
      </c>
      <c r="AK648" s="1" t="str">
        <f t="shared" si="52"/>
        <v>Glazed Balcony</v>
      </c>
      <c r="AL648" s="1" t="str">
        <f t="shared" si="53"/>
        <v>1 Toilet</v>
      </c>
      <c r="AM648" s="1" t="str">
        <f t="shared" si="54"/>
        <v>NO</v>
      </c>
      <c r="AN648" s="1" t="str">
        <f>VLOOKUP(J648, 'Regions and Cities'!A:B, 2, FALSE)</f>
        <v>Uusimaa</v>
      </c>
    </row>
    <row r="649" spans="1:40" x14ac:dyDescent="0.3">
      <c r="A649" t="s">
        <v>1394</v>
      </c>
      <c r="B649" t="s">
        <v>1395</v>
      </c>
      <c r="C649" t="s">
        <v>1396</v>
      </c>
      <c r="D649" t="s">
        <v>1397</v>
      </c>
      <c r="E649" t="s">
        <v>1398</v>
      </c>
      <c r="F649" t="s">
        <v>70</v>
      </c>
      <c r="G649" t="s">
        <v>1399</v>
      </c>
      <c r="H649">
        <v>79</v>
      </c>
      <c r="I649" t="s">
        <v>247</v>
      </c>
      <c r="J649" t="s">
        <v>352</v>
      </c>
      <c r="K649" t="s">
        <v>1400</v>
      </c>
      <c r="L649" t="s">
        <v>1401</v>
      </c>
      <c r="M649" t="s">
        <v>37</v>
      </c>
      <c r="N649" t="s">
        <v>1402</v>
      </c>
      <c r="O649" t="s">
        <v>1403</v>
      </c>
      <c r="P649" t="s">
        <v>1404</v>
      </c>
      <c r="R649" t="s">
        <v>37</v>
      </c>
      <c r="S649" t="s">
        <v>37</v>
      </c>
      <c r="T649">
        <v>61.577959</v>
      </c>
      <c r="U649" t="s">
        <v>1405</v>
      </c>
      <c r="V649" t="s">
        <v>1406</v>
      </c>
      <c r="W649">
        <v>23.630495</v>
      </c>
      <c r="X649">
        <v>179000</v>
      </c>
      <c r="Y649" t="s">
        <v>117</v>
      </c>
      <c r="AA649" t="s">
        <v>45</v>
      </c>
      <c r="AB649" t="s">
        <v>39</v>
      </c>
      <c r="AC649" t="s">
        <v>480</v>
      </c>
      <c r="AD649" t="s">
        <v>46</v>
      </c>
      <c r="AE649" t="s">
        <v>1407</v>
      </c>
      <c r="AF649" t="s">
        <v>1408</v>
      </c>
      <c r="AG649" t="s">
        <v>1409</v>
      </c>
      <c r="AH649">
        <v>79</v>
      </c>
      <c r="AI649" s="2" t="str">
        <f t="shared" si="50"/>
        <v>Independent</v>
      </c>
      <c r="AJ649" s="2" t="str">
        <f t="shared" si="51"/>
        <v>NO</v>
      </c>
      <c r="AK649" s="1" t="str">
        <f t="shared" si="52"/>
        <v>Terrace</v>
      </c>
      <c r="AL649" s="1" t="str">
        <f t="shared" si="53"/>
        <v>1 Toilet</v>
      </c>
      <c r="AM649" s="1" t="str">
        <f t="shared" si="54"/>
        <v>YES</v>
      </c>
      <c r="AN649" s="1" t="str">
        <f>VLOOKUP(J649, 'Regions and Cities'!A:B, 2, FALSE)</f>
        <v>Pirkanmaa</v>
      </c>
    </row>
    <row r="650" spans="1:40" x14ac:dyDescent="0.3">
      <c r="A650" t="s">
        <v>6810</v>
      </c>
      <c r="B650" t="s">
        <v>6811</v>
      </c>
      <c r="C650" t="s">
        <v>6812</v>
      </c>
      <c r="D650" t="s">
        <v>2521</v>
      </c>
      <c r="E650" t="s">
        <v>2522</v>
      </c>
      <c r="F650" t="s">
        <v>105</v>
      </c>
      <c r="H650">
        <v>149</v>
      </c>
      <c r="I650" t="s">
        <v>6813</v>
      </c>
      <c r="J650" t="s">
        <v>421</v>
      </c>
      <c r="K650" t="s">
        <v>6814</v>
      </c>
      <c r="L650" t="s">
        <v>6815</v>
      </c>
      <c r="M650" t="s">
        <v>37</v>
      </c>
      <c r="N650" t="s">
        <v>6816</v>
      </c>
      <c r="O650" t="s">
        <v>6817</v>
      </c>
      <c r="R650" t="s">
        <v>37</v>
      </c>
      <c r="S650" t="s">
        <v>37</v>
      </c>
      <c r="T650">
        <v>60.971774000000003</v>
      </c>
      <c r="U650" t="s">
        <v>6818</v>
      </c>
      <c r="V650" t="s">
        <v>6819</v>
      </c>
      <c r="W650">
        <v>26.463204999999999</v>
      </c>
      <c r="X650">
        <v>149000</v>
      </c>
      <c r="Y650" t="s">
        <v>261</v>
      </c>
      <c r="AA650" t="s">
        <v>63</v>
      </c>
      <c r="AB650" t="s">
        <v>39</v>
      </c>
      <c r="AC650" t="s">
        <v>6510</v>
      </c>
      <c r="AD650" t="s">
        <v>55</v>
      </c>
      <c r="AE650" t="s">
        <v>6820</v>
      </c>
      <c r="AF650" t="s">
        <v>6821</v>
      </c>
      <c r="AG650" t="s">
        <v>6822</v>
      </c>
      <c r="AH650">
        <v>184</v>
      </c>
      <c r="AI650" s="2" t="str">
        <f t="shared" si="50"/>
        <v>Independent</v>
      </c>
      <c r="AJ650" s="2" t="str">
        <f t="shared" si="51"/>
        <v>NO</v>
      </c>
      <c r="AK650" s="1" t="str">
        <f t="shared" si="52"/>
        <v>None</v>
      </c>
      <c r="AL650" s="1" t="str">
        <f t="shared" si="53"/>
        <v>1 Toilet</v>
      </c>
      <c r="AM650" s="1" t="str">
        <f t="shared" si="54"/>
        <v>NO</v>
      </c>
      <c r="AN650" s="1" t="str">
        <f>VLOOKUP(J650, 'Regions and Cities'!A:B, 2, FALSE)</f>
        <v>Kymenlaakso</v>
      </c>
    </row>
    <row r="651" spans="1:40" x14ac:dyDescent="0.3">
      <c r="A651" t="s">
        <v>7747</v>
      </c>
      <c r="B651" t="s">
        <v>7748</v>
      </c>
      <c r="C651" t="s">
        <v>7749</v>
      </c>
      <c r="D651" t="s">
        <v>7750</v>
      </c>
      <c r="E651" t="s">
        <v>7751</v>
      </c>
      <c r="F651" t="s">
        <v>7752</v>
      </c>
      <c r="G651" t="s">
        <v>7753</v>
      </c>
      <c r="H651">
        <v>52.5</v>
      </c>
      <c r="I651" t="s">
        <v>219</v>
      </c>
      <c r="J651" t="s">
        <v>418</v>
      </c>
      <c r="K651" t="s">
        <v>7754</v>
      </c>
      <c r="L651" t="s">
        <v>7755</v>
      </c>
      <c r="M651" t="s">
        <v>37</v>
      </c>
      <c r="N651" t="s">
        <v>7756</v>
      </c>
      <c r="O651" t="s">
        <v>7757</v>
      </c>
      <c r="P651" t="s">
        <v>7758</v>
      </c>
      <c r="Q651" t="s">
        <v>7759</v>
      </c>
      <c r="R651" t="s">
        <v>37</v>
      </c>
      <c r="S651" t="s">
        <v>37</v>
      </c>
      <c r="T651">
        <v>61.055639999999997</v>
      </c>
      <c r="U651" t="s">
        <v>7760</v>
      </c>
      <c r="V651" t="s">
        <v>7761</v>
      </c>
      <c r="W651">
        <v>28.196349999999999</v>
      </c>
      <c r="X651">
        <v>75000</v>
      </c>
      <c r="Y651" t="s">
        <v>108</v>
      </c>
      <c r="AA651" t="s">
        <v>38</v>
      </c>
      <c r="AB651" t="s">
        <v>39</v>
      </c>
      <c r="AC651" t="s">
        <v>6510</v>
      </c>
      <c r="AD651" t="s">
        <v>40</v>
      </c>
      <c r="AE651" t="s">
        <v>7762</v>
      </c>
      <c r="AF651" t="s">
        <v>7763</v>
      </c>
      <c r="AG651" t="s">
        <v>7764</v>
      </c>
      <c r="AH651">
        <v>52.5</v>
      </c>
      <c r="AI651" s="2" t="str">
        <f t="shared" si="50"/>
        <v>Independent</v>
      </c>
      <c r="AJ651" s="2" t="str">
        <f t="shared" si="51"/>
        <v>NO</v>
      </c>
      <c r="AK651" s="1" t="str">
        <f t="shared" si="52"/>
        <v>None</v>
      </c>
      <c r="AL651" s="1" t="str">
        <f t="shared" si="53"/>
        <v>1 Toilet</v>
      </c>
      <c r="AM651" s="1" t="str">
        <f t="shared" si="54"/>
        <v>NO</v>
      </c>
      <c r="AN651" s="1" t="str">
        <f>VLOOKUP(J651, 'Regions and Cities'!A:B, 2, FALSE)</f>
        <v>Etelä-Karjala</v>
      </c>
    </row>
    <row r="652" spans="1:40" x14ac:dyDescent="0.3">
      <c r="A652" t="s">
        <v>9280</v>
      </c>
      <c r="B652" t="s">
        <v>9281</v>
      </c>
      <c r="C652" t="s">
        <v>9282</v>
      </c>
      <c r="D652" t="s">
        <v>2876</v>
      </c>
      <c r="E652" t="s">
        <v>2877</v>
      </c>
      <c r="F652" t="s">
        <v>2878</v>
      </c>
      <c r="H652">
        <v>175</v>
      </c>
      <c r="I652" t="s">
        <v>2001</v>
      </c>
      <c r="J652" t="s">
        <v>385</v>
      </c>
      <c r="K652" t="s">
        <v>9283</v>
      </c>
      <c r="L652" t="s">
        <v>9284</v>
      </c>
      <c r="M652" t="s">
        <v>37</v>
      </c>
      <c r="N652" t="s">
        <v>9285</v>
      </c>
      <c r="O652" t="s">
        <v>9286</v>
      </c>
      <c r="R652" t="s">
        <v>37</v>
      </c>
      <c r="S652" t="s">
        <v>37</v>
      </c>
      <c r="T652">
        <v>60.392420999999999</v>
      </c>
      <c r="U652" t="s">
        <v>9287</v>
      </c>
      <c r="V652" t="s">
        <v>9288</v>
      </c>
      <c r="W652">
        <v>24.524180999999999</v>
      </c>
      <c r="X652">
        <v>129000</v>
      </c>
      <c r="Y652" t="s">
        <v>177</v>
      </c>
      <c r="AA652" t="s">
        <v>63</v>
      </c>
      <c r="AB652" t="s">
        <v>39</v>
      </c>
      <c r="AC652" t="s">
        <v>6510</v>
      </c>
      <c r="AD652" t="s">
        <v>64</v>
      </c>
      <c r="AE652" t="s">
        <v>9289</v>
      </c>
      <c r="AF652" t="s">
        <v>9290</v>
      </c>
      <c r="AG652" t="s">
        <v>9291</v>
      </c>
      <c r="AH652">
        <v>256</v>
      </c>
      <c r="AI652" s="2" t="str">
        <f t="shared" si="50"/>
        <v>Independent</v>
      </c>
      <c r="AJ652" s="2" t="str">
        <f t="shared" si="51"/>
        <v>NO</v>
      </c>
      <c r="AK652" s="1" t="str">
        <f t="shared" si="52"/>
        <v>None</v>
      </c>
      <c r="AL652" s="1" t="str">
        <f t="shared" si="53"/>
        <v>1 Toilet</v>
      </c>
      <c r="AM652" s="1" t="str">
        <f t="shared" si="54"/>
        <v>YES</v>
      </c>
      <c r="AN652" s="1" t="str">
        <f>VLOOKUP(J652, 'Regions and Cities'!A:B, 2, FALSE)</f>
        <v>Uusimaa</v>
      </c>
    </row>
    <row r="653" spans="1:40" x14ac:dyDescent="0.3">
      <c r="A653" t="s">
        <v>5081</v>
      </c>
      <c r="B653" t="s">
        <v>5082</v>
      </c>
      <c r="C653" t="s">
        <v>3346</v>
      </c>
      <c r="D653" t="s">
        <v>287</v>
      </c>
      <c r="E653" t="s">
        <v>288</v>
      </c>
      <c r="F653" t="s">
        <v>105</v>
      </c>
      <c r="G653" t="s">
        <v>289</v>
      </c>
      <c r="H653">
        <v>31.3</v>
      </c>
      <c r="I653" t="s">
        <v>5083</v>
      </c>
      <c r="J653" t="s">
        <v>139</v>
      </c>
      <c r="K653" t="s">
        <v>3350</v>
      </c>
      <c r="L653" t="s">
        <v>5084</v>
      </c>
      <c r="M653" t="s">
        <v>37</v>
      </c>
      <c r="N653" t="s">
        <v>5085</v>
      </c>
      <c r="O653" t="s">
        <v>5086</v>
      </c>
      <c r="P653" t="s">
        <v>5087</v>
      </c>
      <c r="R653" t="s">
        <v>37</v>
      </c>
      <c r="S653" t="s">
        <v>37</v>
      </c>
      <c r="T653">
        <v>61.506334000000003</v>
      </c>
      <c r="U653" t="s">
        <v>5088</v>
      </c>
      <c r="V653" t="s">
        <v>5089</v>
      </c>
      <c r="W653">
        <v>23.775811000000001</v>
      </c>
      <c r="X653">
        <v>139000</v>
      </c>
      <c r="Y653" t="s">
        <v>74</v>
      </c>
      <c r="AA653" t="s">
        <v>38</v>
      </c>
      <c r="AB653" t="s">
        <v>39</v>
      </c>
      <c r="AC653" t="s">
        <v>480</v>
      </c>
      <c r="AD653" t="s">
        <v>202</v>
      </c>
      <c r="AE653" t="s">
        <v>5090</v>
      </c>
      <c r="AF653" t="s">
        <v>5091</v>
      </c>
      <c r="AG653" t="s">
        <v>5092</v>
      </c>
      <c r="AH653">
        <v>31.3</v>
      </c>
      <c r="AI653" s="2" t="str">
        <f t="shared" si="50"/>
        <v>Independent</v>
      </c>
      <c r="AJ653" s="2" t="str">
        <f t="shared" si="51"/>
        <v>NO</v>
      </c>
      <c r="AK653" s="1" t="str">
        <f t="shared" si="52"/>
        <v>None</v>
      </c>
      <c r="AL653" s="1" t="str">
        <f t="shared" si="53"/>
        <v>1 Toilet</v>
      </c>
      <c r="AM653" s="1" t="str">
        <f t="shared" si="54"/>
        <v>NO</v>
      </c>
      <c r="AN653" s="1" t="str">
        <f>VLOOKUP(J653, 'Regions and Cities'!A:B, 2, FALSE)</f>
        <v>Pirkanmaa</v>
      </c>
    </row>
    <row r="654" spans="1:40" x14ac:dyDescent="0.3">
      <c r="A654" t="s">
        <v>1120</v>
      </c>
      <c r="B654" t="s">
        <v>1121</v>
      </c>
      <c r="C654" t="s">
        <v>1122</v>
      </c>
      <c r="D654" t="s">
        <v>1123</v>
      </c>
      <c r="E654" t="s">
        <v>1124</v>
      </c>
      <c r="F654" t="s">
        <v>1125</v>
      </c>
      <c r="H654">
        <v>95</v>
      </c>
      <c r="I654" t="s">
        <v>189</v>
      </c>
      <c r="J654" t="s">
        <v>356</v>
      </c>
      <c r="K654" t="s">
        <v>1126</v>
      </c>
      <c r="L654" t="s">
        <v>1127</v>
      </c>
      <c r="M654" t="s">
        <v>37</v>
      </c>
      <c r="N654" t="s">
        <v>1128</v>
      </c>
      <c r="O654" t="s">
        <v>1129</v>
      </c>
      <c r="R654" t="s">
        <v>37</v>
      </c>
      <c r="S654" t="s">
        <v>37</v>
      </c>
      <c r="T654">
        <v>60.484250000000003</v>
      </c>
      <c r="U654" t="s">
        <v>1130</v>
      </c>
      <c r="V654" t="s">
        <v>1131</v>
      </c>
      <c r="W654">
        <v>25.11476</v>
      </c>
      <c r="X654">
        <v>415000</v>
      </c>
      <c r="Y654" t="s">
        <v>1132</v>
      </c>
      <c r="AA654" t="s">
        <v>54</v>
      </c>
      <c r="AB654" t="s">
        <v>39</v>
      </c>
      <c r="AC654" t="s">
        <v>480</v>
      </c>
      <c r="AD654" t="s">
        <v>46</v>
      </c>
      <c r="AE654" t="s">
        <v>1133</v>
      </c>
      <c r="AF654" t="s">
        <v>1134</v>
      </c>
      <c r="AG654" t="s">
        <v>1135</v>
      </c>
      <c r="AH654">
        <v>118</v>
      </c>
      <c r="AI654" s="2" t="str">
        <f t="shared" si="50"/>
        <v>Independent</v>
      </c>
      <c r="AJ654" s="2" t="str">
        <f t="shared" si="51"/>
        <v>YES</v>
      </c>
      <c r="AK654" s="1" t="str">
        <f t="shared" si="52"/>
        <v>None</v>
      </c>
      <c r="AL654" s="1" t="str">
        <f t="shared" si="53"/>
        <v>1 Toilet</v>
      </c>
      <c r="AM654" s="1" t="str">
        <f t="shared" si="54"/>
        <v>NO</v>
      </c>
      <c r="AN654" s="1" t="str">
        <f>VLOOKUP(J654, 'Regions and Cities'!A:B, 2, FALSE)</f>
        <v>Uusimaa</v>
      </c>
    </row>
    <row r="655" spans="1:40" x14ac:dyDescent="0.3">
      <c r="A655" t="s">
        <v>8096</v>
      </c>
      <c r="B655" t="s">
        <v>8097</v>
      </c>
      <c r="C655" t="s">
        <v>8098</v>
      </c>
      <c r="D655" t="s">
        <v>8099</v>
      </c>
      <c r="E655" t="s">
        <v>8100</v>
      </c>
      <c r="F655" t="s">
        <v>1493</v>
      </c>
      <c r="H655">
        <v>55</v>
      </c>
      <c r="I655" t="s">
        <v>244</v>
      </c>
      <c r="J655" t="s">
        <v>381</v>
      </c>
      <c r="K655" t="s">
        <v>8101</v>
      </c>
      <c r="L655" t="s">
        <v>8102</v>
      </c>
      <c r="M655" t="s">
        <v>37</v>
      </c>
      <c r="N655" t="s">
        <v>8103</v>
      </c>
      <c r="O655" t="s">
        <v>8104</v>
      </c>
      <c r="R655" t="s">
        <v>37</v>
      </c>
      <c r="S655" t="s">
        <v>37</v>
      </c>
      <c r="T655">
        <v>60.401963000000002</v>
      </c>
      <c r="U655" t="s">
        <v>8105</v>
      </c>
      <c r="V655" t="s">
        <v>8106</v>
      </c>
      <c r="W655">
        <v>26.248608999999998</v>
      </c>
      <c r="X655">
        <v>33000</v>
      </c>
      <c r="Y655" t="s">
        <v>281</v>
      </c>
      <c r="AA655" t="s">
        <v>38</v>
      </c>
      <c r="AB655" t="s">
        <v>39</v>
      </c>
      <c r="AC655" t="s">
        <v>6510</v>
      </c>
      <c r="AD655" t="s">
        <v>40</v>
      </c>
      <c r="AE655" t="s">
        <v>8107</v>
      </c>
      <c r="AF655" t="s">
        <v>8108</v>
      </c>
      <c r="AG655" t="s">
        <v>8109</v>
      </c>
      <c r="AH655">
        <v>55</v>
      </c>
      <c r="AI655" s="2" t="str">
        <f t="shared" si="50"/>
        <v>Independent</v>
      </c>
      <c r="AJ655" s="2" t="str">
        <f t="shared" si="51"/>
        <v>NO</v>
      </c>
      <c r="AK655" s="1" t="str">
        <f t="shared" si="52"/>
        <v>None</v>
      </c>
      <c r="AL655" s="1" t="str">
        <f t="shared" si="53"/>
        <v>1 Toilet</v>
      </c>
      <c r="AM655" s="1" t="str">
        <f t="shared" si="54"/>
        <v>NO</v>
      </c>
      <c r="AN655" s="1" t="str">
        <f>VLOOKUP(J655, 'Regions and Cities'!A:B, 2, FALSE)</f>
        <v>Uusimaa</v>
      </c>
    </row>
    <row r="656" spans="1:40" x14ac:dyDescent="0.3">
      <c r="A656" t="s">
        <v>889</v>
      </c>
      <c r="B656" t="s">
        <v>890</v>
      </c>
      <c r="C656" t="s">
        <v>891</v>
      </c>
      <c r="D656" t="s">
        <v>892</v>
      </c>
      <c r="E656" t="s">
        <v>893</v>
      </c>
      <c r="H656">
        <v>81.5</v>
      </c>
      <c r="I656" t="s">
        <v>125</v>
      </c>
      <c r="J656" t="s">
        <v>137</v>
      </c>
      <c r="K656" t="s">
        <v>894</v>
      </c>
      <c r="L656" t="s">
        <v>895</v>
      </c>
      <c r="M656" t="s">
        <v>37</v>
      </c>
      <c r="N656" t="s">
        <v>896</v>
      </c>
      <c r="O656" t="s">
        <v>897</v>
      </c>
      <c r="R656" t="s">
        <v>37</v>
      </c>
      <c r="S656" t="s">
        <v>37</v>
      </c>
      <c r="T656">
        <v>60.216631</v>
      </c>
      <c r="U656" t="s">
        <v>898</v>
      </c>
      <c r="V656" t="s">
        <v>899</v>
      </c>
      <c r="W656">
        <v>25.059467000000001</v>
      </c>
      <c r="X656">
        <v>399500</v>
      </c>
      <c r="Y656" t="s">
        <v>900</v>
      </c>
      <c r="AA656" t="s">
        <v>45</v>
      </c>
      <c r="AB656" t="s">
        <v>39</v>
      </c>
      <c r="AC656" t="s">
        <v>480</v>
      </c>
      <c r="AD656" t="s">
        <v>46</v>
      </c>
      <c r="AE656" t="s">
        <v>47</v>
      </c>
      <c r="AF656" t="s">
        <v>901</v>
      </c>
      <c r="AG656" t="s">
        <v>902</v>
      </c>
      <c r="AH656">
        <v>81.5</v>
      </c>
      <c r="AI656" s="2" t="str">
        <f t="shared" si="50"/>
        <v>Independent</v>
      </c>
      <c r="AJ656" s="2" t="str">
        <f t="shared" si="51"/>
        <v>NO</v>
      </c>
      <c r="AK656" s="1" t="str">
        <f t="shared" si="52"/>
        <v>None</v>
      </c>
      <c r="AL656" s="1" t="str">
        <f t="shared" si="53"/>
        <v>1 Toilet</v>
      </c>
      <c r="AM656" s="1" t="str">
        <f t="shared" si="54"/>
        <v>NO</v>
      </c>
      <c r="AN656" s="1" t="str">
        <f>VLOOKUP(J656, 'Regions and Cities'!A:B, 2, FALSE)</f>
        <v>Uusimaa</v>
      </c>
    </row>
    <row r="657" spans="1:40" x14ac:dyDescent="0.3">
      <c r="A657" t="s">
        <v>2732</v>
      </c>
      <c r="B657" t="s">
        <v>2733</v>
      </c>
      <c r="C657" t="s">
        <v>2734</v>
      </c>
      <c r="D657" t="s">
        <v>103</v>
      </c>
      <c r="E657" t="s">
        <v>104</v>
      </c>
      <c r="F657" t="s">
        <v>105</v>
      </c>
      <c r="G657" t="s">
        <v>2735</v>
      </c>
      <c r="H657">
        <v>90</v>
      </c>
      <c r="I657" t="s">
        <v>1221</v>
      </c>
      <c r="J657" t="s">
        <v>107</v>
      </c>
      <c r="K657" t="s">
        <v>2736</v>
      </c>
      <c r="L657" t="s">
        <v>2737</v>
      </c>
      <c r="M657" t="s">
        <v>37</v>
      </c>
      <c r="N657" t="s">
        <v>2738</v>
      </c>
      <c r="O657" t="s">
        <v>2739</v>
      </c>
      <c r="P657" t="s">
        <v>2740</v>
      </c>
      <c r="Q657" t="s">
        <v>2741</v>
      </c>
      <c r="R657" t="s">
        <v>37</v>
      </c>
      <c r="S657" t="s">
        <v>37</v>
      </c>
      <c r="T657">
        <v>60.636164999999998</v>
      </c>
      <c r="U657" t="s">
        <v>2742</v>
      </c>
      <c r="V657" t="s">
        <v>2743</v>
      </c>
      <c r="W657">
        <v>24.870863</v>
      </c>
      <c r="X657">
        <v>195000</v>
      </c>
      <c r="Y657" t="s">
        <v>564</v>
      </c>
      <c r="AA657" t="s">
        <v>45</v>
      </c>
      <c r="AB657" t="s">
        <v>39</v>
      </c>
      <c r="AC657" t="s">
        <v>268</v>
      </c>
      <c r="AD657" t="s">
        <v>46</v>
      </c>
      <c r="AE657" t="s">
        <v>2744</v>
      </c>
      <c r="AF657" t="s">
        <v>2745</v>
      </c>
      <c r="AG657" t="s">
        <v>2746</v>
      </c>
      <c r="AH657">
        <v>90</v>
      </c>
      <c r="AI657" s="2" t="str">
        <f t="shared" si="50"/>
        <v>Independent</v>
      </c>
      <c r="AJ657" s="2" t="str">
        <f t="shared" si="51"/>
        <v>NO</v>
      </c>
      <c r="AK657" s="1" t="str">
        <f t="shared" si="52"/>
        <v>None</v>
      </c>
      <c r="AL657" s="1" t="str">
        <f t="shared" si="53"/>
        <v>1 Toilet</v>
      </c>
      <c r="AM657" s="1" t="str">
        <f t="shared" si="54"/>
        <v>YES</v>
      </c>
      <c r="AN657" s="1" t="str">
        <f>VLOOKUP(J657, 'Regions and Cities'!A:B, 2, FALSE)</f>
        <v>Uusimaa</v>
      </c>
    </row>
    <row r="658" spans="1:40" x14ac:dyDescent="0.3">
      <c r="A658" t="s">
        <v>3003</v>
      </c>
      <c r="B658" t="s">
        <v>3004</v>
      </c>
      <c r="C658" t="s">
        <v>3005</v>
      </c>
      <c r="D658" t="s">
        <v>3006</v>
      </c>
      <c r="E658" t="s">
        <v>3007</v>
      </c>
      <c r="F658" t="s">
        <v>3008</v>
      </c>
      <c r="H658">
        <v>52</v>
      </c>
      <c r="I658" t="s">
        <v>2922</v>
      </c>
      <c r="J658" t="s">
        <v>110</v>
      </c>
      <c r="K658" t="s">
        <v>3009</v>
      </c>
      <c r="L658" t="s">
        <v>3010</v>
      </c>
      <c r="M658" t="s">
        <v>37</v>
      </c>
      <c r="N658" t="s">
        <v>3011</v>
      </c>
      <c r="O658" t="s">
        <v>3012</v>
      </c>
      <c r="R658" t="s">
        <v>37</v>
      </c>
      <c r="S658" t="s">
        <v>37</v>
      </c>
      <c r="T658">
        <v>60.455539999999999</v>
      </c>
      <c r="U658" t="s">
        <v>3013</v>
      </c>
      <c r="V658" t="s">
        <v>3014</v>
      </c>
      <c r="W658">
        <v>22.312539999999998</v>
      </c>
      <c r="X658">
        <v>149000</v>
      </c>
      <c r="Y658" t="s">
        <v>261</v>
      </c>
      <c r="AA658" t="s">
        <v>38</v>
      </c>
      <c r="AB658" t="s">
        <v>39</v>
      </c>
      <c r="AC658" t="s">
        <v>480</v>
      </c>
      <c r="AD658" t="s">
        <v>46</v>
      </c>
      <c r="AE658" t="s">
        <v>3015</v>
      </c>
      <c r="AF658" t="s">
        <v>3016</v>
      </c>
      <c r="AG658" t="s">
        <v>3017</v>
      </c>
      <c r="AH658">
        <v>52</v>
      </c>
      <c r="AI658" s="2" t="str">
        <f t="shared" si="50"/>
        <v>Independent</v>
      </c>
      <c r="AJ658" s="2" t="str">
        <f t="shared" si="51"/>
        <v>NO</v>
      </c>
      <c r="AK658" s="1" t="str">
        <f t="shared" si="52"/>
        <v>None</v>
      </c>
      <c r="AL658" s="1" t="str">
        <f t="shared" si="53"/>
        <v>1 Toilet</v>
      </c>
      <c r="AM658" s="1" t="str">
        <f t="shared" si="54"/>
        <v>NO</v>
      </c>
      <c r="AN658" s="1" t="str">
        <f>VLOOKUP(J658, 'Regions and Cities'!A:B, 2, FALSE)</f>
        <v>Varsinais-Suomi</v>
      </c>
    </row>
    <row r="659" spans="1:40" x14ac:dyDescent="0.3">
      <c r="A659" t="s">
        <v>2055</v>
      </c>
      <c r="B659" t="s">
        <v>2056</v>
      </c>
      <c r="C659" t="s">
        <v>2057</v>
      </c>
      <c r="D659" t="s">
        <v>2058</v>
      </c>
      <c r="E659" t="s">
        <v>2059</v>
      </c>
      <c r="F659" t="s">
        <v>79</v>
      </c>
      <c r="G659" t="s">
        <v>2060</v>
      </c>
      <c r="H659">
        <v>83</v>
      </c>
      <c r="I659" t="s">
        <v>219</v>
      </c>
      <c r="J659" t="s">
        <v>369</v>
      </c>
      <c r="K659" t="s">
        <v>2061</v>
      </c>
      <c r="L659" t="s">
        <v>2062</v>
      </c>
      <c r="M659" t="s">
        <v>37</v>
      </c>
      <c r="N659" t="s">
        <v>2063</v>
      </c>
      <c r="O659" t="s">
        <v>2064</v>
      </c>
      <c r="P659" t="s">
        <v>2065</v>
      </c>
      <c r="R659" t="s">
        <v>37</v>
      </c>
      <c r="S659" t="s">
        <v>37</v>
      </c>
      <c r="T659">
        <v>61.898764</v>
      </c>
      <c r="U659" t="s">
        <v>2066</v>
      </c>
      <c r="V659" t="s">
        <v>2067</v>
      </c>
      <c r="W659">
        <v>27.875622</v>
      </c>
      <c r="X659">
        <v>36000</v>
      </c>
      <c r="Y659" t="s">
        <v>2068</v>
      </c>
      <c r="AA659" t="s">
        <v>45</v>
      </c>
      <c r="AB659" t="s">
        <v>39</v>
      </c>
      <c r="AC659" t="s">
        <v>480</v>
      </c>
      <c r="AD659" t="s">
        <v>46</v>
      </c>
      <c r="AE659" t="s">
        <v>47</v>
      </c>
      <c r="AF659" t="s">
        <v>2069</v>
      </c>
      <c r="AG659" t="s">
        <v>2070</v>
      </c>
      <c r="AH659">
        <v>83</v>
      </c>
      <c r="AI659" s="2" t="str">
        <f t="shared" si="50"/>
        <v>Independent</v>
      </c>
      <c r="AJ659" s="2" t="str">
        <f t="shared" si="51"/>
        <v>NO</v>
      </c>
      <c r="AK659" s="1" t="str">
        <f t="shared" si="52"/>
        <v>None</v>
      </c>
      <c r="AL659" s="1" t="str">
        <f t="shared" si="53"/>
        <v>1 Toilet</v>
      </c>
      <c r="AM659" s="1" t="str">
        <f t="shared" si="54"/>
        <v>NO</v>
      </c>
      <c r="AN659" s="1" t="str">
        <f>VLOOKUP(J659, 'Regions and Cities'!A:B, 2, FALSE)</f>
        <v>Etelä-Savo</v>
      </c>
    </row>
    <row r="660" spans="1:40" x14ac:dyDescent="0.3">
      <c r="A660" t="s">
        <v>830</v>
      </c>
      <c r="B660" t="s">
        <v>831</v>
      </c>
      <c r="C660" t="s">
        <v>832</v>
      </c>
      <c r="H660">
        <v>72.5</v>
      </c>
      <c r="I660" t="s">
        <v>219</v>
      </c>
      <c r="J660" t="s">
        <v>349</v>
      </c>
      <c r="K660" t="s">
        <v>131</v>
      </c>
      <c r="L660" t="s">
        <v>833</v>
      </c>
      <c r="M660" t="s">
        <v>37</v>
      </c>
      <c r="N660" t="s">
        <v>834</v>
      </c>
      <c r="O660" t="s">
        <v>835</v>
      </c>
      <c r="R660" t="s">
        <v>37</v>
      </c>
      <c r="S660" t="s">
        <v>111</v>
      </c>
      <c r="T660">
        <v>62.091503000000003</v>
      </c>
      <c r="U660" t="s">
        <v>836</v>
      </c>
      <c r="V660" t="s">
        <v>837</v>
      </c>
      <c r="W660">
        <v>26.069861</v>
      </c>
      <c r="X660">
        <v>11000</v>
      </c>
      <c r="Y660" t="s">
        <v>838</v>
      </c>
      <c r="Z660" t="s">
        <v>839</v>
      </c>
      <c r="AA660" t="s">
        <v>45</v>
      </c>
      <c r="AB660" t="s">
        <v>39</v>
      </c>
      <c r="AC660" t="s">
        <v>480</v>
      </c>
      <c r="AD660" t="s">
        <v>46</v>
      </c>
      <c r="AE660" t="s">
        <v>840</v>
      </c>
      <c r="AF660" t="s">
        <v>841</v>
      </c>
      <c r="AG660" t="s">
        <v>842</v>
      </c>
      <c r="AH660"/>
      <c r="AI660" s="2" t="str">
        <f t="shared" si="50"/>
        <v>Independent</v>
      </c>
      <c r="AJ660" s="2" t="str">
        <f t="shared" si="51"/>
        <v>YES</v>
      </c>
      <c r="AK660" s="1" t="str">
        <f t="shared" si="52"/>
        <v>None</v>
      </c>
      <c r="AL660" s="1" t="str">
        <f t="shared" si="53"/>
        <v>1 Toilet</v>
      </c>
      <c r="AM660" s="1" t="str">
        <f t="shared" si="54"/>
        <v>NO</v>
      </c>
      <c r="AN660" s="1" t="str">
        <f>VLOOKUP(J660, 'Regions and Cities'!A:B, 2, FALSE)</f>
        <v>Keski-Suomi</v>
      </c>
    </row>
    <row r="661" spans="1:40" x14ac:dyDescent="0.3">
      <c r="A661" t="s">
        <v>2647</v>
      </c>
      <c r="B661" t="s">
        <v>2648</v>
      </c>
      <c r="C661" t="s">
        <v>2649</v>
      </c>
      <c r="D661" t="s">
        <v>2650</v>
      </c>
      <c r="E661" t="s">
        <v>2651</v>
      </c>
      <c r="H661">
        <v>144.5</v>
      </c>
      <c r="I661" t="s">
        <v>1310</v>
      </c>
      <c r="J661" t="s">
        <v>265</v>
      </c>
      <c r="K661" t="s">
        <v>2652</v>
      </c>
      <c r="L661" t="s">
        <v>2653</v>
      </c>
      <c r="M661" t="s">
        <v>37</v>
      </c>
      <c r="N661" t="s">
        <v>2654</v>
      </c>
      <c r="O661" t="s">
        <v>2655</v>
      </c>
      <c r="R661" t="s">
        <v>111</v>
      </c>
      <c r="S661" t="s">
        <v>37</v>
      </c>
      <c r="T661">
        <v>65.124719999999996</v>
      </c>
      <c r="U661" t="s">
        <v>2656</v>
      </c>
      <c r="V661" t="s">
        <v>2657</v>
      </c>
      <c r="W661">
        <v>25.31739</v>
      </c>
      <c r="X661">
        <v>320000</v>
      </c>
      <c r="Y661" t="s">
        <v>2658</v>
      </c>
      <c r="AA661" t="s">
        <v>63</v>
      </c>
      <c r="AB661" t="s">
        <v>39</v>
      </c>
      <c r="AC661" t="s">
        <v>480</v>
      </c>
      <c r="AD661" t="s">
        <v>55</v>
      </c>
      <c r="AE661" t="s">
        <v>2659</v>
      </c>
      <c r="AF661" t="s">
        <v>2660</v>
      </c>
      <c r="AG661" t="s">
        <v>2661</v>
      </c>
      <c r="AH661">
        <v>169.2</v>
      </c>
      <c r="AI661" s="2" t="str">
        <f t="shared" si="50"/>
        <v>Independent</v>
      </c>
      <c r="AJ661" s="2" t="str">
        <f t="shared" si="51"/>
        <v>YES</v>
      </c>
      <c r="AK661" s="1" t="str">
        <f t="shared" si="52"/>
        <v>None</v>
      </c>
      <c r="AL661" s="1" t="str">
        <f t="shared" si="53"/>
        <v>1 Toilet</v>
      </c>
      <c r="AM661" s="1" t="str">
        <f t="shared" si="54"/>
        <v>NO</v>
      </c>
      <c r="AN661" s="1" t="str">
        <f>VLOOKUP(J661, 'Regions and Cities'!A:B, 2, FALSE)</f>
        <v>Pohjois-Pohjanmaa</v>
      </c>
    </row>
    <row r="662" spans="1:40" x14ac:dyDescent="0.3">
      <c r="A662" t="s">
        <v>1473</v>
      </c>
      <c r="B662" t="s">
        <v>1474</v>
      </c>
      <c r="C662" t="s">
        <v>1475</v>
      </c>
      <c r="D662" t="s">
        <v>1476</v>
      </c>
      <c r="E662" t="s">
        <v>1477</v>
      </c>
      <c r="F662" t="s">
        <v>105</v>
      </c>
      <c r="H662">
        <v>80</v>
      </c>
      <c r="I662" t="s">
        <v>154</v>
      </c>
      <c r="J662" t="s">
        <v>110</v>
      </c>
      <c r="K662" t="s">
        <v>1478</v>
      </c>
      <c r="L662" t="s">
        <v>1479</v>
      </c>
      <c r="M662" t="s">
        <v>37</v>
      </c>
      <c r="N662" t="s">
        <v>1480</v>
      </c>
      <c r="O662" t="s">
        <v>1481</v>
      </c>
      <c r="R662" t="s">
        <v>37</v>
      </c>
      <c r="S662" t="s">
        <v>37</v>
      </c>
      <c r="T662">
        <v>60.361195000000002</v>
      </c>
      <c r="U662" t="s">
        <v>1482</v>
      </c>
      <c r="V662" t="s">
        <v>1483</v>
      </c>
      <c r="W662">
        <v>22.276416000000001</v>
      </c>
      <c r="X662">
        <v>209000</v>
      </c>
      <c r="Y662" t="s">
        <v>1484</v>
      </c>
      <c r="AA662" t="s">
        <v>63</v>
      </c>
      <c r="AB662" t="s">
        <v>39</v>
      </c>
      <c r="AC662" t="s">
        <v>480</v>
      </c>
      <c r="AD662" t="s">
        <v>46</v>
      </c>
      <c r="AE662" t="s">
        <v>1485</v>
      </c>
      <c r="AF662" t="s">
        <v>1486</v>
      </c>
      <c r="AG662" t="s">
        <v>1487</v>
      </c>
      <c r="AH662">
        <v>80</v>
      </c>
      <c r="AI662" s="2" t="str">
        <f t="shared" si="50"/>
        <v>Independent</v>
      </c>
      <c r="AJ662" s="2" t="str">
        <f t="shared" si="51"/>
        <v>NO</v>
      </c>
      <c r="AK662" s="1" t="str">
        <f t="shared" si="52"/>
        <v>None</v>
      </c>
      <c r="AL662" s="1" t="str">
        <f t="shared" si="53"/>
        <v>1 Toilet</v>
      </c>
      <c r="AM662" s="1" t="str">
        <f t="shared" si="54"/>
        <v>NO</v>
      </c>
      <c r="AN662" s="1" t="str">
        <f>VLOOKUP(J662, 'Regions and Cities'!A:B, 2, FALSE)</f>
        <v>Varsinais-Suomi</v>
      </c>
    </row>
    <row r="663" spans="1:40" x14ac:dyDescent="0.3">
      <c r="A663" t="s">
        <v>3297</v>
      </c>
      <c r="B663" t="s">
        <v>3298</v>
      </c>
      <c r="C663" t="s">
        <v>3299</v>
      </c>
      <c r="D663" t="s">
        <v>3300</v>
      </c>
      <c r="E663" t="s">
        <v>3301</v>
      </c>
      <c r="F663" t="s">
        <v>721</v>
      </c>
      <c r="H663">
        <v>43</v>
      </c>
      <c r="I663" t="s">
        <v>1858</v>
      </c>
      <c r="J663" t="s">
        <v>392</v>
      </c>
      <c r="K663" t="s">
        <v>3302</v>
      </c>
      <c r="L663" t="s">
        <v>3303</v>
      </c>
      <c r="M663" t="s">
        <v>37</v>
      </c>
      <c r="N663" t="s">
        <v>3304</v>
      </c>
      <c r="O663" t="s">
        <v>3305</v>
      </c>
      <c r="R663" t="s">
        <v>37</v>
      </c>
      <c r="S663" t="s">
        <v>37</v>
      </c>
      <c r="T663">
        <v>63.110230000000001</v>
      </c>
      <c r="U663" t="s">
        <v>3306</v>
      </c>
      <c r="V663" t="s">
        <v>3307</v>
      </c>
      <c r="W663">
        <v>21.596070000000001</v>
      </c>
      <c r="X663">
        <v>109000</v>
      </c>
      <c r="Y663" t="s">
        <v>976</v>
      </c>
      <c r="AA663" t="s">
        <v>38</v>
      </c>
      <c r="AB663" t="s">
        <v>39</v>
      </c>
      <c r="AC663" t="s">
        <v>480</v>
      </c>
      <c r="AD663" t="s">
        <v>40</v>
      </c>
      <c r="AE663" t="s">
        <v>3308</v>
      </c>
      <c r="AF663" t="s">
        <v>3309</v>
      </c>
      <c r="AG663" t="s">
        <v>3310</v>
      </c>
      <c r="AH663">
        <v>43</v>
      </c>
      <c r="AI663" s="2" t="str">
        <f t="shared" si="50"/>
        <v>Kitchenette</v>
      </c>
      <c r="AJ663" s="2" t="str">
        <f t="shared" si="51"/>
        <v>NO</v>
      </c>
      <c r="AK663" s="1" t="str">
        <f t="shared" si="52"/>
        <v>None</v>
      </c>
      <c r="AL663" s="1" t="str">
        <f t="shared" si="53"/>
        <v>1 Toilet</v>
      </c>
      <c r="AM663" s="1" t="str">
        <f t="shared" si="54"/>
        <v>NO</v>
      </c>
      <c r="AN663" s="1" t="str">
        <f>VLOOKUP(J663, 'Regions and Cities'!A:B, 2, FALSE)</f>
        <v>Pohjanmaa</v>
      </c>
    </row>
    <row r="664" spans="1:40" x14ac:dyDescent="0.3">
      <c r="A664" t="s">
        <v>6582</v>
      </c>
      <c r="B664" t="s">
        <v>6583</v>
      </c>
      <c r="C664" t="s">
        <v>6584</v>
      </c>
      <c r="D664" t="s">
        <v>5392</v>
      </c>
      <c r="E664" t="s">
        <v>5393</v>
      </c>
      <c r="F664" t="s">
        <v>5394</v>
      </c>
      <c r="G664" t="s">
        <v>6585</v>
      </c>
      <c r="H664">
        <v>106</v>
      </c>
      <c r="I664" t="s">
        <v>216</v>
      </c>
      <c r="J664" t="s">
        <v>192</v>
      </c>
      <c r="K664" t="s">
        <v>6586</v>
      </c>
      <c r="L664" t="s">
        <v>6587</v>
      </c>
      <c r="M664" t="s">
        <v>37</v>
      </c>
      <c r="N664" t="s">
        <v>6588</v>
      </c>
      <c r="O664" t="s">
        <v>6589</v>
      </c>
      <c r="P664" t="s">
        <v>6590</v>
      </c>
      <c r="Q664" t="s">
        <v>6591</v>
      </c>
      <c r="R664" t="s">
        <v>37</v>
      </c>
      <c r="S664" t="s">
        <v>37</v>
      </c>
      <c r="T664">
        <v>60.414670000000001</v>
      </c>
      <c r="U664" t="s">
        <v>6592</v>
      </c>
      <c r="V664" t="s">
        <v>6593</v>
      </c>
      <c r="W664">
        <v>25.09704</v>
      </c>
      <c r="X664">
        <v>248000</v>
      </c>
      <c r="Y664" t="s">
        <v>3202</v>
      </c>
      <c r="AA664" t="s">
        <v>45</v>
      </c>
      <c r="AB664" t="s">
        <v>39</v>
      </c>
      <c r="AC664" t="s">
        <v>6510</v>
      </c>
      <c r="AD664" t="s">
        <v>55</v>
      </c>
      <c r="AE664" t="s">
        <v>6594</v>
      </c>
      <c r="AF664" t="s">
        <v>6595</v>
      </c>
      <c r="AG664" t="s">
        <v>6596</v>
      </c>
      <c r="AH664">
        <v>106</v>
      </c>
      <c r="AI664" s="2" t="str">
        <f t="shared" si="50"/>
        <v>Independent</v>
      </c>
      <c r="AJ664" s="2" t="str">
        <f t="shared" si="51"/>
        <v>YES</v>
      </c>
      <c r="AK664" s="1" t="str">
        <f t="shared" si="52"/>
        <v>Standard Balcony</v>
      </c>
      <c r="AL664" s="1" t="str">
        <f t="shared" si="53"/>
        <v>1 Toilet</v>
      </c>
      <c r="AM664" s="1" t="str">
        <f t="shared" si="54"/>
        <v>YES</v>
      </c>
      <c r="AN664" s="1" t="str">
        <f>VLOOKUP(J664, 'Regions and Cities'!A:B, 2, FALSE)</f>
        <v>Uusimaa</v>
      </c>
    </row>
    <row r="665" spans="1:40" x14ac:dyDescent="0.3">
      <c r="A665" t="s">
        <v>4422</v>
      </c>
      <c r="B665" t="s">
        <v>4423</v>
      </c>
      <c r="C665" t="s">
        <v>4424</v>
      </c>
      <c r="D665" t="s">
        <v>1946</v>
      </c>
      <c r="E665" t="s">
        <v>1947</v>
      </c>
      <c r="F665" t="s">
        <v>1948</v>
      </c>
      <c r="H665">
        <v>229.3</v>
      </c>
      <c r="I665" t="s">
        <v>454</v>
      </c>
      <c r="J665" t="s">
        <v>397</v>
      </c>
      <c r="K665" t="s">
        <v>4425</v>
      </c>
      <c r="L665" t="s">
        <v>4426</v>
      </c>
      <c r="M665" t="s">
        <v>37</v>
      </c>
      <c r="N665" t="s">
        <v>4427</v>
      </c>
      <c r="O665" t="s">
        <v>4428</v>
      </c>
      <c r="R665" t="s">
        <v>37</v>
      </c>
      <c r="S665" t="s">
        <v>37</v>
      </c>
      <c r="T665">
        <v>60.146439999999998</v>
      </c>
      <c r="U665" t="s">
        <v>4429</v>
      </c>
      <c r="V665" t="s">
        <v>4430</v>
      </c>
      <c r="W665">
        <v>24.517969999999998</v>
      </c>
      <c r="X665">
        <v>875000</v>
      </c>
      <c r="Y665" t="s">
        <v>4431</v>
      </c>
      <c r="AA665" t="s">
        <v>63</v>
      </c>
      <c r="AB665" t="s">
        <v>39</v>
      </c>
      <c r="AC665" t="s">
        <v>4432</v>
      </c>
      <c r="AD665" t="s">
        <v>64</v>
      </c>
      <c r="AE665" t="s">
        <v>4433</v>
      </c>
      <c r="AF665" t="s">
        <v>4434</v>
      </c>
      <c r="AG665" t="s">
        <v>4435</v>
      </c>
      <c r="AH665">
        <v>278</v>
      </c>
      <c r="AI665" s="2" t="str">
        <f t="shared" si="50"/>
        <v>Independent</v>
      </c>
      <c r="AJ665" s="2" t="str">
        <f t="shared" si="51"/>
        <v>YES</v>
      </c>
      <c r="AK665" s="1" t="str">
        <f t="shared" si="52"/>
        <v>None</v>
      </c>
      <c r="AL665" s="1" t="str">
        <f t="shared" si="53"/>
        <v>1 Toilet</v>
      </c>
      <c r="AM665" s="1" t="str">
        <f t="shared" si="54"/>
        <v>NO</v>
      </c>
      <c r="AN665" s="1" t="str">
        <f>VLOOKUP(J665, 'Regions and Cities'!A:B, 2, FALSE)</f>
        <v>Uusimaa</v>
      </c>
    </row>
    <row r="666" spans="1:40" x14ac:dyDescent="0.3">
      <c r="A666" t="s">
        <v>4700</v>
      </c>
      <c r="B666" t="s">
        <v>4701</v>
      </c>
      <c r="C666" t="s">
        <v>4702</v>
      </c>
      <c r="D666" t="s">
        <v>4703</v>
      </c>
      <c r="E666" t="s">
        <v>4704</v>
      </c>
      <c r="F666" t="s">
        <v>79</v>
      </c>
      <c r="G666" t="s">
        <v>4705</v>
      </c>
      <c r="H666">
        <v>125</v>
      </c>
      <c r="I666" t="s">
        <v>573</v>
      </c>
      <c r="J666" t="s">
        <v>399</v>
      </c>
      <c r="K666" t="s">
        <v>4706</v>
      </c>
      <c r="L666" t="s">
        <v>4707</v>
      </c>
      <c r="M666" t="s">
        <v>37</v>
      </c>
      <c r="N666" t="s">
        <v>4708</v>
      </c>
      <c r="O666" t="s">
        <v>4709</v>
      </c>
      <c r="P666" t="s">
        <v>4710</v>
      </c>
      <c r="R666" t="s">
        <v>37</v>
      </c>
      <c r="S666" t="s">
        <v>37</v>
      </c>
      <c r="T666">
        <v>63.084459000000003</v>
      </c>
      <c r="U666" t="s">
        <v>4711</v>
      </c>
      <c r="V666" t="s">
        <v>4712</v>
      </c>
      <c r="W666">
        <v>21.887616999999999</v>
      </c>
      <c r="X666">
        <v>185000</v>
      </c>
      <c r="Y666" t="s">
        <v>230</v>
      </c>
      <c r="AA666" t="s">
        <v>63</v>
      </c>
      <c r="AB666" t="s">
        <v>39</v>
      </c>
      <c r="AC666" t="s">
        <v>480</v>
      </c>
      <c r="AD666" t="s">
        <v>75</v>
      </c>
      <c r="AE666" t="s">
        <v>4713</v>
      </c>
      <c r="AF666" t="s">
        <v>4714</v>
      </c>
      <c r="AG666" t="s">
        <v>4715</v>
      </c>
      <c r="AH666">
        <v>149.80000000000001</v>
      </c>
      <c r="AI666" s="2" t="str">
        <f t="shared" si="50"/>
        <v>Independent</v>
      </c>
      <c r="AJ666" s="2" t="str">
        <f t="shared" si="51"/>
        <v>YES</v>
      </c>
      <c r="AK666" s="1" t="str">
        <f t="shared" si="52"/>
        <v>None</v>
      </c>
      <c r="AL666" s="1" t="str">
        <f t="shared" si="53"/>
        <v>1 Toilet</v>
      </c>
      <c r="AM666" s="1" t="str">
        <f t="shared" si="54"/>
        <v>NO</v>
      </c>
      <c r="AN666" s="1" t="str">
        <f>VLOOKUP(J666, 'Regions and Cities'!A:B, 2, FALSE)</f>
        <v>Pohjanmaa</v>
      </c>
    </row>
    <row r="667" spans="1:40" x14ac:dyDescent="0.3">
      <c r="A667" t="s">
        <v>4869</v>
      </c>
      <c r="B667" t="s">
        <v>4870</v>
      </c>
      <c r="C667" t="s">
        <v>1653</v>
      </c>
      <c r="D667" t="s">
        <v>4808</v>
      </c>
      <c r="E667" t="s">
        <v>4809</v>
      </c>
      <c r="F667" t="s">
        <v>4810</v>
      </c>
      <c r="H667">
        <v>81</v>
      </c>
      <c r="I667" t="s">
        <v>138</v>
      </c>
      <c r="J667" t="s">
        <v>137</v>
      </c>
      <c r="K667" t="s">
        <v>1655</v>
      </c>
      <c r="L667" t="s">
        <v>4871</v>
      </c>
      <c r="M667" t="s">
        <v>37</v>
      </c>
      <c r="N667" t="s">
        <v>4872</v>
      </c>
      <c r="O667" t="s">
        <v>4873</v>
      </c>
      <c r="R667" t="s">
        <v>111</v>
      </c>
      <c r="S667" t="s">
        <v>37</v>
      </c>
      <c r="T667">
        <v>60.231614</v>
      </c>
      <c r="U667" t="s">
        <v>4874</v>
      </c>
      <c r="V667" t="s">
        <v>4875</v>
      </c>
      <c r="W667">
        <v>24.974383</v>
      </c>
      <c r="X667">
        <v>359000</v>
      </c>
      <c r="Y667" t="s">
        <v>62</v>
      </c>
      <c r="AA667" t="s">
        <v>45</v>
      </c>
      <c r="AB667" t="s">
        <v>39</v>
      </c>
      <c r="AC667" t="s">
        <v>596</v>
      </c>
      <c r="AD667" t="s">
        <v>75</v>
      </c>
      <c r="AE667" t="s">
        <v>4876</v>
      </c>
      <c r="AF667" t="s">
        <v>4877</v>
      </c>
      <c r="AG667" t="s">
        <v>4878</v>
      </c>
      <c r="AH667">
        <v>81</v>
      </c>
      <c r="AI667" s="2" t="str">
        <f t="shared" si="50"/>
        <v>Open</v>
      </c>
      <c r="AJ667" s="2" t="str">
        <f t="shared" si="51"/>
        <v>NO</v>
      </c>
      <c r="AK667" s="1" t="str">
        <f t="shared" si="52"/>
        <v>None</v>
      </c>
      <c r="AL667" s="1" t="str">
        <f t="shared" si="53"/>
        <v>1 Toilet</v>
      </c>
      <c r="AM667" s="1" t="str">
        <f t="shared" si="54"/>
        <v>NO</v>
      </c>
      <c r="AN667" s="1" t="str">
        <f>VLOOKUP(J667, 'Regions and Cities'!A:B, 2, FALSE)</f>
        <v>Uusimaa</v>
      </c>
    </row>
    <row r="668" spans="1:40" x14ac:dyDescent="0.3">
      <c r="A668" t="s">
        <v>5044</v>
      </c>
      <c r="B668" t="s">
        <v>5045</v>
      </c>
      <c r="C668" t="s">
        <v>1653</v>
      </c>
      <c r="D668" t="s">
        <v>4808</v>
      </c>
      <c r="E668" t="s">
        <v>4809</v>
      </c>
      <c r="F668" t="s">
        <v>4810</v>
      </c>
      <c r="H668">
        <v>81</v>
      </c>
      <c r="I668" t="s">
        <v>138</v>
      </c>
      <c r="J668" t="s">
        <v>137</v>
      </c>
      <c r="K668" t="s">
        <v>1655</v>
      </c>
      <c r="L668" t="s">
        <v>5046</v>
      </c>
      <c r="M668" t="s">
        <v>37</v>
      </c>
      <c r="N668" t="s">
        <v>5047</v>
      </c>
      <c r="O668" t="s">
        <v>5048</v>
      </c>
      <c r="R668" t="s">
        <v>111</v>
      </c>
      <c r="S668" t="s">
        <v>37</v>
      </c>
      <c r="T668">
        <v>60.231614</v>
      </c>
      <c r="U668" t="s">
        <v>5049</v>
      </c>
      <c r="V668" t="s">
        <v>5050</v>
      </c>
      <c r="W668">
        <v>24.974383</v>
      </c>
      <c r="X668">
        <v>359000</v>
      </c>
      <c r="Y668" t="s">
        <v>62</v>
      </c>
      <c r="AA668" t="s">
        <v>45</v>
      </c>
      <c r="AB668" t="s">
        <v>39</v>
      </c>
      <c r="AC668" t="s">
        <v>596</v>
      </c>
      <c r="AD668" t="s">
        <v>75</v>
      </c>
      <c r="AE668" t="s">
        <v>4876</v>
      </c>
      <c r="AF668" t="s">
        <v>5051</v>
      </c>
      <c r="AG668" t="s">
        <v>4878</v>
      </c>
      <c r="AH668">
        <v>81</v>
      </c>
      <c r="AI668" s="2" t="str">
        <f t="shared" si="50"/>
        <v>Open</v>
      </c>
      <c r="AJ668" s="2" t="str">
        <f t="shared" si="51"/>
        <v>NO</v>
      </c>
      <c r="AK668" s="1" t="str">
        <f t="shared" si="52"/>
        <v>None</v>
      </c>
      <c r="AL668" s="1" t="str">
        <f t="shared" si="53"/>
        <v>1 Toilet</v>
      </c>
      <c r="AM668" s="1" t="str">
        <f t="shared" si="54"/>
        <v>NO</v>
      </c>
      <c r="AN668" s="1" t="str">
        <f>VLOOKUP(J668, 'Regions and Cities'!A:B, 2, FALSE)</f>
        <v>Uusimaa</v>
      </c>
    </row>
    <row r="669" spans="1:40" x14ac:dyDescent="0.3">
      <c r="A669" t="s">
        <v>4900</v>
      </c>
      <c r="B669" t="s">
        <v>4901</v>
      </c>
      <c r="C669" t="s">
        <v>1653</v>
      </c>
      <c r="D669" t="s">
        <v>4808</v>
      </c>
      <c r="E669" t="s">
        <v>4809</v>
      </c>
      <c r="F669" t="s">
        <v>4810</v>
      </c>
      <c r="H669">
        <v>81</v>
      </c>
      <c r="I669" t="s">
        <v>138</v>
      </c>
      <c r="J669" t="s">
        <v>137</v>
      </c>
      <c r="K669" t="s">
        <v>1655</v>
      </c>
      <c r="L669" t="s">
        <v>4902</v>
      </c>
      <c r="M669" t="s">
        <v>37</v>
      </c>
      <c r="N669" t="s">
        <v>4903</v>
      </c>
      <c r="O669" t="s">
        <v>4904</v>
      </c>
      <c r="R669" t="s">
        <v>111</v>
      </c>
      <c r="S669" t="s">
        <v>37</v>
      </c>
      <c r="T669">
        <v>60.231752</v>
      </c>
      <c r="U669" t="s">
        <v>4905</v>
      </c>
      <c r="V669" t="s">
        <v>4906</v>
      </c>
      <c r="W669">
        <v>24.974387</v>
      </c>
      <c r="X669">
        <v>359000</v>
      </c>
      <c r="Y669" t="s">
        <v>62</v>
      </c>
      <c r="AA669" t="s">
        <v>45</v>
      </c>
      <c r="AB669" t="s">
        <v>39</v>
      </c>
      <c r="AC669" t="s">
        <v>4907</v>
      </c>
      <c r="AD669" t="s">
        <v>75</v>
      </c>
      <c r="AE669" t="s">
        <v>4908</v>
      </c>
      <c r="AF669" t="s">
        <v>4909</v>
      </c>
      <c r="AG669" t="s">
        <v>4910</v>
      </c>
      <c r="AH669">
        <v>81</v>
      </c>
      <c r="AI669" s="2" t="str">
        <f t="shared" si="50"/>
        <v>Independent</v>
      </c>
      <c r="AJ669" s="2" t="str">
        <f t="shared" si="51"/>
        <v>NO</v>
      </c>
      <c r="AK669" s="1" t="str">
        <f t="shared" si="52"/>
        <v>None</v>
      </c>
      <c r="AL669" s="1" t="str">
        <f t="shared" si="53"/>
        <v>1 Toilet</v>
      </c>
      <c r="AM669" s="1" t="str">
        <f t="shared" si="54"/>
        <v>NO</v>
      </c>
      <c r="AN669" s="1" t="str">
        <f>VLOOKUP(J669, 'Regions and Cities'!A:B, 2, FALSE)</f>
        <v>Uusimaa</v>
      </c>
    </row>
    <row r="670" spans="1:40" x14ac:dyDescent="0.3">
      <c r="A670" t="s">
        <v>5036</v>
      </c>
      <c r="B670" t="s">
        <v>5037</v>
      </c>
      <c r="C670" t="s">
        <v>1653</v>
      </c>
      <c r="D670" t="s">
        <v>4808</v>
      </c>
      <c r="E670" t="s">
        <v>4809</v>
      </c>
      <c r="F670" t="s">
        <v>4810</v>
      </c>
      <c r="H670">
        <v>76.5</v>
      </c>
      <c r="I670" t="s">
        <v>138</v>
      </c>
      <c r="J670" t="s">
        <v>137</v>
      </c>
      <c r="K670" t="s">
        <v>1655</v>
      </c>
      <c r="L670" t="s">
        <v>5038</v>
      </c>
      <c r="M670" t="s">
        <v>37</v>
      </c>
      <c r="N670" t="s">
        <v>5039</v>
      </c>
      <c r="O670" t="s">
        <v>5040</v>
      </c>
      <c r="R670" t="s">
        <v>111</v>
      </c>
      <c r="S670" t="s">
        <v>37</v>
      </c>
      <c r="T670">
        <v>60.231614</v>
      </c>
      <c r="U670" t="s">
        <v>5041</v>
      </c>
      <c r="V670" t="s">
        <v>5042</v>
      </c>
      <c r="W670">
        <v>24.974273</v>
      </c>
      <c r="X670">
        <v>339000</v>
      </c>
      <c r="Y670" t="s">
        <v>1228</v>
      </c>
      <c r="AA670" t="s">
        <v>45</v>
      </c>
      <c r="AB670" t="s">
        <v>39</v>
      </c>
      <c r="AC670" t="s">
        <v>463</v>
      </c>
      <c r="AD670" t="s">
        <v>46</v>
      </c>
      <c r="AE670" t="s">
        <v>196</v>
      </c>
      <c r="AF670" t="s">
        <v>5043</v>
      </c>
      <c r="AG670" t="s">
        <v>4899</v>
      </c>
      <c r="AH670">
        <v>76.5</v>
      </c>
      <c r="AI670" s="2" t="str">
        <f t="shared" si="50"/>
        <v>Independent</v>
      </c>
      <c r="AJ670" s="2" t="str">
        <f t="shared" si="51"/>
        <v>YES</v>
      </c>
      <c r="AK670" s="1" t="str">
        <f t="shared" si="52"/>
        <v>None</v>
      </c>
      <c r="AL670" s="1" t="str">
        <f t="shared" si="53"/>
        <v>1 Toilet</v>
      </c>
      <c r="AM670" s="1" t="str">
        <f t="shared" si="54"/>
        <v>NO</v>
      </c>
      <c r="AN670" s="1" t="str">
        <f>VLOOKUP(J670, 'Regions and Cities'!A:B, 2, FALSE)</f>
        <v>Uusimaa</v>
      </c>
    </row>
    <row r="671" spans="1:40" x14ac:dyDescent="0.3">
      <c r="A671" t="s">
        <v>4890</v>
      </c>
      <c r="B671" t="s">
        <v>4891</v>
      </c>
      <c r="C671" t="s">
        <v>1653</v>
      </c>
      <c r="D671" t="s">
        <v>4808</v>
      </c>
      <c r="E671" t="s">
        <v>4809</v>
      </c>
      <c r="F671" t="s">
        <v>4810</v>
      </c>
      <c r="H671">
        <v>76.5</v>
      </c>
      <c r="I671" t="s">
        <v>138</v>
      </c>
      <c r="J671" t="s">
        <v>137</v>
      </c>
      <c r="K671" t="s">
        <v>1655</v>
      </c>
      <c r="L671" t="s">
        <v>4892</v>
      </c>
      <c r="M671" t="s">
        <v>37</v>
      </c>
      <c r="N671" t="s">
        <v>4893</v>
      </c>
      <c r="O671" t="s">
        <v>4894</v>
      </c>
      <c r="R671" t="s">
        <v>111</v>
      </c>
      <c r="S671" t="s">
        <v>37</v>
      </c>
      <c r="T671">
        <v>60.231614</v>
      </c>
      <c r="U671" t="s">
        <v>4895</v>
      </c>
      <c r="V671" t="s">
        <v>4896</v>
      </c>
      <c r="W671">
        <v>24.974273</v>
      </c>
      <c r="X671">
        <v>339000</v>
      </c>
      <c r="Y671" t="s">
        <v>1228</v>
      </c>
      <c r="AA671" t="s">
        <v>45</v>
      </c>
      <c r="AB671" t="s">
        <v>39</v>
      </c>
      <c r="AC671" t="s">
        <v>4897</v>
      </c>
      <c r="AD671" t="s">
        <v>46</v>
      </c>
      <c r="AE671" t="s">
        <v>196</v>
      </c>
      <c r="AF671" t="s">
        <v>4898</v>
      </c>
      <c r="AG671" t="s">
        <v>4899</v>
      </c>
      <c r="AH671">
        <v>76.5</v>
      </c>
      <c r="AI671" s="2" t="str">
        <f t="shared" si="50"/>
        <v>Independent</v>
      </c>
      <c r="AJ671" s="2" t="str">
        <f t="shared" si="51"/>
        <v>YES</v>
      </c>
      <c r="AK671" s="1" t="str">
        <f t="shared" si="52"/>
        <v>None</v>
      </c>
      <c r="AL671" s="1" t="str">
        <f t="shared" si="53"/>
        <v>1 Toilet</v>
      </c>
      <c r="AM671" s="1" t="str">
        <f t="shared" si="54"/>
        <v>NO</v>
      </c>
      <c r="AN671" s="1" t="str">
        <f>VLOOKUP(J671, 'Regions and Cities'!A:B, 2, FALSE)</f>
        <v>Uusimaa</v>
      </c>
    </row>
    <row r="672" spans="1:40" x14ac:dyDescent="0.3">
      <c r="A672" t="s">
        <v>4879</v>
      </c>
      <c r="B672" t="s">
        <v>4880</v>
      </c>
      <c r="C672" t="s">
        <v>1653</v>
      </c>
      <c r="D672" t="s">
        <v>4808</v>
      </c>
      <c r="E672" t="s">
        <v>4809</v>
      </c>
      <c r="F672" t="s">
        <v>4810</v>
      </c>
      <c r="H672">
        <v>76.5</v>
      </c>
      <c r="I672" t="s">
        <v>138</v>
      </c>
      <c r="J672" t="s">
        <v>137</v>
      </c>
      <c r="K672" t="s">
        <v>1655</v>
      </c>
      <c r="L672" t="s">
        <v>4881</v>
      </c>
      <c r="M672" t="s">
        <v>37</v>
      </c>
      <c r="N672" t="s">
        <v>4882</v>
      </c>
      <c r="O672" t="s">
        <v>4883</v>
      </c>
      <c r="R672" t="s">
        <v>111</v>
      </c>
      <c r="S672" t="s">
        <v>37</v>
      </c>
      <c r="T672">
        <v>60.231766999999998</v>
      </c>
      <c r="U672" t="s">
        <v>4884</v>
      </c>
      <c r="V672" t="s">
        <v>4885</v>
      </c>
      <c r="W672">
        <v>24.974720999999999</v>
      </c>
      <c r="X672">
        <v>339000</v>
      </c>
      <c r="Y672" t="s">
        <v>1228</v>
      </c>
      <c r="AA672" t="s">
        <v>45</v>
      </c>
      <c r="AB672" t="s">
        <v>39</v>
      </c>
      <c r="AC672" t="s">
        <v>4886</v>
      </c>
      <c r="AD672" t="s">
        <v>46</v>
      </c>
      <c r="AE672" t="s">
        <v>4887</v>
      </c>
      <c r="AF672" t="s">
        <v>4888</v>
      </c>
      <c r="AG672" t="s">
        <v>4889</v>
      </c>
      <c r="AH672"/>
      <c r="AI672" s="2" t="str">
        <f t="shared" si="50"/>
        <v>Independent</v>
      </c>
      <c r="AJ672" s="2" t="str">
        <f t="shared" si="51"/>
        <v>NO</v>
      </c>
      <c r="AK672" s="1" t="str">
        <f t="shared" si="52"/>
        <v>None</v>
      </c>
      <c r="AL672" s="1" t="str">
        <f t="shared" si="53"/>
        <v>1 Toilet</v>
      </c>
      <c r="AM672" s="1" t="str">
        <f t="shared" si="54"/>
        <v>YES</v>
      </c>
      <c r="AN672" s="1" t="str">
        <f>VLOOKUP(J672, 'Regions and Cities'!A:B, 2, FALSE)</f>
        <v>Uusimaa</v>
      </c>
    </row>
    <row r="673" spans="1:40" x14ac:dyDescent="0.3">
      <c r="A673" t="s">
        <v>4307</v>
      </c>
      <c r="B673" t="s">
        <v>4308</v>
      </c>
      <c r="C673" t="s">
        <v>4309</v>
      </c>
      <c r="D673" t="s">
        <v>48</v>
      </c>
      <c r="E673" t="s">
        <v>49</v>
      </c>
      <c r="F673" t="s">
        <v>50</v>
      </c>
      <c r="G673" t="s">
        <v>4310</v>
      </c>
      <c r="H673">
        <v>58</v>
      </c>
      <c r="I673" t="s">
        <v>4311</v>
      </c>
      <c r="J673" t="s">
        <v>101</v>
      </c>
      <c r="K673" t="s">
        <v>4312</v>
      </c>
      <c r="L673" t="s">
        <v>4313</v>
      </c>
      <c r="M673" t="s">
        <v>37</v>
      </c>
      <c r="N673" t="s">
        <v>4314</v>
      </c>
      <c r="O673" t="s">
        <v>4315</v>
      </c>
      <c r="P673" t="s">
        <v>4316</v>
      </c>
      <c r="R673" t="s">
        <v>37</v>
      </c>
      <c r="S673" t="s">
        <v>37</v>
      </c>
      <c r="T673">
        <v>60.983220000000003</v>
      </c>
      <c r="U673" t="s">
        <v>4317</v>
      </c>
      <c r="V673" t="s">
        <v>4318</v>
      </c>
      <c r="W673">
        <v>25.661149999999999</v>
      </c>
      <c r="X673">
        <v>198000</v>
      </c>
      <c r="Y673" t="s">
        <v>267</v>
      </c>
      <c r="AA673" t="s">
        <v>38</v>
      </c>
      <c r="AB673" t="s">
        <v>39</v>
      </c>
      <c r="AC673" t="s">
        <v>480</v>
      </c>
      <c r="AD673" t="s">
        <v>40</v>
      </c>
      <c r="AE673" t="s">
        <v>4319</v>
      </c>
      <c r="AF673" t="s">
        <v>4320</v>
      </c>
      <c r="AG673" t="s">
        <v>4321</v>
      </c>
      <c r="AH673">
        <v>58</v>
      </c>
      <c r="AI673" s="2" t="str">
        <f t="shared" si="50"/>
        <v>Independent</v>
      </c>
      <c r="AJ673" s="2" t="str">
        <f t="shared" si="51"/>
        <v>NO</v>
      </c>
      <c r="AK673" s="1" t="str">
        <f t="shared" si="52"/>
        <v>None</v>
      </c>
      <c r="AL673" s="1" t="str">
        <f t="shared" si="53"/>
        <v>1 Toilet</v>
      </c>
      <c r="AM673" s="1" t="str">
        <f t="shared" si="54"/>
        <v>NO</v>
      </c>
      <c r="AN673" s="1" t="str">
        <f>VLOOKUP(J673, 'Regions and Cities'!A:B, 2, FALSE)</f>
        <v>Päijät-Häme</v>
      </c>
    </row>
    <row r="674" spans="1:40" x14ac:dyDescent="0.3">
      <c r="A674" t="s">
        <v>5308</v>
      </c>
      <c r="B674" t="s">
        <v>5309</v>
      </c>
      <c r="C674" t="s">
        <v>167</v>
      </c>
      <c r="D674" t="s">
        <v>168</v>
      </c>
      <c r="E674" t="s">
        <v>169</v>
      </c>
      <c r="F674" t="s">
        <v>170</v>
      </c>
      <c r="H674">
        <v>27.5</v>
      </c>
      <c r="I674" t="s">
        <v>147</v>
      </c>
      <c r="J674" t="s">
        <v>171</v>
      </c>
      <c r="K674" t="s">
        <v>131</v>
      </c>
      <c r="L674" t="s">
        <v>5310</v>
      </c>
      <c r="M674" t="s">
        <v>37</v>
      </c>
      <c r="N674" t="s">
        <v>5311</v>
      </c>
      <c r="O674" t="s">
        <v>5312</v>
      </c>
      <c r="R674" t="s">
        <v>111</v>
      </c>
      <c r="S674" t="s">
        <v>37</v>
      </c>
      <c r="T674">
        <v>60.502825000000001</v>
      </c>
      <c r="U674" t="s">
        <v>5313</v>
      </c>
      <c r="V674" t="s">
        <v>5314</v>
      </c>
      <c r="W674">
        <v>22.467523</v>
      </c>
      <c r="X674">
        <v>99900</v>
      </c>
      <c r="Y674" t="s">
        <v>5315</v>
      </c>
      <c r="AA674" t="s">
        <v>38</v>
      </c>
      <c r="AB674" t="s">
        <v>39</v>
      </c>
      <c r="AC674" t="s">
        <v>480</v>
      </c>
      <c r="AD674">
        <v>1</v>
      </c>
      <c r="AE674" t="s">
        <v>5316</v>
      </c>
      <c r="AF674" t="s">
        <v>5317</v>
      </c>
      <c r="AG674" t="s">
        <v>5318</v>
      </c>
      <c r="AH674">
        <v>37</v>
      </c>
      <c r="AI674" s="2" t="str">
        <f t="shared" si="50"/>
        <v>Independent</v>
      </c>
      <c r="AJ674" s="2" t="str">
        <f t="shared" si="51"/>
        <v>NO</v>
      </c>
      <c r="AK674" s="1" t="str">
        <f t="shared" si="52"/>
        <v>None</v>
      </c>
      <c r="AL674" s="1" t="str">
        <f t="shared" si="53"/>
        <v>1 Toilet</v>
      </c>
      <c r="AM674" s="1" t="str">
        <f t="shared" si="54"/>
        <v>NO</v>
      </c>
      <c r="AN674" s="1" t="str">
        <f>VLOOKUP(J674, 'Regions and Cities'!A:B, 2, FALSE)</f>
        <v>Varsinais-Suomi</v>
      </c>
    </row>
    <row r="675" spans="1:40" x14ac:dyDescent="0.3">
      <c r="A675" t="s">
        <v>7974</v>
      </c>
      <c r="B675" t="s">
        <v>7975</v>
      </c>
      <c r="C675" t="s">
        <v>7976</v>
      </c>
      <c r="D675" t="s">
        <v>2399</v>
      </c>
      <c r="E675" t="s">
        <v>2400</v>
      </c>
      <c r="F675" t="s">
        <v>2401</v>
      </c>
      <c r="H675">
        <v>150</v>
      </c>
      <c r="I675" t="s">
        <v>3534</v>
      </c>
      <c r="J675" t="s">
        <v>355</v>
      </c>
      <c r="K675" t="s">
        <v>7977</v>
      </c>
      <c r="L675" t="s">
        <v>7978</v>
      </c>
      <c r="M675" t="s">
        <v>37</v>
      </c>
      <c r="N675" t="s">
        <v>7979</v>
      </c>
      <c r="O675" t="s">
        <v>7980</v>
      </c>
      <c r="R675" t="s">
        <v>37</v>
      </c>
      <c r="S675" t="s">
        <v>37</v>
      </c>
      <c r="T675">
        <v>61.793729999999996</v>
      </c>
      <c r="U675" t="s">
        <v>7981</v>
      </c>
      <c r="V675" t="s">
        <v>7982</v>
      </c>
      <c r="W675">
        <v>22.3779</v>
      </c>
      <c r="X675">
        <v>154000</v>
      </c>
      <c r="Y675" t="s">
        <v>7983</v>
      </c>
      <c r="AA675" t="s">
        <v>63</v>
      </c>
      <c r="AB675" t="s">
        <v>39</v>
      </c>
      <c r="AC675" t="s">
        <v>6510</v>
      </c>
      <c r="AD675" t="s">
        <v>55</v>
      </c>
      <c r="AE675" t="s">
        <v>7984</v>
      </c>
      <c r="AF675" t="s">
        <v>7985</v>
      </c>
      <c r="AG675" t="s">
        <v>7986</v>
      </c>
      <c r="AH675">
        <v>206</v>
      </c>
      <c r="AI675" s="2" t="str">
        <f t="shared" si="50"/>
        <v>Kitchenette</v>
      </c>
      <c r="AJ675" s="2" t="str">
        <f t="shared" si="51"/>
        <v>NO</v>
      </c>
      <c r="AK675" s="1" t="str">
        <f t="shared" si="52"/>
        <v>None</v>
      </c>
      <c r="AL675" s="1" t="str">
        <f t="shared" si="53"/>
        <v>1 Toilet</v>
      </c>
      <c r="AM675" s="1" t="str">
        <f t="shared" si="54"/>
        <v>YES</v>
      </c>
      <c r="AN675" s="1" t="str">
        <f>VLOOKUP(J675, 'Regions and Cities'!A:B, 2, FALSE)</f>
        <v>Satakunta</v>
      </c>
    </row>
    <row r="676" spans="1:40" x14ac:dyDescent="0.3">
      <c r="A676" t="s">
        <v>5407</v>
      </c>
      <c r="B676" t="s">
        <v>5408</v>
      </c>
      <c r="C676" t="s">
        <v>5409</v>
      </c>
      <c r="D676" t="s">
        <v>277</v>
      </c>
      <c r="E676" t="s">
        <v>278</v>
      </c>
      <c r="F676" t="s">
        <v>279</v>
      </c>
      <c r="H676">
        <v>126</v>
      </c>
      <c r="I676" t="s">
        <v>191</v>
      </c>
      <c r="J676" t="s">
        <v>365</v>
      </c>
      <c r="K676" t="s">
        <v>5410</v>
      </c>
      <c r="L676" t="s">
        <v>5411</v>
      </c>
      <c r="M676" t="s">
        <v>37</v>
      </c>
      <c r="N676" t="s">
        <v>5412</v>
      </c>
      <c r="O676" t="s">
        <v>5413</v>
      </c>
      <c r="R676" t="s">
        <v>37</v>
      </c>
      <c r="S676" t="s">
        <v>37</v>
      </c>
      <c r="T676">
        <v>64.945049999999995</v>
      </c>
      <c r="U676" t="s">
        <v>5414</v>
      </c>
      <c r="V676" t="s">
        <v>5415</v>
      </c>
      <c r="W676">
        <v>25.44387</v>
      </c>
      <c r="X676">
        <v>429000</v>
      </c>
      <c r="Y676" t="s">
        <v>5416</v>
      </c>
      <c r="AA676" t="s">
        <v>63</v>
      </c>
      <c r="AB676" t="s">
        <v>39</v>
      </c>
      <c r="AC676" t="s">
        <v>480</v>
      </c>
      <c r="AD676" t="s">
        <v>55</v>
      </c>
      <c r="AE676" t="s">
        <v>5417</v>
      </c>
      <c r="AF676" t="s">
        <v>5418</v>
      </c>
      <c r="AG676" t="s">
        <v>5419</v>
      </c>
      <c r="AH676">
        <v>150</v>
      </c>
      <c r="AI676" s="2" t="str">
        <f t="shared" si="50"/>
        <v>Independent</v>
      </c>
      <c r="AJ676" s="2" t="str">
        <f t="shared" si="51"/>
        <v>NO</v>
      </c>
      <c r="AK676" s="1" t="str">
        <f t="shared" si="52"/>
        <v>None</v>
      </c>
      <c r="AL676" s="1" t="str">
        <f t="shared" si="53"/>
        <v>1 Toilet</v>
      </c>
      <c r="AM676" s="1" t="str">
        <f t="shared" si="54"/>
        <v>YES</v>
      </c>
      <c r="AN676" s="1" t="str">
        <f>VLOOKUP(J676, 'Regions and Cities'!A:B, 2, FALSE)</f>
        <v>Pohjois-Pohjanmaa</v>
      </c>
    </row>
    <row r="677" spans="1:40" x14ac:dyDescent="0.3">
      <c r="A677" t="s">
        <v>2502</v>
      </c>
      <c r="B677" t="s">
        <v>2503</v>
      </c>
      <c r="C677" t="s">
        <v>2504</v>
      </c>
      <c r="D677" t="s">
        <v>2505</v>
      </c>
      <c r="E677" t="s">
        <v>2506</v>
      </c>
      <c r="F677" t="s">
        <v>2507</v>
      </c>
      <c r="H677">
        <v>72.5</v>
      </c>
      <c r="I677" t="s">
        <v>109</v>
      </c>
      <c r="J677" t="s">
        <v>228</v>
      </c>
      <c r="K677" t="s">
        <v>2508</v>
      </c>
      <c r="L677" t="s">
        <v>2509</v>
      </c>
      <c r="M677" t="s">
        <v>37</v>
      </c>
      <c r="N677" t="s">
        <v>2510</v>
      </c>
      <c r="O677" t="s">
        <v>2511</v>
      </c>
      <c r="R677" t="s">
        <v>37</v>
      </c>
      <c r="S677" t="s">
        <v>37</v>
      </c>
      <c r="T677">
        <v>61.468595999999998</v>
      </c>
      <c r="U677" t="s">
        <v>2512</v>
      </c>
      <c r="V677" t="s">
        <v>2513</v>
      </c>
      <c r="W677">
        <v>23.523774</v>
      </c>
      <c r="X677">
        <v>191000</v>
      </c>
      <c r="Y677" t="s">
        <v>2514</v>
      </c>
      <c r="AA677" t="s">
        <v>38</v>
      </c>
      <c r="AB677" t="s">
        <v>39</v>
      </c>
      <c r="AC677" t="s">
        <v>480</v>
      </c>
      <c r="AD677" t="s">
        <v>46</v>
      </c>
      <c r="AE677" t="s">
        <v>2515</v>
      </c>
      <c r="AF677" t="s">
        <v>2516</v>
      </c>
      <c r="AG677" t="s">
        <v>2517</v>
      </c>
      <c r="AH677">
        <v>72.5</v>
      </c>
      <c r="AI677" s="2" t="str">
        <f t="shared" si="50"/>
        <v>Independent</v>
      </c>
      <c r="AJ677" s="2" t="str">
        <f t="shared" si="51"/>
        <v>YES</v>
      </c>
      <c r="AK677" s="1" t="str">
        <f t="shared" si="52"/>
        <v>Glazed Balcony</v>
      </c>
      <c r="AL677" s="1" t="str">
        <f t="shared" si="53"/>
        <v>1 Toilet</v>
      </c>
      <c r="AM677" s="1" t="str">
        <f t="shared" si="54"/>
        <v>NO</v>
      </c>
      <c r="AN677" s="1" t="str">
        <f>VLOOKUP(J677, 'Regions and Cities'!A:B, 2, FALSE)</f>
        <v>Pirkanmaa</v>
      </c>
    </row>
    <row r="678" spans="1:40" x14ac:dyDescent="0.3">
      <c r="A678" t="s">
        <v>7454</v>
      </c>
      <c r="B678" t="s">
        <v>7455</v>
      </c>
      <c r="C678" t="s">
        <v>7456</v>
      </c>
      <c r="D678" t="s">
        <v>1717</v>
      </c>
      <c r="E678" t="s">
        <v>1718</v>
      </c>
      <c r="F678" t="s">
        <v>1719</v>
      </c>
      <c r="H678">
        <v>88</v>
      </c>
      <c r="I678" t="s">
        <v>1670</v>
      </c>
      <c r="J678" t="s">
        <v>116</v>
      </c>
      <c r="K678" t="s">
        <v>7457</v>
      </c>
      <c r="L678" t="s">
        <v>7458</v>
      </c>
      <c r="M678" t="s">
        <v>37</v>
      </c>
      <c r="N678" t="s">
        <v>7459</v>
      </c>
      <c r="O678" t="s">
        <v>7460</v>
      </c>
      <c r="R678" t="s">
        <v>37</v>
      </c>
      <c r="S678" t="s">
        <v>37</v>
      </c>
      <c r="T678">
        <v>60.329661999999999</v>
      </c>
      <c r="U678" t="s">
        <v>7461</v>
      </c>
      <c r="V678" t="s">
        <v>7462</v>
      </c>
      <c r="W678">
        <v>25.063575</v>
      </c>
      <c r="X678">
        <v>35009.019999999997</v>
      </c>
      <c r="Y678" t="s">
        <v>7463</v>
      </c>
      <c r="AA678" t="s">
        <v>38</v>
      </c>
      <c r="AB678" t="s">
        <v>39</v>
      </c>
      <c r="AC678" t="s">
        <v>6510</v>
      </c>
      <c r="AD678" t="s">
        <v>75</v>
      </c>
      <c r="AE678" t="s">
        <v>1866</v>
      </c>
      <c r="AF678" t="s">
        <v>7464</v>
      </c>
      <c r="AG678" t="s">
        <v>7465</v>
      </c>
      <c r="AH678"/>
      <c r="AI678" s="2" t="str">
        <f t="shared" si="50"/>
        <v>Independent</v>
      </c>
      <c r="AJ678" s="2" t="str">
        <f t="shared" si="51"/>
        <v>YES</v>
      </c>
      <c r="AK678" s="1" t="str">
        <f t="shared" si="52"/>
        <v>None</v>
      </c>
      <c r="AL678" s="1" t="str">
        <f t="shared" si="53"/>
        <v>1 Toilet</v>
      </c>
      <c r="AM678" s="1" t="str">
        <f t="shared" si="54"/>
        <v>NO</v>
      </c>
      <c r="AN678" s="1" t="str">
        <f>VLOOKUP(J678, 'Regions and Cities'!A:B, 2, FALSE)</f>
        <v>Uusimaa</v>
      </c>
    </row>
    <row r="679" spans="1:40" x14ac:dyDescent="0.3">
      <c r="A679" t="s">
        <v>7454</v>
      </c>
      <c r="B679" t="s">
        <v>7455</v>
      </c>
      <c r="C679" t="s">
        <v>7456</v>
      </c>
      <c r="D679" t="s">
        <v>1717</v>
      </c>
      <c r="E679" t="s">
        <v>1718</v>
      </c>
      <c r="F679" t="s">
        <v>1719</v>
      </c>
      <c r="H679">
        <v>58</v>
      </c>
      <c r="I679" t="s">
        <v>1670</v>
      </c>
      <c r="J679" t="s">
        <v>116</v>
      </c>
      <c r="K679" t="s">
        <v>7457</v>
      </c>
      <c r="L679" t="s">
        <v>7466</v>
      </c>
      <c r="M679" t="s">
        <v>37</v>
      </c>
      <c r="N679" t="s">
        <v>7467</v>
      </c>
      <c r="O679" t="s">
        <v>7468</v>
      </c>
      <c r="R679" t="s">
        <v>37</v>
      </c>
      <c r="S679" t="s">
        <v>37</v>
      </c>
      <c r="T679">
        <v>60.329661999999999</v>
      </c>
      <c r="U679" t="s">
        <v>7469</v>
      </c>
      <c r="V679" t="s">
        <v>7470</v>
      </c>
      <c r="W679">
        <v>25.063575</v>
      </c>
      <c r="X679">
        <v>25845.24</v>
      </c>
      <c r="Y679" t="s">
        <v>7471</v>
      </c>
      <c r="AA679" t="s">
        <v>38</v>
      </c>
      <c r="AB679" t="s">
        <v>39</v>
      </c>
      <c r="AC679" t="s">
        <v>6510</v>
      </c>
      <c r="AD679" t="s">
        <v>40</v>
      </c>
      <c r="AE679" t="s">
        <v>1728</v>
      </c>
      <c r="AF679" t="s">
        <v>7472</v>
      </c>
      <c r="AG679" t="s">
        <v>7473</v>
      </c>
      <c r="AH679"/>
      <c r="AI679" s="2" t="str">
        <f t="shared" si="50"/>
        <v>Independent</v>
      </c>
      <c r="AJ679" s="2" t="str">
        <f t="shared" si="51"/>
        <v>YES</v>
      </c>
      <c r="AK679" s="1" t="str">
        <f t="shared" si="52"/>
        <v>None</v>
      </c>
      <c r="AL679" s="1" t="str">
        <f t="shared" si="53"/>
        <v>1 Toilet</v>
      </c>
      <c r="AM679" s="1" t="str">
        <f t="shared" si="54"/>
        <v>NO</v>
      </c>
      <c r="AN679" s="1" t="str">
        <f>VLOOKUP(J679, 'Regions and Cities'!A:B, 2, FALSE)</f>
        <v>Uusimaa</v>
      </c>
    </row>
    <row r="680" spans="1:40" x14ac:dyDescent="0.3">
      <c r="A680" t="s">
        <v>3845</v>
      </c>
      <c r="B680" t="s">
        <v>3846</v>
      </c>
      <c r="C680" t="s">
        <v>3847</v>
      </c>
      <c r="D680" t="s">
        <v>3848</v>
      </c>
      <c r="E680" t="s">
        <v>3849</v>
      </c>
      <c r="F680" t="s">
        <v>187</v>
      </c>
      <c r="G680" t="s">
        <v>3850</v>
      </c>
      <c r="H680">
        <v>40</v>
      </c>
      <c r="I680" t="s">
        <v>35</v>
      </c>
      <c r="J680" t="s">
        <v>208</v>
      </c>
      <c r="K680" t="s">
        <v>3851</v>
      </c>
      <c r="L680" t="s">
        <v>3852</v>
      </c>
      <c r="M680" t="s">
        <v>37</v>
      </c>
      <c r="N680" t="s">
        <v>3853</v>
      </c>
      <c r="O680" t="s">
        <v>3854</v>
      </c>
      <c r="P680" t="s">
        <v>3855</v>
      </c>
      <c r="Q680" t="s">
        <v>3856</v>
      </c>
      <c r="R680" t="s">
        <v>37</v>
      </c>
      <c r="S680" t="s">
        <v>37</v>
      </c>
      <c r="T680">
        <v>66.48254</v>
      </c>
      <c r="U680" t="s">
        <v>3857</v>
      </c>
      <c r="V680" t="s">
        <v>3858</v>
      </c>
      <c r="W680">
        <v>25.69276</v>
      </c>
      <c r="X680">
        <v>139900</v>
      </c>
      <c r="Y680" t="s">
        <v>238</v>
      </c>
      <c r="AA680" t="s">
        <v>38</v>
      </c>
      <c r="AB680" t="s">
        <v>39</v>
      </c>
      <c r="AC680" t="s">
        <v>480</v>
      </c>
      <c r="AD680" t="s">
        <v>40</v>
      </c>
      <c r="AE680" t="s">
        <v>3859</v>
      </c>
      <c r="AF680" t="s">
        <v>3860</v>
      </c>
      <c r="AG680" t="s">
        <v>3861</v>
      </c>
      <c r="AH680">
        <v>40</v>
      </c>
      <c r="AI680" s="2" t="str">
        <f t="shared" si="50"/>
        <v>Independent</v>
      </c>
      <c r="AJ680" s="2" t="str">
        <f t="shared" si="51"/>
        <v>NO</v>
      </c>
      <c r="AK680" s="1" t="str">
        <f t="shared" si="52"/>
        <v>Standard Balcony</v>
      </c>
      <c r="AL680" s="1" t="str">
        <f t="shared" si="53"/>
        <v>1 Toilet</v>
      </c>
      <c r="AM680" s="1" t="str">
        <f t="shared" si="54"/>
        <v>NO</v>
      </c>
      <c r="AN680" s="1" t="str">
        <f>VLOOKUP(J680, 'Regions and Cities'!A:B, 2, FALSE)</f>
        <v>Lappi</v>
      </c>
    </row>
    <row r="681" spans="1:40" x14ac:dyDescent="0.3">
      <c r="A681" t="s">
        <v>4521</v>
      </c>
      <c r="B681" t="s">
        <v>4522</v>
      </c>
      <c r="C681" t="s">
        <v>4523</v>
      </c>
      <c r="D681" t="s">
        <v>4524</v>
      </c>
      <c r="E681" t="s">
        <v>4525</v>
      </c>
      <c r="F681" t="s">
        <v>105</v>
      </c>
      <c r="G681" t="s">
        <v>4526</v>
      </c>
      <c r="H681">
        <v>100</v>
      </c>
      <c r="I681" t="s">
        <v>51</v>
      </c>
      <c r="J681" t="s">
        <v>406</v>
      </c>
      <c r="K681" t="s">
        <v>4527</v>
      </c>
      <c r="L681" t="s">
        <v>4528</v>
      </c>
      <c r="M681" t="s">
        <v>111</v>
      </c>
      <c r="N681" t="s">
        <v>4529</v>
      </c>
      <c r="O681" t="s">
        <v>4530</v>
      </c>
      <c r="P681" t="s">
        <v>4531</v>
      </c>
      <c r="R681" t="s">
        <v>37</v>
      </c>
      <c r="S681" t="s">
        <v>37</v>
      </c>
      <c r="T681">
        <v>64.259307000000007</v>
      </c>
      <c r="U681" t="s">
        <v>4532</v>
      </c>
      <c r="V681" t="s">
        <v>4533</v>
      </c>
      <c r="W681">
        <v>23.948674</v>
      </c>
      <c r="X681">
        <v>200000</v>
      </c>
      <c r="Y681" t="s">
        <v>527</v>
      </c>
      <c r="AA681" t="s">
        <v>63</v>
      </c>
      <c r="AB681" t="s">
        <v>39</v>
      </c>
      <c r="AC681" t="s">
        <v>4534</v>
      </c>
      <c r="AD681" t="s">
        <v>75</v>
      </c>
      <c r="AE681" t="s">
        <v>4535</v>
      </c>
      <c r="AF681" t="s">
        <v>4536</v>
      </c>
      <c r="AG681" t="s">
        <v>4537</v>
      </c>
      <c r="AH681"/>
      <c r="AI681" s="2" t="str">
        <f t="shared" si="50"/>
        <v>Independent</v>
      </c>
      <c r="AJ681" s="2" t="str">
        <f t="shared" si="51"/>
        <v>NO</v>
      </c>
      <c r="AK681" s="1" t="str">
        <f t="shared" si="52"/>
        <v>None</v>
      </c>
      <c r="AL681" s="1" t="str">
        <f t="shared" si="53"/>
        <v>1 Toilet</v>
      </c>
      <c r="AM681" s="1" t="str">
        <f t="shared" si="54"/>
        <v>YES</v>
      </c>
      <c r="AN681" s="1" t="str">
        <f>VLOOKUP(J681, 'Regions and Cities'!A:B, 2, FALSE)</f>
        <v>Pohjois-Pohjanmaa</v>
      </c>
    </row>
    <row r="682" spans="1:40" x14ac:dyDescent="0.3">
      <c r="A682" t="s">
        <v>8516</v>
      </c>
      <c r="B682" t="s">
        <v>8517</v>
      </c>
      <c r="C682" t="s">
        <v>8518</v>
      </c>
      <c r="D682" t="s">
        <v>77</v>
      </c>
      <c r="E682" t="s">
        <v>78</v>
      </c>
      <c r="F682" t="s">
        <v>79</v>
      </c>
      <c r="G682" t="s">
        <v>2271</v>
      </c>
      <c r="H682">
        <v>27</v>
      </c>
      <c r="I682" t="s">
        <v>224</v>
      </c>
      <c r="J682" t="s">
        <v>73</v>
      </c>
      <c r="K682" t="s">
        <v>8519</v>
      </c>
      <c r="L682" t="s">
        <v>8520</v>
      </c>
      <c r="M682" t="s">
        <v>37</v>
      </c>
      <c r="N682" t="s">
        <v>8521</v>
      </c>
      <c r="O682" t="s">
        <v>8522</v>
      </c>
      <c r="P682" t="s">
        <v>8523</v>
      </c>
      <c r="Q682" t="s">
        <v>8524</v>
      </c>
      <c r="R682" t="s">
        <v>37</v>
      </c>
      <c r="S682" t="s">
        <v>37</v>
      </c>
      <c r="T682">
        <v>62.246653000000002</v>
      </c>
      <c r="U682" t="s">
        <v>8525</v>
      </c>
      <c r="V682" t="s">
        <v>8526</v>
      </c>
      <c r="W682">
        <v>25.730115000000001</v>
      </c>
      <c r="X682">
        <v>69500</v>
      </c>
      <c r="Y682" t="s">
        <v>8527</v>
      </c>
      <c r="AA682" t="s">
        <v>38</v>
      </c>
      <c r="AB682" t="s">
        <v>39</v>
      </c>
      <c r="AC682" t="s">
        <v>6510</v>
      </c>
      <c r="AD682" t="s">
        <v>202</v>
      </c>
      <c r="AE682" t="s">
        <v>222</v>
      </c>
      <c r="AF682" t="s">
        <v>8528</v>
      </c>
      <c r="AG682" t="s">
        <v>8529</v>
      </c>
      <c r="AH682">
        <v>27</v>
      </c>
      <c r="AI682" s="2" t="str">
        <f t="shared" si="50"/>
        <v>Kitchenette</v>
      </c>
      <c r="AJ682" s="2" t="str">
        <f t="shared" si="51"/>
        <v>NO</v>
      </c>
      <c r="AK682" s="1" t="str">
        <f t="shared" si="52"/>
        <v>None</v>
      </c>
      <c r="AL682" s="1" t="str">
        <f t="shared" si="53"/>
        <v>1 Toilet</v>
      </c>
      <c r="AM682" s="1" t="str">
        <f t="shared" si="54"/>
        <v>NO</v>
      </c>
      <c r="AN682" s="1" t="str">
        <f>VLOOKUP(J682, 'Regions and Cities'!A:B, 2, FALSE)</f>
        <v>Keski-Suomi</v>
      </c>
    </row>
    <row r="683" spans="1:40" x14ac:dyDescent="0.3">
      <c r="A683" t="s">
        <v>872</v>
      </c>
      <c r="B683" t="s">
        <v>873</v>
      </c>
      <c r="C683" t="s">
        <v>874</v>
      </c>
      <c r="D683" t="s">
        <v>299</v>
      </c>
      <c r="E683" t="s">
        <v>300</v>
      </c>
      <c r="F683" t="s">
        <v>50</v>
      </c>
      <c r="G683" t="s">
        <v>875</v>
      </c>
      <c r="H683">
        <v>120</v>
      </c>
      <c r="I683" t="s">
        <v>224</v>
      </c>
      <c r="J683" t="s">
        <v>341</v>
      </c>
      <c r="K683" t="s">
        <v>876</v>
      </c>
      <c r="L683" t="s">
        <v>877</v>
      </c>
      <c r="M683" t="s">
        <v>37</v>
      </c>
      <c r="N683" t="s">
        <v>878</v>
      </c>
      <c r="O683" t="s">
        <v>879</v>
      </c>
      <c r="P683" t="s">
        <v>880</v>
      </c>
      <c r="Q683" t="s">
        <v>881</v>
      </c>
      <c r="R683" t="s">
        <v>37</v>
      </c>
      <c r="S683" t="s">
        <v>37</v>
      </c>
      <c r="T683">
        <v>61.597560000000001</v>
      </c>
      <c r="U683" t="s">
        <v>882</v>
      </c>
      <c r="V683" t="s">
        <v>883</v>
      </c>
      <c r="W683">
        <v>22.57931</v>
      </c>
      <c r="X683">
        <v>110000</v>
      </c>
      <c r="Y683" t="s">
        <v>884</v>
      </c>
      <c r="AA683" t="s">
        <v>63</v>
      </c>
      <c r="AB683" t="s">
        <v>39</v>
      </c>
      <c r="AC683" t="s">
        <v>885</v>
      </c>
      <c r="AD683" t="s">
        <v>75</v>
      </c>
      <c r="AE683" t="s">
        <v>886</v>
      </c>
      <c r="AF683" t="s">
        <v>887</v>
      </c>
      <c r="AG683" t="s">
        <v>888</v>
      </c>
      <c r="AH683">
        <v>160</v>
      </c>
      <c r="AI683" s="2" t="str">
        <f t="shared" si="50"/>
        <v>Independent</v>
      </c>
      <c r="AJ683" s="2" t="str">
        <f t="shared" si="51"/>
        <v>YES</v>
      </c>
      <c r="AK683" s="1" t="str">
        <f t="shared" si="52"/>
        <v>None</v>
      </c>
      <c r="AL683" s="1" t="str">
        <f t="shared" si="53"/>
        <v>1 Toilet</v>
      </c>
      <c r="AM683" s="1" t="str">
        <f t="shared" si="54"/>
        <v>NO</v>
      </c>
      <c r="AN683" s="1" t="str">
        <f>VLOOKUP(J683, 'Regions and Cities'!A:B, 2, FALSE)</f>
        <v>Satakunta</v>
      </c>
    </row>
    <row r="684" spans="1:40" x14ac:dyDescent="0.3">
      <c r="A684" t="s">
        <v>6609</v>
      </c>
      <c r="B684" t="s">
        <v>6610</v>
      </c>
      <c r="C684" t="s">
        <v>6611</v>
      </c>
      <c r="D684" t="s">
        <v>5795</v>
      </c>
      <c r="E684" t="s">
        <v>5796</v>
      </c>
      <c r="F684" t="s">
        <v>187</v>
      </c>
      <c r="G684" t="s">
        <v>5797</v>
      </c>
      <c r="H684">
        <v>57</v>
      </c>
      <c r="I684" t="s">
        <v>51</v>
      </c>
      <c r="J684" t="s">
        <v>371</v>
      </c>
      <c r="K684" t="s">
        <v>6612</v>
      </c>
      <c r="L684" t="s">
        <v>6613</v>
      </c>
      <c r="M684" t="s">
        <v>37</v>
      </c>
      <c r="N684" t="s">
        <v>6614</v>
      </c>
      <c r="O684" t="s">
        <v>6615</v>
      </c>
      <c r="P684" t="s">
        <v>6616</v>
      </c>
      <c r="R684" t="s">
        <v>37</v>
      </c>
      <c r="S684" t="s">
        <v>37</v>
      </c>
      <c r="T684">
        <v>60.988030000000002</v>
      </c>
      <c r="U684" t="s">
        <v>6617</v>
      </c>
      <c r="V684" t="s">
        <v>6618</v>
      </c>
      <c r="W684">
        <v>25.512350000000001</v>
      </c>
      <c r="X684">
        <v>160000</v>
      </c>
      <c r="Y684" t="s">
        <v>1303</v>
      </c>
      <c r="AA684" t="s">
        <v>38</v>
      </c>
      <c r="AB684" t="s">
        <v>39</v>
      </c>
      <c r="AC684" t="s">
        <v>6510</v>
      </c>
      <c r="AD684" t="s">
        <v>40</v>
      </c>
      <c r="AE684" t="s">
        <v>6619</v>
      </c>
      <c r="AF684" t="s">
        <v>6620</v>
      </c>
      <c r="AG684" t="s">
        <v>6621</v>
      </c>
      <c r="AH684">
        <v>57</v>
      </c>
      <c r="AI684" s="2" t="str">
        <f t="shared" si="50"/>
        <v>Independent</v>
      </c>
      <c r="AJ684" s="2" t="str">
        <f t="shared" si="51"/>
        <v>NO</v>
      </c>
      <c r="AK684" s="1" t="str">
        <f t="shared" si="52"/>
        <v>None</v>
      </c>
      <c r="AL684" s="1" t="str">
        <f t="shared" si="53"/>
        <v>1 Toilet</v>
      </c>
      <c r="AM684" s="1" t="str">
        <f t="shared" si="54"/>
        <v>NO</v>
      </c>
      <c r="AN684" s="1" t="str">
        <f>VLOOKUP(J684, 'Regions and Cities'!A:B, 2, FALSE)</f>
        <v>Päijät-Häme</v>
      </c>
    </row>
    <row r="685" spans="1:40" x14ac:dyDescent="0.3">
      <c r="A685" t="s">
        <v>9159</v>
      </c>
      <c r="B685" t="s">
        <v>9160</v>
      </c>
      <c r="C685" t="s">
        <v>9161</v>
      </c>
      <c r="D685" t="s">
        <v>5595</v>
      </c>
      <c r="E685" t="s">
        <v>5596</v>
      </c>
      <c r="F685" t="s">
        <v>105</v>
      </c>
      <c r="G685" t="s">
        <v>7853</v>
      </c>
      <c r="H685">
        <v>90</v>
      </c>
      <c r="I685" t="s">
        <v>43</v>
      </c>
      <c r="J685" t="s">
        <v>265</v>
      </c>
      <c r="K685" t="s">
        <v>9162</v>
      </c>
      <c r="L685" t="s">
        <v>9163</v>
      </c>
      <c r="M685" t="s">
        <v>111</v>
      </c>
      <c r="N685" t="s">
        <v>9164</v>
      </c>
      <c r="O685" t="s">
        <v>9165</v>
      </c>
      <c r="P685" t="s">
        <v>9166</v>
      </c>
      <c r="R685" t="s">
        <v>37</v>
      </c>
      <c r="S685" t="s">
        <v>37</v>
      </c>
      <c r="T685">
        <v>64.991836000000006</v>
      </c>
      <c r="U685" t="s">
        <v>9167</v>
      </c>
      <c r="V685" t="s">
        <v>9168</v>
      </c>
      <c r="W685">
        <v>25.565059999999999</v>
      </c>
      <c r="X685">
        <v>179000</v>
      </c>
      <c r="Y685" t="s">
        <v>117</v>
      </c>
      <c r="AA685" t="s">
        <v>54</v>
      </c>
      <c r="AB685" t="s">
        <v>39</v>
      </c>
      <c r="AC685" t="s">
        <v>6510</v>
      </c>
      <c r="AD685" t="s">
        <v>75</v>
      </c>
      <c r="AE685" t="s">
        <v>9169</v>
      </c>
      <c r="AF685" t="s">
        <v>9170</v>
      </c>
      <c r="AG685" t="s">
        <v>9171</v>
      </c>
      <c r="AH685">
        <v>90</v>
      </c>
      <c r="AI685" s="2" t="str">
        <f t="shared" si="50"/>
        <v>Independent</v>
      </c>
      <c r="AJ685" s="2" t="str">
        <f t="shared" si="51"/>
        <v>NO</v>
      </c>
      <c r="AK685" s="1" t="str">
        <f t="shared" si="52"/>
        <v>None</v>
      </c>
      <c r="AL685" s="1" t="str">
        <f t="shared" si="53"/>
        <v>1 Toilet</v>
      </c>
      <c r="AM685" s="1" t="str">
        <f t="shared" si="54"/>
        <v>NO</v>
      </c>
      <c r="AN685" s="1" t="str">
        <f>VLOOKUP(J685, 'Regions and Cities'!A:B, 2, FALSE)</f>
        <v>Pohjois-Pohjanmaa</v>
      </c>
    </row>
    <row r="686" spans="1:40" x14ac:dyDescent="0.3">
      <c r="A686" t="s">
        <v>9362</v>
      </c>
      <c r="B686" t="s">
        <v>9363</v>
      </c>
      <c r="C686" t="s">
        <v>9364</v>
      </c>
      <c r="D686" t="s">
        <v>9365</v>
      </c>
      <c r="E686" t="s">
        <v>9366</v>
      </c>
      <c r="F686" t="s">
        <v>105</v>
      </c>
      <c r="H686">
        <v>152</v>
      </c>
      <c r="I686" t="s">
        <v>1221</v>
      </c>
      <c r="J686" t="s">
        <v>397</v>
      </c>
      <c r="K686" t="s">
        <v>9367</v>
      </c>
      <c r="L686" t="s">
        <v>9368</v>
      </c>
      <c r="M686" t="s">
        <v>37</v>
      </c>
      <c r="N686" t="s">
        <v>9369</v>
      </c>
      <c r="O686" t="s">
        <v>9370</v>
      </c>
      <c r="R686" t="s">
        <v>37</v>
      </c>
      <c r="S686" t="s">
        <v>37</v>
      </c>
      <c r="T686">
        <v>60.128363999999998</v>
      </c>
      <c r="U686" t="s">
        <v>9371</v>
      </c>
      <c r="V686" t="s">
        <v>9372</v>
      </c>
      <c r="W686">
        <v>24.488371000000001</v>
      </c>
      <c r="X686">
        <v>520000</v>
      </c>
      <c r="Y686" t="s">
        <v>9332</v>
      </c>
      <c r="AA686" t="s">
        <v>63</v>
      </c>
      <c r="AB686" t="s">
        <v>39</v>
      </c>
      <c r="AC686" t="s">
        <v>6510</v>
      </c>
      <c r="AD686" t="s">
        <v>64</v>
      </c>
      <c r="AE686" t="s">
        <v>9373</v>
      </c>
      <c r="AF686" t="s">
        <v>9374</v>
      </c>
      <c r="AG686" t="s">
        <v>9375</v>
      </c>
      <c r="AH686">
        <v>189</v>
      </c>
      <c r="AI686" s="2" t="str">
        <f t="shared" si="50"/>
        <v>Kitchenette</v>
      </c>
      <c r="AJ686" s="2" t="str">
        <f t="shared" si="51"/>
        <v>YES</v>
      </c>
      <c r="AK686" s="1" t="str">
        <f t="shared" si="52"/>
        <v>None</v>
      </c>
      <c r="AL686" s="1" t="str">
        <f t="shared" si="53"/>
        <v>1 Toilet</v>
      </c>
      <c r="AM686" s="1" t="str">
        <f t="shared" si="54"/>
        <v>YES</v>
      </c>
      <c r="AN686" s="1" t="str">
        <f>VLOOKUP(J686, 'Regions and Cities'!A:B, 2, FALSE)</f>
        <v>Uusimaa</v>
      </c>
    </row>
    <row r="687" spans="1:40" x14ac:dyDescent="0.3">
      <c r="A687" t="s">
        <v>9045</v>
      </c>
      <c r="B687" t="s">
        <v>9046</v>
      </c>
      <c r="C687" t="s">
        <v>9047</v>
      </c>
      <c r="D687" t="s">
        <v>1549</v>
      </c>
      <c r="E687" t="s">
        <v>1550</v>
      </c>
      <c r="F687" t="s">
        <v>1551</v>
      </c>
      <c r="H687">
        <v>69.400000000000006</v>
      </c>
      <c r="I687" t="s">
        <v>296</v>
      </c>
      <c r="J687" t="s">
        <v>436</v>
      </c>
      <c r="K687" t="s">
        <v>9048</v>
      </c>
      <c r="L687" t="s">
        <v>9049</v>
      </c>
      <c r="M687" t="s">
        <v>37</v>
      </c>
      <c r="N687" t="s">
        <v>9050</v>
      </c>
      <c r="O687" t="s">
        <v>9051</v>
      </c>
      <c r="R687" t="s">
        <v>37</v>
      </c>
      <c r="S687" t="s">
        <v>37</v>
      </c>
      <c r="T687">
        <v>63.555467</v>
      </c>
      <c r="U687" t="s">
        <v>9052</v>
      </c>
      <c r="V687" t="s">
        <v>9053</v>
      </c>
      <c r="W687">
        <v>23.713144</v>
      </c>
      <c r="X687">
        <v>109950</v>
      </c>
      <c r="Y687" t="s">
        <v>9054</v>
      </c>
      <c r="AA687" t="s">
        <v>45</v>
      </c>
      <c r="AB687" t="s">
        <v>39</v>
      </c>
      <c r="AC687" t="s">
        <v>6510</v>
      </c>
      <c r="AD687" t="s">
        <v>46</v>
      </c>
      <c r="AE687" t="s">
        <v>9055</v>
      </c>
      <c r="AF687" t="s">
        <v>9056</v>
      </c>
      <c r="AG687" t="s">
        <v>9057</v>
      </c>
      <c r="AH687">
        <v>69.400000000000006</v>
      </c>
      <c r="AI687" s="2" t="str">
        <f t="shared" si="50"/>
        <v>Independent</v>
      </c>
      <c r="AJ687" s="2" t="str">
        <f t="shared" si="51"/>
        <v>YES</v>
      </c>
      <c r="AK687" s="1" t="str">
        <f t="shared" si="52"/>
        <v>None</v>
      </c>
      <c r="AL687" s="1" t="str">
        <f t="shared" si="53"/>
        <v>1 Toilet</v>
      </c>
      <c r="AM687" s="1" t="str">
        <f t="shared" si="54"/>
        <v>YES</v>
      </c>
      <c r="AN687" s="1" t="str">
        <f>VLOOKUP(J687, 'Regions and Cities'!A:B, 2, FALSE)</f>
        <v>Keski-Pohjanmaa</v>
      </c>
    </row>
    <row r="688" spans="1:40" x14ac:dyDescent="0.3">
      <c r="A688" t="s">
        <v>6559</v>
      </c>
      <c r="B688" t="s">
        <v>6560</v>
      </c>
      <c r="C688" t="s">
        <v>5717</v>
      </c>
      <c r="H688">
        <v>30</v>
      </c>
      <c r="I688" t="s">
        <v>119</v>
      </c>
      <c r="J688" t="s">
        <v>341</v>
      </c>
      <c r="K688" t="s">
        <v>5718</v>
      </c>
      <c r="L688" t="s">
        <v>6561</v>
      </c>
      <c r="M688" t="s">
        <v>37</v>
      </c>
      <c r="N688" t="s">
        <v>6562</v>
      </c>
      <c r="O688" t="s">
        <v>6563</v>
      </c>
      <c r="R688" t="s">
        <v>37</v>
      </c>
      <c r="S688" t="s">
        <v>111</v>
      </c>
      <c r="T688">
        <v>61.471967999999997</v>
      </c>
      <c r="U688" t="s">
        <v>6564</v>
      </c>
      <c r="V688" t="s">
        <v>6565</v>
      </c>
      <c r="W688">
        <v>21.820319999999999</v>
      </c>
      <c r="X688">
        <v>54900</v>
      </c>
      <c r="Y688" t="s">
        <v>6566</v>
      </c>
      <c r="Z688" t="s">
        <v>6567</v>
      </c>
      <c r="AA688" t="s">
        <v>38</v>
      </c>
      <c r="AB688" t="s">
        <v>39</v>
      </c>
      <c r="AC688" t="s">
        <v>6510</v>
      </c>
      <c r="AD688" t="s">
        <v>202</v>
      </c>
      <c r="AE688" t="s">
        <v>6568</v>
      </c>
      <c r="AF688" t="s">
        <v>6569</v>
      </c>
      <c r="AG688" t="s">
        <v>6570</v>
      </c>
      <c r="AH688"/>
      <c r="AI688" s="2" t="str">
        <f t="shared" si="50"/>
        <v>Independent</v>
      </c>
      <c r="AJ688" s="2" t="str">
        <f t="shared" si="51"/>
        <v>NO</v>
      </c>
      <c r="AK688" s="1" t="str">
        <f t="shared" si="52"/>
        <v>None</v>
      </c>
      <c r="AL688" s="1" t="str">
        <f t="shared" si="53"/>
        <v>1 Toilet</v>
      </c>
      <c r="AM688" s="1" t="str">
        <f t="shared" si="54"/>
        <v>NO</v>
      </c>
      <c r="AN688" s="1" t="str">
        <f>VLOOKUP(J688, 'Regions and Cities'!A:B, 2, FALSE)</f>
        <v>Satakunta</v>
      </c>
    </row>
    <row r="689" spans="1:40" x14ac:dyDescent="0.3">
      <c r="A689" t="s">
        <v>2028</v>
      </c>
      <c r="B689" t="s">
        <v>2029</v>
      </c>
      <c r="C689" t="s">
        <v>2030</v>
      </c>
      <c r="D689" t="s">
        <v>1717</v>
      </c>
      <c r="E689" t="s">
        <v>1718</v>
      </c>
      <c r="F689" t="s">
        <v>1719</v>
      </c>
      <c r="H689">
        <v>82.5</v>
      </c>
      <c r="I689" t="s">
        <v>1310</v>
      </c>
      <c r="J689" t="s">
        <v>356</v>
      </c>
      <c r="K689" t="s">
        <v>2031</v>
      </c>
      <c r="L689" t="s">
        <v>2032</v>
      </c>
      <c r="M689" t="s">
        <v>37</v>
      </c>
      <c r="N689" t="s">
        <v>2033</v>
      </c>
      <c r="O689" t="s">
        <v>2034</v>
      </c>
      <c r="R689" t="s">
        <v>111</v>
      </c>
      <c r="S689" t="s">
        <v>37</v>
      </c>
      <c r="T689">
        <v>60.455109999999998</v>
      </c>
      <c r="U689" t="s">
        <v>2035</v>
      </c>
      <c r="V689" t="s">
        <v>2036</v>
      </c>
      <c r="W689">
        <v>25.103688999999999</v>
      </c>
      <c r="X689">
        <v>41815.980000000003</v>
      </c>
      <c r="Y689" t="s">
        <v>2037</v>
      </c>
      <c r="AA689" t="s">
        <v>38</v>
      </c>
      <c r="AB689" t="s">
        <v>39</v>
      </c>
      <c r="AC689" t="s">
        <v>2038</v>
      </c>
      <c r="AD689" t="s">
        <v>75</v>
      </c>
      <c r="AE689" t="s">
        <v>2039</v>
      </c>
      <c r="AF689" t="s">
        <v>2040</v>
      </c>
      <c r="AG689" t="s">
        <v>2041</v>
      </c>
      <c r="AH689"/>
      <c r="AI689" s="2" t="str">
        <f t="shared" si="50"/>
        <v>Open</v>
      </c>
      <c r="AJ689" s="2" t="str">
        <f t="shared" si="51"/>
        <v>NO</v>
      </c>
      <c r="AK689" s="1" t="str">
        <f t="shared" si="52"/>
        <v>None</v>
      </c>
      <c r="AL689" s="1" t="str">
        <f t="shared" si="53"/>
        <v>1 Toilet</v>
      </c>
      <c r="AM689" s="1" t="str">
        <f t="shared" si="54"/>
        <v>NO</v>
      </c>
      <c r="AN689" s="1" t="str">
        <f>VLOOKUP(J689, 'Regions and Cities'!A:B, 2, FALSE)</f>
        <v>Uusimaa</v>
      </c>
    </row>
    <row r="690" spans="1:40" x14ac:dyDescent="0.3">
      <c r="A690" t="s">
        <v>9808</v>
      </c>
      <c r="B690" t="s">
        <v>9809</v>
      </c>
      <c r="C690" t="s">
        <v>9810</v>
      </c>
      <c r="D690" t="s">
        <v>7208</v>
      </c>
      <c r="E690" t="s">
        <v>7209</v>
      </c>
      <c r="F690" t="s">
        <v>70</v>
      </c>
      <c r="G690" t="s">
        <v>9811</v>
      </c>
      <c r="H690">
        <v>28</v>
      </c>
      <c r="I690" t="s">
        <v>96</v>
      </c>
      <c r="J690" t="s">
        <v>110</v>
      </c>
      <c r="K690" t="s">
        <v>9812</v>
      </c>
      <c r="L690" t="s">
        <v>9813</v>
      </c>
      <c r="M690" t="s">
        <v>37</v>
      </c>
      <c r="N690" t="s">
        <v>9814</v>
      </c>
      <c r="O690" t="s">
        <v>9815</v>
      </c>
      <c r="P690" t="s">
        <v>9816</v>
      </c>
      <c r="Q690" t="s">
        <v>9817</v>
      </c>
      <c r="R690" t="s">
        <v>37</v>
      </c>
      <c r="S690" t="s">
        <v>37</v>
      </c>
      <c r="T690">
        <v>60.443508000000001</v>
      </c>
      <c r="U690" t="s">
        <v>9818</v>
      </c>
      <c r="V690" t="s">
        <v>9819</v>
      </c>
      <c r="W690">
        <v>22.272915000000001</v>
      </c>
      <c r="X690">
        <v>109000</v>
      </c>
      <c r="Y690" t="s">
        <v>976</v>
      </c>
      <c r="AA690" t="s">
        <v>38</v>
      </c>
      <c r="AB690" t="s">
        <v>39</v>
      </c>
      <c r="AC690" t="s">
        <v>6510</v>
      </c>
      <c r="AD690" t="s">
        <v>202</v>
      </c>
      <c r="AE690" t="s">
        <v>9820</v>
      </c>
      <c r="AF690" t="s">
        <v>9821</v>
      </c>
      <c r="AG690" t="s">
        <v>9822</v>
      </c>
      <c r="AH690">
        <v>28</v>
      </c>
      <c r="AI690" s="2" t="str">
        <f t="shared" si="50"/>
        <v>Kitchenette</v>
      </c>
      <c r="AJ690" s="2" t="str">
        <f t="shared" si="51"/>
        <v>NO</v>
      </c>
      <c r="AK690" s="1" t="str">
        <f t="shared" si="52"/>
        <v>None</v>
      </c>
      <c r="AL690" s="1" t="str">
        <f t="shared" si="53"/>
        <v>1 Toilet</v>
      </c>
      <c r="AM690" s="1" t="str">
        <f t="shared" si="54"/>
        <v>NO</v>
      </c>
      <c r="AN690" s="1" t="str">
        <f>VLOOKUP(J690, 'Regions and Cities'!A:B, 2, FALSE)</f>
        <v>Varsinais-Suomi</v>
      </c>
    </row>
    <row r="691" spans="1:40" x14ac:dyDescent="0.3">
      <c r="A691" t="s">
        <v>812</v>
      </c>
      <c r="B691" t="s">
        <v>813</v>
      </c>
      <c r="C691" t="s">
        <v>814</v>
      </c>
      <c r="D691" t="s">
        <v>815</v>
      </c>
      <c r="E691" t="s">
        <v>816</v>
      </c>
      <c r="F691" t="s">
        <v>817</v>
      </c>
      <c r="H691">
        <v>256.8</v>
      </c>
      <c r="I691" t="s">
        <v>818</v>
      </c>
      <c r="J691" t="s">
        <v>137</v>
      </c>
      <c r="K691" t="s">
        <v>819</v>
      </c>
      <c r="L691" t="s">
        <v>820</v>
      </c>
      <c r="M691" t="s">
        <v>37</v>
      </c>
      <c r="N691" t="s">
        <v>821</v>
      </c>
      <c r="O691" t="s">
        <v>822</v>
      </c>
      <c r="R691" t="s">
        <v>37</v>
      </c>
      <c r="S691" t="s">
        <v>37</v>
      </c>
      <c r="T691">
        <v>60.159632999999999</v>
      </c>
      <c r="U691" t="s">
        <v>823</v>
      </c>
      <c r="V691" t="s">
        <v>824</v>
      </c>
      <c r="W691">
        <v>24.948308000000001</v>
      </c>
      <c r="X691">
        <v>1098000</v>
      </c>
      <c r="Y691" t="s">
        <v>825</v>
      </c>
      <c r="AA691" t="s">
        <v>38</v>
      </c>
      <c r="AB691" t="s">
        <v>39</v>
      </c>
      <c r="AC691" t="s">
        <v>826</v>
      </c>
      <c r="AD691" t="s">
        <v>55</v>
      </c>
      <c r="AE691" t="s">
        <v>827</v>
      </c>
      <c r="AF691" t="s">
        <v>828</v>
      </c>
      <c r="AG691" t="s">
        <v>829</v>
      </c>
      <c r="AH691">
        <v>256.8</v>
      </c>
      <c r="AI691" s="2" t="str">
        <f t="shared" si="50"/>
        <v>Independent</v>
      </c>
      <c r="AJ691" s="2" t="str">
        <f t="shared" si="51"/>
        <v>NO</v>
      </c>
      <c r="AK691" s="1" t="str">
        <f t="shared" si="52"/>
        <v>None</v>
      </c>
      <c r="AL691" s="1" t="str">
        <f t="shared" si="53"/>
        <v>1 Toilet</v>
      </c>
      <c r="AM691" s="1" t="str">
        <f t="shared" si="54"/>
        <v>NO</v>
      </c>
      <c r="AN691" s="1" t="str">
        <f>VLOOKUP(J691, 'Regions and Cities'!A:B, 2, FALSE)</f>
        <v>Uusimaa</v>
      </c>
    </row>
    <row r="692" spans="1:40" x14ac:dyDescent="0.3">
      <c r="A692" t="s">
        <v>6341</v>
      </c>
      <c r="B692" t="s">
        <v>6342</v>
      </c>
      <c r="C692" t="s">
        <v>6343</v>
      </c>
      <c r="H692">
        <v>117</v>
      </c>
      <c r="I692" t="s">
        <v>100</v>
      </c>
      <c r="J692" t="s">
        <v>386</v>
      </c>
      <c r="K692" t="s">
        <v>6344</v>
      </c>
      <c r="L692" t="s">
        <v>6345</v>
      </c>
      <c r="M692" t="s">
        <v>37</v>
      </c>
      <c r="N692" t="s">
        <v>6346</v>
      </c>
      <c r="O692" t="s">
        <v>6347</v>
      </c>
      <c r="R692" t="s">
        <v>37</v>
      </c>
      <c r="S692" t="s">
        <v>111</v>
      </c>
      <c r="T692">
        <v>66.130786999999998</v>
      </c>
      <c r="U692" t="s">
        <v>6348</v>
      </c>
      <c r="V692" t="s">
        <v>6349</v>
      </c>
      <c r="W692">
        <v>29.597377000000002</v>
      </c>
      <c r="X692">
        <v>167000</v>
      </c>
      <c r="Y692" t="s">
        <v>6350</v>
      </c>
      <c r="Z692" t="s">
        <v>6351</v>
      </c>
      <c r="AA692" t="s">
        <v>63</v>
      </c>
      <c r="AB692" t="s">
        <v>39</v>
      </c>
      <c r="AC692" t="s">
        <v>480</v>
      </c>
      <c r="AD692" t="s">
        <v>75</v>
      </c>
      <c r="AE692" t="s">
        <v>6352</v>
      </c>
      <c r="AF692" t="s">
        <v>6353</v>
      </c>
      <c r="AG692" t="s">
        <v>6354</v>
      </c>
      <c r="AH692"/>
      <c r="AI692" s="2" t="str">
        <f t="shared" si="50"/>
        <v>Independent</v>
      </c>
      <c r="AJ692" s="2" t="str">
        <f t="shared" si="51"/>
        <v>NO</v>
      </c>
      <c r="AK692" s="1" t="str">
        <f t="shared" si="52"/>
        <v>None</v>
      </c>
      <c r="AL692" s="1" t="str">
        <f t="shared" si="53"/>
        <v>1 Toilet</v>
      </c>
      <c r="AM692" s="1" t="str">
        <f t="shared" si="54"/>
        <v>NO</v>
      </c>
      <c r="AN692" s="1" t="str">
        <f>VLOOKUP(J692, 'Regions and Cities'!A:B, 2, FALSE)</f>
        <v>Pohjois-Pohjanmaa</v>
      </c>
    </row>
    <row r="693" spans="1:40" x14ac:dyDescent="0.3">
      <c r="A693" t="s">
        <v>3945</v>
      </c>
      <c r="B693" t="s">
        <v>3946</v>
      </c>
      <c r="C693" t="s">
        <v>3917</v>
      </c>
      <c r="D693" t="s">
        <v>3918</v>
      </c>
      <c r="E693" t="s">
        <v>3919</v>
      </c>
      <c r="F693" t="s">
        <v>3920</v>
      </c>
      <c r="H693">
        <v>42</v>
      </c>
      <c r="I693" t="s">
        <v>1310</v>
      </c>
      <c r="J693" t="s">
        <v>137</v>
      </c>
      <c r="K693" t="s">
        <v>3921</v>
      </c>
      <c r="L693" t="s">
        <v>3947</v>
      </c>
      <c r="M693" t="s">
        <v>37</v>
      </c>
      <c r="N693" t="s">
        <v>3948</v>
      </c>
      <c r="O693" t="s">
        <v>3949</v>
      </c>
      <c r="R693" t="s">
        <v>111</v>
      </c>
      <c r="S693" t="s">
        <v>37</v>
      </c>
      <c r="T693">
        <v>60.170057</v>
      </c>
      <c r="U693" t="s">
        <v>3950</v>
      </c>
      <c r="V693" t="s">
        <v>3951</v>
      </c>
      <c r="W693">
        <v>25.013248000000001</v>
      </c>
      <c r="X693">
        <v>299900</v>
      </c>
      <c r="Y693" t="s">
        <v>3952</v>
      </c>
      <c r="AA693" t="s">
        <v>38</v>
      </c>
      <c r="AB693" t="s">
        <v>39</v>
      </c>
      <c r="AC693" t="s">
        <v>3922</v>
      </c>
      <c r="AD693" t="s">
        <v>40</v>
      </c>
      <c r="AE693" t="s">
        <v>3932</v>
      </c>
      <c r="AF693" t="s">
        <v>3953</v>
      </c>
      <c r="AG693" t="s">
        <v>3934</v>
      </c>
      <c r="AH693"/>
      <c r="AI693" s="2" t="str">
        <f t="shared" si="50"/>
        <v>Kitchenette</v>
      </c>
      <c r="AJ693" s="2" t="str">
        <f t="shared" si="51"/>
        <v>NO</v>
      </c>
      <c r="AK693" s="1" t="str">
        <f t="shared" si="52"/>
        <v>None</v>
      </c>
      <c r="AL693" s="1" t="str">
        <f t="shared" si="53"/>
        <v>1 Toilet</v>
      </c>
      <c r="AM693" s="1" t="str">
        <f t="shared" si="54"/>
        <v>NO</v>
      </c>
      <c r="AN693" s="1" t="str">
        <f>VLOOKUP(J693, 'Regions and Cities'!A:B, 2, FALSE)</f>
        <v>Uusimaa</v>
      </c>
    </row>
    <row r="694" spans="1:40" x14ac:dyDescent="0.3">
      <c r="A694" t="s">
        <v>3991</v>
      </c>
      <c r="B694" t="s">
        <v>3992</v>
      </c>
      <c r="C694" t="s">
        <v>3917</v>
      </c>
      <c r="D694" t="s">
        <v>3918</v>
      </c>
      <c r="E694" t="s">
        <v>3919</v>
      </c>
      <c r="F694" t="s">
        <v>3920</v>
      </c>
      <c r="H694">
        <v>52.5</v>
      </c>
      <c r="I694" t="s">
        <v>1310</v>
      </c>
      <c r="J694" t="s">
        <v>137</v>
      </c>
      <c r="K694" t="s">
        <v>3921</v>
      </c>
      <c r="L694" t="s">
        <v>3993</v>
      </c>
      <c r="M694" t="s">
        <v>37</v>
      </c>
      <c r="N694" t="s">
        <v>3994</v>
      </c>
      <c r="O694" t="s">
        <v>3995</v>
      </c>
      <c r="R694" t="s">
        <v>111</v>
      </c>
      <c r="S694" t="s">
        <v>37</v>
      </c>
      <c r="T694">
        <v>60.170057</v>
      </c>
      <c r="U694" t="s">
        <v>3996</v>
      </c>
      <c r="V694" t="s">
        <v>3997</v>
      </c>
      <c r="W694">
        <v>25.013248000000001</v>
      </c>
      <c r="X694">
        <v>359100</v>
      </c>
      <c r="Y694" t="s">
        <v>3998</v>
      </c>
      <c r="AA694" t="s">
        <v>38</v>
      </c>
      <c r="AB694" t="s">
        <v>39</v>
      </c>
      <c r="AC694" t="s">
        <v>3922</v>
      </c>
      <c r="AD694" t="s">
        <v>40</v>
      </c>
      <c r="AE694" t="s">
        <v>151</v>
      </c>
      <c r="AF694" t="s">
        <v>3999</v>
      </c>
      <c r="AG694" t="s">
        <v>4000</v>
      </c>
      <c r="AH694"/>
      <c r="AI694" s="2" t="str">
        <f t="shared" si="50"/>
        <v>Open</v>
      </c>
      <c r="AJ694" s="2" t="str">
        <f t="shared" si="51"/>
        <v>NO</v>
      </c>
      <c r="AK694" s="1" t="str">
        <f t="shared" si="52"/>
        <v>None</v>
      </c>
      <c r="AL694" s="1" t="str">
        <f t="shared" si="53"/>
        <v>1 Toilet</v>
      </c>
      <c r="AM694" s="1" t="str">
        <f t="shared" si="54"/>
        <v>NO</v>
      </c>
      <c r="AN694" s="1" t="str">
        <f>VLOOKUP(J694, 'Regions and Cities'!A:B, 2, FALSE)</f>
        <v>Uusimaa</v>
      </c>
    </row>
    <row r="695" spans="1:40" x14ac:dyDescent="0.3">
      <c r="A695" t="s">
        <v>4021</v>
      </c>
      <c r="B695" t="s">
        <v>4022</v>
      </c>
      <c r="C695" t="s">
        <v>3917</v>
      </c>
      <c r="D695" t="s">
        <v>3918</v>
      </c>
      <c r="E695" t="s">
        <v>3919</v>
      </c>
      <c r="F695" t="s">
        <v>3920</v>
      </c>
      <c r="H695">
        <v>42</v>
      </c>
      <c r="I695" t="s">
        <v>1310</v>
      </c>
      <c r="J695" t="s">
        <v>137</v>
      </c>
      <c r="K695" t="s">
        <v>3921</v>
      </c>
      <c r="L695" t="s">
        <v>4023</v>
      </c>
      <c r="M695" t="s">
        <v>37</v>
      </c>
      <c r="N695" t="s">
        <v>4024</v>
      </c>
      <c r="O695" t="s">
        <v>4025</v>
      </c>
      <c r="R695" t="s">
        <v>111</v>
      </c>
      <c r="S695" t="s">
        <v>37</v>
      </c>
      <c r="T695">
        <v>60.170057</v>
      </c>
      <c r="U695" t="s">
        <v>4026</v>
      </c>
      <c r="V695" t="s">
        <v>4027</v>
      </c>
      <c r="W695">
        <v>25.013248000000001</v>
      </c>
      <c r="X695">
        <v>310400</v>
      </c>
      <c r="Y695" t="s">
        <v>4028</v>
      </c>
      <c r="AA695" t="s">
        <v>38</v>
      </c>
      <c r="AB695" t="s">
        <v>39</v>
      </c>
      <c r="AC695" t="s">
        <v>3922</v>
      </c>
      <c r="AD695" t="s">
        <v>40</v>
      </c>
      <c r="AE695" t="s">
        <v>3932</v>
      </c>
      <c r="AF695" t="s">
        <v>4029</v>
      </c>
      <c r="AG695" t="s">
        <v>3934</v>
      </c>
      <c r="AH695"/>
      <c r="AI695" s="2" t="str">
        <f t="shared" si="50"/>
        <v>Kitchenette</v>
      </c>
      <c r="AJ695" s="2" t="str">
        <f t="shared" si="51"/>
        <v>NO</v>
      </c>
      <c r="AK695" s="1" t="str">
        <f t="shared" si="52"/>
        <v>None</v>
      </c>
      <c r="AL695" s="1" t="str">
        <f t="shared" si="53"/>
        <v>1 Toilet</v>
      </c>
      <c r="AM695" s="1" t="str">
        <f t="shared" si="54"/>
        <v>NO</v>
      </c>
      <c r="AN695" s="1" t="str">
        <f>VLOOKUP(J695, 'Regions and Cities'!A:B, 2, FALSE)</f>
        <v>Uusimaa</v>
      </c>
    </row>
    <row r="696" spans="1:40" x14ac:dyDescent="0.3">
      <c r="A696" t="s">
        <v>3954</v>
      </c>
      <c r="B696" t="s">
        <v>3955</v>
      </c>
      <c r="C696" t="s">
        <v>3917</v>
      </c>
      <c r="D696" t="s">
        <v>3918</v>
      </c>
      <c r="E696" t="s">
        <v>3919</v>
      </c>
      <c r="F696" t="s">
        <v>3920</v>
      </c>
      <c r="H696">
        <v>84.5</v>
      </c>
      <c r="I696" t="s">
        <v>1310</v>
      </c>
      <c r="J696" t="s">
        <v>137</v>
      </c>
      <c r="K696" t="s">
        <v>3921</v>
      </c>
      <c r="L696" t="s">
        <v>3956</v>
      </c>
      <c r="M696" t="s">
        <v>37</v>
      </c>
      <c r="N696" t="s">
        <v>3957</v>
      </c>
      <c r="O696" t="s">
        <v>3958</v>
      </c>
      <c r="R696" t="s">
        <v>111</v>
      </c>
      <c r="S696" t="s">
        <v>37</v>
      </c>
      <c r="T696">
        <v>60.170057</v>
      </c>
      <c r="U696" t="s">
        <v>3959</v>
      </c>
      <c r="V696" t="s">
        <v>3960</v>
      </c>
      <c r="W696">
        <v>25.013248000000001</v>
      </c>
      <c r="X696">
        <v>647800</v>
      </c>
      <c r="Y696" t="s">
        <v>3961</v>
      </c>
      <c r="AA696" t="s">
        <v>38</v>
      </c>
      <c r="AB696" t="s">
        <v>39</v>
      </c>
      <c r="AC696" t="s">
        <v>3922</v>
      </c>
      <c r="AD696" t="s">
        <v>75</v>
      </c>
      <c r="AE696" t="s">
        <v>2846</v>
      </c>
      <c r="AF696" t="s">
        <v>3962</v>
      </c>
      <c r="AG696" t="s">
        <v>3944</v>
      </c>
      <c r="AH696"/>
      <c r="AI696" s="2" t="str">
        <f t="shared" si="50"/>
        <v>Open</v>
      </c>
      <c r="AJ696" s="2" t="str">
        <f t="shared" si="51"/>
        <v>YES</v>
      </c>
      <c r="AK696" s="1" t="str">
        <f t="shared" si="52"/>
        <v>None</v>
      </c>
      <c r="AL696" s="1" t="str">
        <f t="shared" si="53"/>
        <v>1 Toilet</v>
      </c>
      <c r="AM696" s="1" t="str">
        <f t="shared" si="54"/>
        <v>NO</v>
      </c>
      <c r="AN696" s="1" t="str">
        <f>VLOOKUP(J696, 'Regions and Cities'!A:B, 2, FALSE)</f>
        <v>Uusimaa</v>
      </c>
    </row>
    <row r="697" spans="1:40" x14ac:dyDescent="0.3">
      <c r="A697" t="s">
        <v>4011</v>
      </c>
      <c r="B697" t="s">
        <v>4012</v>
      </c>
      <c r="C697" t="s">
        <v>3917</v>
      </c>
      <c r="D697" t="s">
        <v>3918</v>
      </c>
      <c r="E697" t="s">
        <v>3919</v>
      </c>
      <c r="F697" t="s">
        <v>3920</v>
      </c>
      <c r="H697">
        <v>73</v>
      </c>
      <c r="I697" t="s">
        <v>1310</v>
      </c>
      <c r="J697" t="s">
        <v>137</v>
      </c>
      <c r="K697" t="s">
        <v>3921</v>
      </c>
      <c r="L697" t="s">
        <v>4013</v>
      </c>
      <c r="M697" t="s">
        <v>37</v>
      </c>
      <c r="N697" t="s">
        <v>4014</v>
      </c>
      <c r="O697" t="s">
        <v>4015</v>
      </c>
      <c r="R697" t="s">
        <v>111</v>
      </c>
      <c r="S697" t="s">
        <v>37</v>
      </c>
      <c r="T697">
        <v>60.170057</v>
      </c>
      <c r="U697" t="s">
        <v>4016</v>
      </c>
      <c r="V697" t="s">
        <v>4017</v>
      </c>
      <c r="W697">
        <v>25.013248000000001</v>
      </c>
      <c r="X697">
        <v>544900</v>
      </c>
      <c r="Y697" t="s">
        <v>4018</v>
      </c>
      <c r="AA697" t="s">
        <v>38</v>
      </c>
      <c r="AB697" t="s">
        <v>39</v>
      </c>
      <c r="AC697" t="s">
        <v>3922</v>
      </c>
      <c r="AD697" t="s">
        <v>46</v>
      </c>
      <c r="AE697" t="s">
        <v>3923</v>
      </c>
      <c r="AF697" t="s">
        <v>4019</v>
      </c>
      <c r="AG697" t="s">
        <v>4020</v>
      </c>
      <c r="AH697"/>
      <c r="AI697" s="2" t="str">
        <f t="shared" si="50"/>
        <v>Open</v>
      </c>
      <c r="AJ697" s="2" t="str">
        <f t="shared" si="51"/>
        <v>YES</v>
      </c>
      <c r="AK697" s="1" t="str">
        <f t="shared" si="52"/>
        <v>None</v>
      </c>
      <c r="AL697" s="1" t="str">
        <f t="shared" si="53"/>
        <v>1 Toilet</v>
      </c>
      <c r="AM697" s="1" t="str">
        <f t="shared" si="54"/>
        <v>NO</v>
      </c>
      <c r="AN697" s="1" t="str">
        <f>VLOOKUP(J697, 'Regions and Cities'!A:B, 2, FALSE)</f>
        <v>Uusimaa</v>
      </c>
    </row>
    <row r="698" spans="1:40" x14ac:dyDescent="0.3">
      <c r="A698" t="s">
        <v>3981</v>
      </c>
      <c r="B698" t="s">
        <v>3982</v>
      </c>
      <c r="C698" t="s">
        <v>3917</v>
      </c>
      <c r="D698" t="s">
        <v>3918</v>
      </c>
      <c r="E698" t="s">
        <v>3919</v>
      </c>
      <c r="F698" t="s">
        <v>3920</v>
      </c>
      <c r="H698">
        <v>92</v>
      </c>
      <c r="I698" t="s">
        <v>1310</v>
      </c>
      <c r="J698" t="s">
        <v>137</v>
      </c>
      <c r="K698" t="s">
        <v>3921</v>
      </c>
      <c r="L698" t="s">
        <v>3983</v>
      </c>
      <c r="M698" t="s">
        <v>37</v>
      </c>
      <c r="N698" t="s">
        <v>3984</v>
      </c>
      <c r="O698" t="s">
        <v>3985</v>
      </c>
      <c r="R698" t="s">
        <v>111</v>
      </c>
      <c r="S698" t="s">
        <v>37</v>
      </c>
      <c r="T698">
        <v>60.170057</v>
      </c>
      <c r="U698" t="s">
        <v>3986</v>
      </c>
      <c r="V698" t="s">
        <v>3987</v>
      </c>
      <c r="W698">
        <v>25.013248000000001</v>
      </c>
      <c r="X698">
        <v>713800</v>
      </c>
      <c r="Y698" t="s">
        <v>3988</v>
      </c>
      <c r="AA698" t="s">
        <v>38</v>
      </c>
      <c r="AB698" t="s">
        <v>39</v>
      </c>
      <c r="AC698" t="s">
        <v>3922</v>
      </c>
      <c r="AD698" t="s">
        <v>75</v>
      </c>
      <c r="AE698" t="s">
        <v>2846</v>
      </c>
      <c r="AF698" t="s">
        <v>3989</v>
      </c>
      <c r="AG698" t="s">
        <v>3990</v>
      </c>
      <c r="AH698"/>
      <c r="AI698" s="2" t="str">
        <f t="shared" si="50"/>
        <v>Open</v>
      </c>
      <c r="AJ698" s="2" t="str">
        <f t="shared" si="51"/>
        <v>YES</v>
      </c>
      <c r="AK698" s="1" t="str">
        <f t="shared" si="52"/>
        <v>None</v>
      </c>
      <c r="AL698" s="1" t="str">
        <f t="shared" si="53"/>
        <v>1 Toilet</v>
      </c>
      <c r="AM698" s="1" t="str">
        <f t="shared" si="54"/>
        <v>NO</v>
      </c>
      <c r="AN698" s="1" t="str">
        <f>VLOOKUP(J698, 'Regions and Cities'!A:B, 2, FALSE)</f>
        <v>Uusimaa</v>
      </c>
    </row>
    <row r="699" spans="1:40" x14ac:dyDescent="0.3">
      <c r="A699" t="s">
        <v>3973</v>
      </c>
      <c r="B699" t="s">
        <v>3974</v>
      </c>
      <c r="C699" t="s">
        <v>3917</v>
      </c>
      <c r="D699" t="s">
        <v>3918</v>
      </c>
      <c r="E699" t="s">
        <v>3919</v>
      </c>
      <c r="F699" t="s">
        <v>3920</v>
      </c>
      <c r="H699">
        <v>42</v>
      </c>
      <c r="I699" t="s">
        <v>1310</v>
      </c>
      <c r="J699" t="s">
        <v>137</v>
      </c>
      <c r="K699" t="s">
        <v>3921</v>
      </c>
      <c r="L699" t="s">
        <v>3975</v>
      </c>
      <c r="M699" t="s">
        <v>37</v>
      </c>
      <c r="N699" t="s">
        <v>3976</v>
      </c>
      <c r="O699" t="s">
        <v>3977</v>
      </c>
      <c r="R699" t="s">
        <v>111</v>
      </c>
      <c r="S699" t="s">
        <v>37</v>
      </c>
      <c r="T699">
        <v>60.170057</v>
      </c>
      <c r="U699" t="s">
        <v>3978</v>
      </c>
      <c r="V699" t="s">
        <v>3979</v>
      </c>
      <c r="W699">
        <v>25.013248000000001</v>
      </c>
      <c r="X699">
        <v>320000</v>
      </c>
      <c r="Y699" t="s">
        <v>2658</v>
      </c>
      <c r="AA699" t="s">
        <v>38</v>
      </c>
      <c r="AB699" t="s">
        <v>39</v>
      </c>
      <c r="AC699" t="s">
        <v>3922</v>
      </c>
      <c r="AD699" t="s">
        <v>40</v>
      </c>
      <c r="AE699" t="s">
        <v>3932</v>
      </c>
      <c r="AF699" t="s">
        <v>3980</v>
      </c>
      <c r="AG699" t="s">
        <v>3934</v>
      </c>
      <c r="AH699"/>
      <c r="AI699" s="2" t="str">
        <f t="shared" si="50"/>
        <v>Kitchenette</v>
      </c>
      <c r="AJ699" s="2" t="str">
        <f t="shared" si="51"/>
        <v>NO</v>
      </c>
      <c r="AK699" s="1" t="str">
        <f t="shared" si="52"/>
        <v>None</v>
      </c>
      <c r="AL699" s="1" t="str">
        <f t="shared" si="53"/>
        <v>1 Toilet</v>
      </c>
      <c r="AM699" s="1" t="str">
        <f t="shared" si="54"/>
        <v>NO</v>
      </c>
      <c r="AN699" s="1" t="str">
        <f>VLOOKUP(J699, 'Regions and Cities'!A:B, 2, FALSE)</f>
        <v>Uusimaa</v>
      </c>
    </row>
    <row r="700" spans="1:40" x14ac:dyDescent="0.3">
      <c r="A700" t="s">
        <v>3924</v>
      </c>
      <c r="B700" t="s">
        <v>3925</v>
      </c>
      <c r="C700" t="s">
        <v>3917</v>
      </c>
      <c r="D700" t="s">
        <v>3918</v>
      </c>
      <c r="E700" t="s">
        <v>3919</v>
      </c>
      <c r="F700" t="s">
        <v>3920</v>
      </c>
      <c r="H700">
        <v>42</v>
      </c>
      <c r="I700" t="s">
        <v>1310</v>
      </c>
      <c r="J700" t="s">
        <v>137</v>
      </c>
      <c r="K700" t="s">
        <v>3921</v>
      </c>
      <c r="L700" t="s">
        <v>3926</v>
      </c>
      <c r="M700" t="s">
        <v>37</v>
      </c>
      <c r="N700" t="s">
        <v>3927</v>
      </c>
      <c r="O700" t="s">
        <v>3928</v>
      </c>
      <c r="R700" t="s">
        <v>111</v>
      </c>
      <c r="S700" t="s">
        <v>37</v>
      </c>
      <c r="T700">
        <v>60.170057</v>
      </c>
      <c r="U700" t="s">
        <v>3929</v>
      </c>
      <c r="V700" t="s">
        <v>3930</v>
      </c>
      <c r="W700">
        <v>25.013248000000001</v>
      </c>
      <c r="X700">
        <v>328600</v>
      </c>
      <c r="Y700" t="s">
        <v>3931</v>
      </c>
      <c r="AA700" t="s">
        <v>38</v>
      </c>
      <c r="AB700" t="s">
        <v>39</v>
      </c>
      <c r="AC700" t="s">
        <v>3922</v>
      </c>
      <c r="AD700" t="s">
        <v>40</v>
      </c>
      <c r="AE700" t="s">
        <v>3932</v>
      </c>
      <c r="AF700" t="s">
        <v>3933</v>
      </c>
      <c r="AG700" t="s">
        <v>3934</v>
      </c>
      <c r="AH700"/>
      <c r="AI700" s="2" t="str">
        <f t="shared" si="50"/>
        <v>Kitchenette</v>
      </c>
      <c r="AJ700" s="2" t="str">
        <f t="shared" si="51"/>
        <v>NO</v>
      </c>
      <c r="AK700" s="1" t="str">
        <f t="shared" si="52"/>
        <v>None</v>
      </c>
      <c r="AL700" s="1" t="str">
        <f t="shared" si="53"/>
        <v>1 Toilet</v>
      </c>
      <c r="AM700" s="1" t="str">
        <f t="shared" si="54"/>
        <v>NO</v>
      </c>
      <c r="AN700" s="1" t="str">
        <f>VLOOKUP(J700, 'Regions and Cities'!A:B, 2, FALSE)</f>
        <v>Uusimaa</v>
      </c>
    </row>
    <row r="701" spans="1:40" x14ac:dyDescent="0.3">
      <c r="A701" t="s">
        <v>3935</v>
      </c>
      <c r="B701" t="s">
        <v>3936</v>
      </c>
      <c r="C701" t="s">
        <v>3917</v>
      </c>
      <c r="D701" t="s">
        <v>3918</v>
      </c>
      <c r="E701" t="s">
        <v>3919</v>
      </c>
      <c r="F701" t="s">
        <v>3920</v>
      </c>
      <c r="H701">
        <v>84.5</v>
      </c>
      <c r="I701" t="s">
        <v>1310</v>
      </c>
      <c r="J701" t="s">
        <v>137</v>
      </c>
      <c r="K701" t="s">
        <v>3921</v>
      </c>
      <c r="L701" t="s">
        <v>3937</v>
      </c>
      <c r="M701" t="s">
        <v>37</v>
      </c>
      <c r="N701" t="s">
        <v>3938</v>
      </c>
      <c r="O701" t="s">
        <v>3939</v>
      </c>
      <c r="R701" t="s">
        <v>111</v>
      </c>
      <c r="S701" t="s">
        <v>37</v>
      </c>
      <c r="T701">
        <v>60.170057</v>
      </c>
      <c r="U701" t="s">
        <v>3940</v>
      </c>
      <c r="V701" t="s">
        <v>3941</v>
      </c>
      <c r="W701">
        <v>25.013248000000001</v>
      </c>
      <c r="X701">
        <v>697300</v>
      </c>
      <c r="Y701" t="s">
        <v>3942</v>
      </c>
      <c r="AA701" t="s">
        <v>38</v>
      </c>
      <c r="AB701" t="s">
        <v>39</v>
      </c>
      <c r="AC701" t="s">
        <v>3922</v>
      </c>
      <c r="AD701" t="s">
        <v>75</v>
      </c>
      <c r="AE701" t="s">
        <v>2846</v>
      </c>
      <c r="AF701" t="s">
        <v>3943</v>
      </c>
      <c r="AG701" t="s">
        <v>3944</v>
      </c>
      <c r="AH701"/>
      <c r="AI701" s="2" t="str">
        <f t="shared" si="50"/>
        <v>Open</v>
      </c>
      <c r="AJ701" s="2" t="str">
        <f t="shared" si="51"/>
        <v>YES</v>
      </c>
      <c r="AK701" s="1" t="str">
        <f t="shared" si="52"/>
        <v>None</v>
      </c>
      <c r="AL701" s="1" t="str">
        <f t="shared" si="53"/>
        <v>1 Toilet</v>
      </c>
      <c r="AM701" s="1" t="str">
        <f t="shared" si="54"/>
        <v>NO</v>
      </c>
      <c r="AN701" s="1" t="str">
        <f>VLOOKUP(J701, 'Regions and Cities'!A:B, 2, FALSE)</f>
        <v>Uusimaa</v>
      </c>
    </row>
    <row r="702" spans="1:40" x14ac:dyDescent="0.3">
      <c r="A702" t="s">
        <v>3963</v>
      </c>
      <c r="B702" t="s">
        <v>3964</v>
      </c>
      <c r="C702" t="s">
        <v>3917</v>
      </c>
      <c r="D702" t="s">
        <v>3918</v>
      </c>
      <c r="E702" t="s">
        <v>3919</v>
      </c>
      <c r="F702" t="s">
        <v>3920</v>
      </c>
      <c r="H702">
        <v>66.5</v>
      </c>
      <c r="I702" t="s">
        <v>1310</v>
      </c>
      <c r="J702" t="s">
        <v>137</v>
      </c>
      <c r="K702" t="s">
        <v>3921</v>
      </c>
      <c r="L702" t="s">
        <v>3965</v>
      </c>
      <c r="M702" t="s">
        <v>37</v>
      </c>
      <c r="N702" t="s">
        <v>3966</v>
      </c>
      <c r="O702" t="s">
        <v>3967</v>
      </c>
      <c r="R702" t="s">
        <v>111</v>
      </c>
      <c r="S702" t="s">
        <v>37</v>
      </c>
      <c r="T702">
        <v>60.170057</v>
      </c>
      <c r="U702" t="s">
        <v>3968</v>
      </c>
      <c r="V702" t="s">
        <v>3969</v>
      </c>
      <c r="W702">
        <v>25.013248000000001</v>
      </c>
      <c r="X702">
        <v>488400</v>
      </c>
      <c r="Y702" t="s">
        <v>3970</v>
      </c>
      <c r="AA702" t="s">
        <v>38</v>
      </c>
      <c r="AB702" t="s">
        <v>39</v>
      </c>
      <c r="AC702" t="s">
        <v>3922</v>
      </c>
      <c r="AD702" t="s">
        <v>46</v>
      </c>
      <c r="AE702" t="s">
        <v>2773</v>
      </c>
      <c r="AF702" t="s">
        <v>3971</v>
      </c>
      <c r="AG702" t="s">
        <v>3972</v>
      </c>
      <c r="AH702"/>
      <c r="AI702" s="2" t="str">
        <f t="shared" si="50"/>
        <v>Open</v>
      </c>
      <c r="AJ702" s="2" t="str">
        <f t="shared" si="51"/>
        <v>NO</v>
      </c>
      <c r="AK702" s="1" t="str">
        <f t="shared" si="52"/>
        <v>None</v>
      </c>
      <c r="AL702" s="1" t="str">
        <f t="shared" si="53"/>
        <v>1 Toilet</v>
      </c>
      <c r="AM702" s="1" t="str">
        <f t="shared" si="54"/>
        <v>NO</v>
      </c>
      <c r="AN702" s="1" t="str">
        <f>VLOOKUP(J702, 'Regions and Cities'!A:B, 2, FALSE)</f>
        <v>Uusimaa</v>
      </c>
    </row>
    <row r="703" spans="1:40" x14ac:dyDescent="0.3">
      <c r="A703" t="s">
        <v>4001</v>
      </c>
      <c r="B703" t="s">
        <v>4002</v>
      </c>
      <c r="C703" t="s">
        <v>3917</v>
      </c>
      <c r="D703" t="s">
        <v>3918</v>
      </c>
      <c r="E703" t="s">
        <v>3919</v>
      </c>
      <c r="F703" t="s">
        <v>3920</v>
      </c>
      <c r="H703">
        <v>89.5</v>
      </c>
      <c r="I703" t="s">
        <v>1310</v>
      </c>
      <c r="J703" t="s">
        <v>137</v>
      </c>
      <c r="K703" t="s">
        <v>3921</v>
      </c>
      <c r="L703" t="s">
        <v>4003</v>
      </c>
      <c r="M703" t="s">
        <v>37</v>
      </c>
      <c r="N703" t="s">
        <v>4004</v>
      </c>
      <c r="O703" t="s">
        <v>4005</v>
      </c>
      <c r="R703" t="s">
        <v>111</v>
      </c>
      <c r="S703" t="s">
        <v>37</v>
      </c>
      <c r="T703">
        <v>60.170057</v>
      </c>
      <c r="U703" t="s">
        <v>4006</v>
      </c>
      <c r="V703" t="s">
        <v>4007</v>
      </c>
      <c r="W703">
        <v>25.013248000000001</v>
      </c>
      <c r="X703">
        <v>694700</v>
      </c>
      <c r="Y703" t="s">
        <v>4008</v>
      </c>
      <c r="AA703" t="s">
        <v>38</v>
      </c>
      <c r="AB703" t="s">
        <v>39</v>
      </c>
      <c r="AC703" t="s">
        <v>3922</v>
      </c>
      <c r="AD703" t="s">
        <v>75</v>
      </c>
      <c r="AE703" t="s">
        <v>2846</v>
      </c>
      <c r="AF703" t="s">
        <v>4009</v>
      </c>
      <c r="AG703" t="s">
        <v>4010</v>
      </c>
      <c r="AH703"/>
      <c r="AI703" s="2" t="str">
        <f t="shared" si="50"/>
        <v>Open</v>
      </c>
      <c r="AJ703" s="2" t="str">
        <f t="shared" si="51"/>
        <v>YES</v>
      </c>
      <c r="AK703" s="1" t="str">
        <f t="shared" si="52"/>
        <v>None</v>
      </c>
      <c r="AL703" s="1" t="str">
        <f t="shared" si="53"/>
        <v>1 Toilet</v>
      </c>
      <c r="AM703" s="1" t="str">
        <f t="shared" si="54"/>
        <v>NO</v>
      </c>
      <c r="AN703" s="1" t="str">
        <f>VLOOKUP(J703, 'Regions and Cities'!A:B, 2, FALSE)</f>
        <v>Uusimaa</v>
      </c>
    </row>
  </sheetData>
  <autoFilter ref="A1:AN703" xr:uid="{00000000-0001-0000-0000-000000000000}">
    <sortState xmlns:xlrd2="http://schemas.microsoft.com/office/spreadsheetml/2017/richdata2" ref="A2:AN703">
      <sortCondition ref="A1:A703"/>
    </sortState>
  </autoFilter>
  <hyperlinks>
    <hyperlink ref="V113" r:id="rId1" xr:uid="{3D36237D-4657-4FB4-9BFC-4D6F90C4B2F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081B-D851-4C10-BB4A-A92764F96FAF}">
  <dimension ref="A1:B185"/>
  <sheetViews>
    <sheetView workbookViewId="0">
      <selection activeCell="A82" sqref="A82:B82"/>
    </sheetView>
  </sheetViews>
  <sheetFormatPr defaultRowHeight="14.4" x14ac:dyDescent="0.3"/>
  <cols>
    <col min="1" max="1" width="15.33203125" customWidth="1"/>
    <col min="2" max="2" width="17.88671875" bestFit="1" customWidth="1"/>
    <col min="5" max="5" width="10.44140625" bestFit="1" customWidth="1"/>
  </cols>
  <sheetData>
    <row r="1" spans="1:2" x14ac:dyDescent="0.3">
      <c r="A1" t="s">
        <v>334</v>
      </c>
      <c r="B1" t="s">
        <v>326</v>
      </c>
    </row>
    <row r="2" spans="1:2" x14ac:dyDescent="0.3">
      <c r="B2" t="s">
        <v>327</v>
      </c>
    </row>
    <row r="3" spans="1:2" x14ac:dyDescent="0.3">
      <c r="A3" t="s">
        <v>152</v>
      </c>
      <c r="B3" t="s">
        <v>323</v>
      </c>
    </row>
    <row r="4" spans="1:2" x14ac:dyDescent="0.3">
      <c r="A4" t="s">
        <v>152</v>
      </c>
      <c r="B4" t="s">
        <v>323</v>
      </c>
    </row>
    <row r="5" spans="1:2" x14ac:dyDescent="0.3">
      <c r="A5" t="s">
        <v>152</v>
      </c>
      <c r="B5" t="s">
        <v>323</v>
      </c>
    </row>
    <row r="6" spans="1:2" x14ac:dyDescent="0.3">
      <c r="B6" t="s">
        <v>332</v>
      </c>
    </row>
    <row r="7" spans="1:2" x14ac:dyDescent="0.3">
      <c r="B7" t="s">
        <v>333</v>
      </c>
    </row>
    <row r="8" spans="1:2" x14ac:dyDescent="0.3">
      <c r="A8" t="s">
        <v>65</v>
      </c>
      <c r="B8" t="s">
        <v>315</v>
      </c>
    </row>
    <row r="9" spans="1:2" x14ac:dyDescent="0.3">
      <c r="A9" t="s">
        <v>97</v>
      </c>
      <c r="B9" t="s">
        <v>319</v>
      </c>
    </row>
    <row r="10" spans="1:2" x14ac:dyDescent="0.3">
      <c r="A10" t="s">
        <v>60</v>
      </c>
      <c r="B10" t="s">
        <v>314</v>
      </c>
    </row>
    <row r="11" spans="1:2" x14ac:dyDescent="0.3">
      <c r="A11" t="s">
        <v>60</v>
      </c>
      <c r="B11" t="s">
        <v>314</v>
      </c>
    </row>
    <row r="12" spans="1:2" x14ac:dyDescent="0.3">
      <c r="B12" t="s">
        <v>328</v>
      </c>
    </row>
    <row r="13" spans="1:2" x14ac:dyDescent="0.3">
      <c r="A13" t="s">
        <v>73</v>
      </c>
      <c r="B13" t="s">
        <v>316</v>
      </c>
    </row>
    <row r="14" spans="1:2" x14ac:dyDescent="0.3">
      <c r="A14" t="s">
        <v>73</v>
      </c>
      <c r="B14" t="s">
        <v>316</v>
      </c>
    </row>
    <row r="15" spans="1:2" x14ac:dyDescent="0.3">
      <c r="A15" t="s">
        <v>73</v>
      </c>
      <c r="B15" t="s">
        <v>316</v>
      </c>
    </row>
    <row r="16" spans="1:2" x14ac:dyDescent="0.3">
      <c r="A16" t="s">
        <v>73</v>
      </c>
      <c r="B16" t="s">
        <v>316</v>
      </c>
    </row>
    <row r="17" spans="1:2" x14ac:dyDescent="0.3">
      <c r="A17" t="s">
        <v>73</v>
      </c>
      <c r="B17" t="s">
        <v>316</v>
      </c>
    </row>
    <row r="18" spans="1:2" x14ac:dyDescent="0.3">
      <c r="A18" t="s">
        <v>295</v>
      </c>
      <c r="B18" t="s">
        <v>316</v>
      </c>
    </row>
    <row r="19" spans="1:2" x14ac:dyDescent="0.3">
      <c r="B19" t="s">
        <v>329</v>
      </c>
    </row>
    <row r="20" spans="1:2" x14ac:dyDescent="0.3">
      <c r="A20" t="s">
        <v>166</v>
      </c>
      <c r="B20" t="s">
        <v>322</v>
      </c>
    </row>
    <row r="21" spans="1:2" x14ac:dyDescent="0.3">
      <c r="A21" t="s">
        <v>208</v>
      </c>
      <c r="B21" t="s">
        <v>322</v>
      </c>
    </row>
    <row r="22" spans="1:2" x14ac:dyDescent="0.3">
      <c r="A22" t="s">
        <v>52</v>
      </c>
      <c r="B22" t="s">
        <v>313</v>
      </c>
    </row>
    <row r="23" spans="1:2" x14ac:dyDescent="0.3">
      <c r="A23" t="s">
        <v>52</v>
      </c>
      <c r="B23" t="s">
        <v>313</v>
      </c>
    </row>
    <row r="24" spans="1:2" x14ac:dyDescent="0.3">
      <c r="A24" t="s">
        <v>101</v>
      </c>
      <c r="B24" t="s">
        <v>313</v>
      </c>
    </row>
    <row r="25" spans="1:2" x14ac:dyDescent="0.3">
      <c r="A25" t="s">
        <v>101</v>
      </c>
      <c r="B25" t="s">
        <v>313</v>
      </c>
    </row>
    <row r="26" spans="1:2" x14ac:dyDescent="0.3">
      <c r="A26" t="s">
        <v>139</v>
      </c>
      <c r="B26" t="s">
        <v>321</v>
      </c>
    </row>
    <row r="27" spans="1:2" x14ac:dyDescent="0.3">
      <c r="A27" t="s">
        <v>139</v>
      </c>
      <c r="B27" t="s">
        <v>321</v>
      </c>
    </row>
    <row r="28" spans="1:2" x14ac:dyDescent="0.3">
      <c r="A28" t="s">
        <v>139</v>
      </c>
      <c r="B28" t="s">
        <v>321</v>
      </c>
    </row>
    <row r="29" spans="1:2" x14ac:dyDescent="0.3">
      <c r="A29" t="s">
        <v>139</v>
      </c>
      <c r="B29" t="s">
        <v>321</v>
      </c>
    </row>
    <row r="30" spans="1:2" x14ac:dyDescent="0.3">
      <c r="A30" t="s">
        <v>175</v>
      </c>
      <c r="B30" t="s">
        <v>321</v>
      </c>
    </row>
    <row r="31" spans="1:2" x14ac:dyDescent="0.3">
      <c r="A31" t="s">
        <v>139</v>
      </c>
      <c r="B31" t="s">
        <v>321</v>
      </c>
    </row>
    <row r="32" spans="1:2" x14ac:dyDescent="0.3">
      <c r="A32" t="s">
        <v>228</v>
      </c>
      <c r="B32" t="s">
        <v>321</v>
      </c>
    </row>
    <row r="33" spans="1:2" x14ac:dyDescent="0.3">
      <c r="A33" t="s">
        <v>139</v>
      </c>
      <c r="B33" t="s">
        <v>321</v>
      </c>
    </row>
    <row r="34" spans="1:2" x14ac:dyDescent="0.3">
      <c r="A34" t="s">
        <v>139</v>
      </c>
      <c r="B34" t="s">
        <v>321</v>
      </c>
    </row>
    <row r="35" spans="1:2" x14ac:dyDescent="0.3">
      <c r="A35" t="s">
        <v>301</v>
      </c>
      <c r="B35" t="s">
        <v>321</v>
      </c>
    </row>
    <row r="36" spans="1:2" x14ac:dyDescent="0.3">
      <c r="A36" t="s">
        <v>445</v>
      </c>
      <c r="B36" t="s">
        <v>330</v>
      </c>
    </row>
    <row r="37" spans="1:2" x14ac:dyDescent="0.3">
      <c r="A37" t="s">
        <v>121</v>
      </c>
      <c r="B37" t="s">
        <v>320</v>
      </c>
    </row>
    <row r="38" spans="1:2" x14ac:dyDescent="0.3">
      <c r="A38" t="s">
        <v>265</v>
      </c>
      <c r="B38" t="s">
        <v>324</v>
      </c>
    </row>
    <row r="39" spans="1:2" x14ac:dyDescent="0.3">
      <c r="A39" t="s">
        <v>265</v>
      </c>
      <c r="B39" t="s">
        <v>324</v>
      </c>
    </row>
    <row r="40" spans="1:2" x14ac:dyDescent="0.3">
      <c r="A40" t="s">
        <v>280</v>
      </c>
      <c r="B40" t="s">
        <v>324</v>
      </c>
    </row>
    <row r="41" spans="1:2" x14ac:dyDescent="0.3">
      <c r="A41" t="s">
        <v>90</v>
      </c>
      <c r="B41" t="s">
        <v>318</v>
      </c>
    </row>
    <row r="42" spans="1:2" x14ac:dyDescent="0.3">
      <c r="A42" t="s">
        <v>130</v>
      </c>
      <c r="B42" t="s">
        <v>318</v>
      </c>
    </row>
    <row r="43" spans="1:2" x14ac:dyDescent="0.3">
      <c r="A43" t="s">
        <v>130</v>
      </c>
      <c r="B43" t="s">
        <v>318</v>
      </c>
    </row>
    <row r="44" spans="1:2" x14ac:dyDescent="0.3">
      <c r="A44" t="s">
        <v>207</v>
      </c>
      <c r="B44" t="s">
        <v>318</v>
      </c>
    </row>
    <row r="45" spans="1:2" x14ac:dyDescent="0.3">
      <c r="A45" t="s">
        <v>130</v>
      </c>
      <c r="B45" t="s">
        <v>318</v>
      </c>
    </row>
    <row r="46" spans="1:2" x14ac:dyDescent="0.3">
      <c r="A46" t="s">
        <v>130</v>
      </c>
      <c r="B46" t="s">
        <v>318</v>
      </c>
    </row>
    <row r="47" spans="1:2" x14ac:dyDescent="0.3">
      <c r="A47" t="s">
        <v>341</v>
      </c>
      <c r="B47" t="s">
        <v>331</v>
      </c>
    </row>
    <row r="48" spans="1:2" x14ac:dyDescent="0.3">
      <c r="A48" t="s">
        <v>36</v>
      </c>
      <c r="B48" t="s">
        <v>312</v>
      </c>
    </row>
    <row r="49" spans="1:2" x14ac:dyDescent="0.3">
      <c r="A49" t="s">
        <v>42</v>
      </c>
      <c r="B49" t="s">
        <v>312</v>
      </c>
    </row>
    <row r="50" spans="1:2" x14ac:dyDescent="0.3">
      <c r="A50" t="s">
        <v>107</v>
      </c>
      <c r="B50" t="s">
        <v>312</v>
      </c>
    </row>
    <row r="51" spans="1:2" x14ac:dyDescent="0.3">
      <c r="A51" t="s">
        <v>114</v>
      </c>
      <c r="B51" t="s">
        <v>312</v>
      </c>
    </row>
    <row r="52" spans="1:2" x14ac:dyDescent="0.3">
      <c r="A52" t="s">
        <v>116</v>
      </c>
      <c r="B52" t="s">
        <v>312</v>
      </c>
    </row>
    <row r="53" spans="1:2" x14ac:dyDescent="0.3">
      <c r="A53" t="s">
        <v>116</v>
      </c>
      <c r="B53" t="s">
        <v>312</v>
      </c>
    </row>
    <row r="54" spans="1:2" x14ac:dyDescent="0.3">
      <c r="A54" t="s">
        <v>126</v>
      </c>
      <c r="B54" t="s">
        <v>312</v>
      </c>
    </row>
    <row r="55" spans="1:2" x14ac:dyDescent="0.3">
      <c r="A55" t="s">
        <v>137</v>
      </c>
      <c r="B55" t="s">
        <v>312</v>
      </c>
    </row>
    <row r="56" spans="1:2" x14ac:dyDescent="0.3">
      <c r="A56" t="s">
        <v>126</v>
      </c>
      <c r="B56" t="s">
        <v>312</v>
      </c>
    </row>
    <row r="57" spans="1:2" x14ac:dyDescent="0.3">
      <c r="A57" t="s">
        <v>126</v>
      </c>
      <c r="B57" t="s">
        <v>312</v>
      </c>
    </row>
    <row r="58" spans="1:2" x14ac:dyDescent="0.3">
      <c r="A58" t="s">
        <v>116</v>
      </c>
      <c r="B58" t="s">
        <v>312</v>
      </c>
    </row>
    <row r="59" spans="1:2" x14ac:dyDescent="0.3">
      <c r="A59" t="s">
        <v>107</v>
      </c>
      <c r="B59" t="s">
        <v>312</v>
      </c>
    </row>
    <row r="60" spans="1:2" x14ac:dyDescent="0.3">
      <c r="A60" t="s">
        <v>137</v>
      </c>
      <c r="B60" t="s">
        <v>312</v>
      </c>
    </row>
    <row r="61" spans="1:2" x14ac:dyDescent="0.3">
      <c r="A61" t="s">
        <v>116</v>
      </c>
      <c r="B61" t="s">
        <v>312</v>
      </c>
    </row>
    <row r="62" spans="1:2" x14ac:dyDescent="0.3">
      <c r="A62" t="s">
        <v>126</v>
      </c>
      <c r="B62" t="s">
        <v>312</v>
      </c>
    </row>
    <row r="63" spans="1:2" x14ac:dyDescent="0.3">
      <c r="A63" t="s">
        <v>192</v>
      </c>
      <c r="B63" t="s">
        <v>312</v>
      </c>
    </row>
    <row r="64" spans="1:2" x14ac:dyDescent="0.3">
      <c r="A64" t="s">
        <v>116</v>
      </c>
      <c r="B64" t="s">
        <v>312</v>
      </c>
    </row>
    <row r="65" spans="1:2" x14ac:dyDescent="0.3">
      <c r="A65" t="s">
        <v>137</v>
      </c>
      <c r="B65" t="s">
        <v>312</v>
      </c>
    </row>
    <row r="66" spans="1:2" x14ac:dyDescent="0.3">
      <c r="A66" t="s">
        <v>116</v>
      </c>
      <c r="B66" t="s">
        <v>312</v>
      </c>
    </row>
    <row r="67" spans="1:2" x14ac:dyDescent="0.3">
      <c r="A67" t="s">
        <v>220</v>
      </c>
      <c r="B67" t="s">
        <v>312</v>
      </c>
    </row>
    <row r="68" spans="1:2" x14ac:dyDescent="0.3">
      <c r="A68" t="s">
        <v>116</v>
      </c>
      <c r="B68" t="s">
        <v>312</v>
      </c>
    </row>
    <row r="69" spans="1:2" x14ac:dyDescent="0.3">
      <c r="A69" t="s">
        <v>137</v>
      </c>
      <c r="B69" t="s">
        <v>312</v>
      </c>
    </row>
    <row r="70" spans="1:2" x14ac:dyDescent="0.3">
      <c r="A70" t="s">
        <v>273</v>
      </c>
      <c r="B70" t="s">
        <v>312</v>
      </c>
    </row>
    <row r="71" spans="1:2" x14ac:dyDescent="0.3">
      <c r="A71" t="s">
        <v>283</v>
      </c>
      <c r="B71" t="s">
        <v>312</v>
      </c>
    </row>
    <row r="72" spans="1:2" x14ac:dyDescent="0.3">
      <c r="A72" t="s">
        <v>126</v>
      </c>
      <c r="B72" t="s">
        <v>312</v>
      </c>
    </row>
    <row r="73" spans="1:2" x14ac:dyDescent="0.3">
      <c r="A73" t="s">
        <v>126</v>
      </c>
      <c r="B73" t="s">
        <v>312</v>
      </c>
    </row>
    <row r="74" spans="1:2" x14ac:dyDescent="0.3">
      <c r="A74" t="s">
        <v>340</v>
      </c>
      <c r="B74" t="s">
        <v>312</v>
      </c>
    </row>
    <row r="75" spans="1:2" x14ac:dyDescent="0.3">
      <c r="A75" t="s">
        <v>137</v>
      </c>
      <c r="B75" t="s">
        <v>312</v>
      </c>
    </row>
    <row r="76" spans="1:2" x14ac:dyDescent="0.3">
      <c r="A76" t="s">
        <v>86</v>
      </c>
      <c r="B76" t="s">
        <v>317</v>
      </c>
    </row>
    <row r="77" spans="1:2" x14ac:dyDescent="0.3">
      <c r="A77" t="s">
        <v>110</v>
      </c>
      <c r="B77" t="s">
        <v>317</v>
      </c>
    </row>
    <row r="78" spans="1:2" x14ac:dyDescent="0.3">
      <c r="A78" t="s">
        <v>158</v>
      </c>
      <c r="B78" t="s">
        <v>317</v>
      </c>
    </row>
    <row r="79" spans="1:2" x14ac:dyDescent="0.3">
      <c r="A79" t="s">
        <v>171</v>
      </c>
      <c r="B79" t="s">
        <v>317</v>
      </c>
    </row>
    <row r="80" spans="1:2" x14ac:dyDescent="0.3">
      <c r="A80" t="s">
        <v>110</v>
      </c>
      <c r="B80" t="s">
        <v>317</v>
      </c>
    </row>
    <row r="81" spans="1:2" x14ac:dyDescent="0.3">
      <c r="A81" t="s">
        <v>260</v>
      </c>
      <c r="B81" t="s">
        <v>317</v>
      </c>
    </row>
    <row r="82" spans="1:2" x14ac:dyDescent="0.3">
      <c r="A82" t="s">
        <v>446</v>
      </c>
      <c r="B82" t="s">
        <v>317</v>
      </c>
    </row>
    <row r="83" spans="1:2" x14ac:dyDescent="0.3">
      <c r="A83" t="s">
        <v>342</v>
      </c>
      <c r="B83" t="s">
        <v>312</v>
      </c>
    </row>
    <row r="84" spans="1:2" x14ac:dyDescent="0.3">
      <c r="A84" t="s">
        <v>343</v>
      </c>
      <c r="B84" t="s">
        <v>316</v>
      </c>
    </row>
    <row r="85" spans="1:2" x14ac:dyDescent="0.3">
      <c r="A85" t="s">
        <v>344</v>
      </c>
      <c r="B85" t="s">
        <v>315</v>
      </c>
    </row>
    <row r="86" spans="1:2" x14ac:dyDescent="0.3">
      <c r="A86" t="s">
        <v>345</v>
      </c>
      <c r="B86" t="s">
        <v>333</v>
      </c>
    </row>
    <row r="87" spans="1:2" x14ac:dyDescent="0.3">
      <c r="A87" t="s">
        <v>346</v>
      </c>
      <c r="B87" t="s">
        <v>324</v>
      </c>
    </row>
    <row r="88" spans="1:2" x14ac:dyDescent="0.3">
      <c r="A88" t="s">
        <v>347</v>
      </c>
      <c r="B88" t="s">
        <v>332</v>
      </c>
    </row>
    <row r="89" spans="1:2" x14ac:dyDescent="0.3">
      <c r="A89" t="s">
        <v>348</v>
      </c>
      <c r="B89" t="s">
        <v>321</v>
      </c>
    </row>
    <row r="90" spans="1:2" x14ac:dyDescent="0.3">
      <c r="A90" t="s">
        <v>349</v>
      </c>
      <c r="B90" t="s">
        <v>316</v>
      </c>
    </row>
    <row r="91" spans="1:2" x14ac:dyDescent="0.3">
      <c r="A91" t="s">
        <v>350</v>
      </c>
      <c r="B91" t="s">
        <v>320</v>
      </c>
    </row>
    <row r="92" spans="1:2" x14ac:dyDescent="0.3">
      <c r="A92" t="s">
        <v>351</v>
      </c>
      <c r="B92" t="s">
        <v>324</v>
      </c>
    </row>
    <row r="93" spans="1:2" x14ac:dyDescent="0.3">
      <c r="A93" t="s">
        <v>352</v>
      </c>
      <c r="B93" t="s">
        <v>321</v>
      </c>
    </row>
    <row r="94" spans="1:2" x14ac:dyDescent="0.3">
      <c r="A94" t="s">
        <v>353</v>
      </c>
      <c r="B94" t="s">
        <v>316</v>
      </c>
    </row>
    <row r="95" spans="1:2" x14ac:dyDescent="0.3">
      <c r="A95" t="s">
        <v>354</v>
      </c>
      <c r="B95" t="s">
        <v>314</v>
      </c>
    </row>
    <row r="96" spans="1:2" x14ac:dyDescent="0.3">
      <c r="A96" t="s">
        <v>355</v>
      </c>
      <c r="B96" t="s">
        <v>331</v>
      </c>
    </row>
    <row r="97" spans="1:2" x14ac:dyDescent="0.3">
      <c r="A97" t="s">
        <v>356</v>
      </c>
      <c r="B97" t="s">
        <v>312</v>
      </c>
    </row>
    <row r="98" spans="1:2" x14ac:dyDescent="0.3">
      <c r="A98" t="s">
        <v>357</v>
      </c>
      <c r="B98" t="s">
        <v>316</v>
      </c>
    </row>
    <row r="99" spans="1:2" x14ac:dyDescent="0.3">
      <c r="A99" t="s">
        <v>358</v>
      </c>
      <c r="B99" t="s">
        <v>321</v>
      </c>
    </row>
    <row r="100" spans="1:2" x14ac:dyDescent="0.3">
      <c r="A100" t="s">
        <v>359</v>
      </c>
      <c r="B100" t="s">
        <v>331</v>
      </c>
    </row>
    <row r="101" spans="1:2" x14ac:dyDescent="0.3">
      <c r="A101" t="s">
        <v>360</v>
      </c>
      <c r="B101" t="s">
        <v>322</v>
      </c>
    </row>
    <row r="102" spans="1:2" x14ac:dyDescent="0.3">
      <c r="A102" t="s">
        <v>361</v>
      </c>
      <c r="B102" t="s">
        <v>333</v>
      </c>
    </row>
    <row r="103" spans="1:2" x14ac:dyDescent="0.3">
      <c r="A103" t="s">
        <v>362</v>
      </c>
      <c r="B103" t="s">
        <v>321</v>
      </c>
    </row>
    <row r="104" spans="1:2" x14ac:dyDescent="0.3">
      <c r="A104" t="s">
        <v>363</v>
      </c>
      <c r="B104" t="s">
        <v>321</v>
      </c>
    </row>
    <row r="105" spans="1:2" x14ac:dyDescent="0.3">
      <c r="A105" t="s">
        <v>364</v>
      </c>
      <c r="B105" t="s">
        <v>324</v>
      </c>
    </row>
    <row r="106" spans="1:2" x14ac:dyDescent="0.3">
      <c r="A106" t="s">
        <v>365</v>
      </c>
      <c r="B106" t="s">
        <v>324</v>
      </c>
    </row>
    <row r="107" spans="1:2" x14ac:dyDescent="0.3">
      <c r="A107" t="s">
        <v>366</v>
      </c>
      <c r="B107" t="s">
        <v>328</v>
      </c>
    </row>
    <row r="108" spans="1:2" x14ac:dyDescent="0.3">
      <c r="A108" t="s">
        <v>367</v>
      </c>
      <c r="B108" t="s">
        <v>317</v>
      </c>
    </row>
    <row r="109" spans="1:2" x14ac:dyDescent="0.3">
      <c r="A109" t="s">
        <v>368</v>
      </c>
      <c r="B109" t="s">
        <v>317</v>
      </c>
    </row>
    <row r="110" spans="1:2" x14ac:dyDescent="0.3">
      <c r="A110" t="s">
        <v>369</v>
      </c>
      <c r="B110" t="s">
        <v>315</v>
      </c>
    </row>
    <row r="111" spans="1:2" x14ac:dyDescent="0.3">
      <c r="A111" t="s">
        <v>370</v>
      </c>
      <c r="B111" t="s">
        <v>312</v>
      </c>
    </row>
    <row r="112" spans="1:2" x14ac:dyDescent="0.3">
      <c r="A112" t="s">
        <v>371</v>
      </c>
      <c r="B112" t="s">
        <v>313</v>
      </c>
    </row>
    <row r="113" spans="1:2" x14ac:dyDescent="0.3">
      <c r="A113" t="s">
        <v>372</v>
      </c>
      <c r="B113" t="s">
        <v>316</v>
      </c>
    </row>
    <row r="114" spans="1:2" x14ac:dyDescent="0.3">
      <c r="A114" t="s">
        <v>373</v>
      </c>
      <c r="B114" t="s">
        <v>317</v>
      </c>
    </row>
    <row r="115" spans="1:2" x14ac:dyDescent="0.3">
      <c r="A115" t="s">
        <v>374</v>
      </c>
      <c r="B115" t="s">
        <v>329</v>
      </c>
    </row>
    <row r="116" spans="1:2" x14ac:dyDescent="0.3">
      <c r="A116" t="s">
        <v>375</v>
      </c>
      <c r="B116" t="s">
        <v>331</v>
      </c>
    </row>
    <row r="117" spans="1:2" x14ac:dyDescent="0.3">
      <c r="A117" t="s">
        <v>376</v>
      </c>
      <c r="B117" t="s">
        <v>331</v>
      </c>
    </row>
    <row r="118" spans="1:2" x14ac:dyDescent="0.3">
      <c r="A118" t="s">
        <v>377</v>
      </c>
      <c r="B118" t="s">
        <v>314</v>
      </c>
    </row>
    <row r="119" spans="1:2" x14ac:dyDescent="0.3">
      <c r="A119" t="s">
        <v>378</v>
      </c>
      <c r="B119" t="s">
        <v>315</v>
      </c>
    </row>
    <row r="120" spans="1:2" x14ac:dyDescent="0.3">
      <c r="A120" t="s">
        <v>379</v>
      </c>
      <c r="B120" t="s">
        <v>319</v>
      </c>
    </row>
    <row r="121" spans="1:2" x14ac:dyDescent="0.3">
      <c r="A121" t="s">
        <v>380</v>
      </c>
      <c r="B121" t="s">
        <v>316</v>
      </c>
    </row>
    <row r="122" spans="1:2" x14ac:dyDescent="0.3">
      <c r="A122" t="s">
        <v>381</v>
      </c>
      <c r="B122" t="s">
        <v>312</v>
      </c>
    </row>
    <row r="123" spans="1:2" x14ac:dyDescent="0.3">
      <c r="A123" t="s">
        <v>382</v>
      </c>
      <c r="B123" t="s">
        <v>312</v>
      </c>
    </row>
    <row r="124" spans="1:2" x14ac:dyDescent="0.3">
      <c r="A124" t="s">
        <v>383</v>
      </c>
      <c r="B124" t="s">
        <v>313</v>
      </c>
    </row>
    <row r="125" spans="1:2" x14ac:dyDescent="0.3">
      <c r="A125" t="s">
        <v>384</v>
      </c>
      <c r="B125" t="s">
        <v>317</v>
      </c>
    </row>
    <row r="126" spans="1:2" x14ac:dyDescent="0.3">
      <c r="A126" t="s">
        <v>385</v>
      </c>
      <c r="B126" t="s">
        <v>312</v>
      </c>
    </row>
    <row r="127" spans="1:2" x14ac:dyDescent="0.3">
      <c r="A127" t="s">
        <v>386</v>
      </c>
      <c r="B127" t="s">
        <v>324</v>
      </c>
    </row>
    <row r="128" spans="1:2" x14ac:dyDescent="0.3">
      <c r="A128" t="s">
        <v>387</v>
      </c>
      <c r="B128" t="s">
        <v>331</v>
      </c>
    </row>
    <row r="129" spans="1:2" x14ac:dyDescent="0.3">
      <c r="A129" t="s">
        <v>388</v>
      </c>
      <c r="B129" t="s">
        <v>333</v>
      </c>
    </row>
    <row r="130" spans="1:2" x14ac:dyDescent="0.3">
      <c r="A130" t="s">
        <v>389</v>
      </c>
      <c r="B130" t="s">
        <v>322</v>
      </c>
    </row>
    <row r="131" spans="1:2" x14ac:dyDescent="0.3">
      <c r="A131" t="s">
        <v>390</v>
      </c>
      <c r="B131" t="s">
        <v>324</v>
      </c>
    </row>
    <row r="132" spans="1:2" x14ac:dyDescent="0.3">
      <c r="A132" t="s">
        <v>391</v>
      </c>
      <c r="B132" t="s">
        <v>319</v>
      </c>
    </row>
    <row r="133" spans="1:2" x14ac:dyDescent="0.3">
      <c r="A133" t="s">
        <v>392</v>
      </c>
      <c r="B133" t="s">
        <v>330</v>
      </c>
    </row>
    <row r="134" spans="1:2" x14ac:dyDescent="0.3">
      <c r="A134" t="s">
        <v>393</v>
      </c>
      <c r="B134" t="s">
        <v>330</v>
      </c>
    </row>
    <row r="135" spans="1:2" x14ac:dyDescent="0.3">
      <c r="A135" t="s">
        <v>394</v>
      </c>
      <c r="B135" t="s">
        <v>321</v>
      </c>
    </row>
    <row r="136" spans="1:2" x14ac:dyDescent="0.3">
      <c r="A136" t="s">
        <v>395</v>
      </c>
      <c r="B136" t="s">
        <v>320</v>
      </c>
    </row>
    <row r="137" spans="1:2" x14ac:dyDescent="0.3">
      <c r="A137" t="s">
        <v>396</v>
      </c>
      <c r="B137" t="s">
        <v>321</v>
      </c>
    </row>
    <row r="138" spans="1:2" x14ac:dyDescent="0.3">
      <c r="A138" t="s">
        <v>397</v>
      </c>
      <c r="B138" t="s">
        <v>312</v>
      </c>
    </row>
    <row r="139" spans="1:2" x14ac:dyDescent="0.3">
      <c r="A139" t="s">
        <v>398</v>
      </c>
      <c r="B139" t="s">
        <v>333</v>
      </c>
    </row>
    <row r="140" spans="1:2" x14ac:dyDescent="0.3">
      <c r="A140" t="s">
        <v>399</v>
      </c>
      <c r="B140" t="s">
        <v>330</v>
      </c>
    </row>
    <row r="141" spans="1:2" x14ac:dyDescent="0.3">
      <c r="A141" t="s">
        <v>400</v>
      </c>
      <c r="B141" t="s">
        <v>321</v>
      </c>
    </row>
    <row r="142" spans="1:2" x14ac:dyDescent="0.3">
      <c r="A142" t="s">
        <v>401</v>
      </c>
      <c r="B142" t="s">
        <v>316</v>
      </c>
    </row>
    <row r="143" spans="1:2" x14ac:dyDescent="0.3">
      <c r="A143" t="s">
        <v>402</v>
      </c>
      <c r="B143" t="s">
        <v>316</v>
      </c>
    </row>
    <row r="144" spans="1:2" x14ac:dyDescent="0.3">
      <c r="A144" t="s">
        <v>403</v>
      </c>
      <c r="B144" t="s">
        <v>333</v>
      </c>
    </row>
    <row r="145" spans="1:2" x14ac:dyDescent="0.3">
      <c r="A145" t="s">
        <v>404</v>
      </c>
      <c r="B145" t="s">
        <v>329</v>
      </c>
    </row>
    <row r="146" spans="1:2" x14ac:dyDescent="0.3">
      <c r="A146" t="s">
        <v>405</v>
      </c>
      <c r="B146" t="s">
        <v>329</v>
      </c>
    </row>
    <row r="147" spans="1:2" x14ac:dyDescent="0.3">
      <c r="A147" t="s">
        <v>406</v>
      </c>
      <c r="B147" t="s">
        <v>324</v>
      </c>
    </row>
    <row r="148" spans="1:2" x14ac:dyDescent="0.3">
      <c r="A148" t="s">
        <v>407</v>
      </c>
      <c r="B148" t="s">
        <v>318</v>
      </c>
    </row>
    <row r="149" spans="1:2" x14ac:dyDescent="0.3">
      <c r="A149" t="s">
        <v>408</v>
      </c>
      <c r="B149" t="s">
        <v>314</v>
      </c>
    </row>
    <row r="150" spans="1:2" x14ac:dyDescent="0.3">
      <c r="A150" t="s">
        <v>409</v>
      </c>
      <c r="B150" t="s">
        <v>312</v>
      </c>
    </row>
    <row r="151" spans="1:2" x14ac:dyDescent="0.3">
      <c r="A151" t="s">
        <v>410</v>
      </c>
      <c r="B151" t="s">
        <v>312</v>
      </c>
    </row>
    <row r="152" spans="1:2" x14ac:dyDescent="0.3">
      <c r="A152" t="s">
        <v>411</v>
      </c>
      <c r="B152" t="s">
        <v>324</v>
      </c>
    </row>
    <row r="153" spans="1:2" x14ac:dyDescent="0.3">
      <c r="A153" t="s">
        <v>412</v>
      </c>
      <c r="B153" t="s">
        <v>328</v>
      </c>
    </row>
    <row r="154" spans="1:2" x14ac:dyDescent="0.3">
      <c r="A154" t="s">
        <v>413</v>
      </c>
      <c r="B154" t="s">
        <v>321</v>
      </c>
    </row>
    <row r="155" spans="1:2" x14ac:dyDescent="0.3">
      <c r="A155" t="s">
        <v>414</v>
      </c>
      <c r="B155" t="s">
        <v>317</v>
      </c>
    </row>
    <row r="156" spans="1:2" x14ac:dyDescent="0.3">
      <c r="A156" t="s">
        <v>415</v>
      </c>
      <c r="B156" t="s">
        <v>317</v>
      </c>
    </row>
    <row r="157" spans="1:2" x14ac:dyDescent="0.3">
      <c r="A157" t="s">
        <v>416</v>
      </c>
      <c r="B157" t="s">
        <v>317</v>
      </c>
    </row>
    <row r="158" spans="1:2" x14ac:dyDescent="0.3">
      <c r="A158" t="s">
        <v>417</v>
      </c>
      <c r="B158" t="s">
        <v>317</v>
      </c>
    </row>
    <row r="159" spans="1:2" x14ac:dyDescent="0.3">
      <c r="A159" t="s">
        <v>418</v>
      </c>
      <c r="B159" t="s">
        <v>332</v>
      </c>
    </row>
    <row r="160" spans="1:2" x14ac:dyDescent="0.3">
      <c r="A160" t="s">
        <v>419</v>
      </c>
      <c r="B160" t="s">
        <v>313</v>
      </c>
    </row>
    <row r="161" spans="1:2" x14ac:dyDescent="0.3">
      <c r="A161" t="s">
        <v>420</v>
      </c>
      <c r="B161" t="s">
        <v>317</v>
      </c>
    </row>
    <row r="162" spans="1:2" x14ac:dyDescent="0.3">
      <c r="A162" t="s">
        <v>421</v>
      </c>
      <c r="B162" t="s">
        <v>329</v>
      </c>
    </row>
    <row r="163" spans="1:2" x14ac:dyDescent="0.3">
      <c r="A163" t="s">
        <v>422</v>
      </c>
      <c r="B163" t="s">
        <v>315</v>
      </c>
    </row>
    <row r="164" spans="1:2" x14ac:dyDescent="0.3">
      <c r="A164" t="s">
        <v>423</v>
      </c>
      <c r="B164" t="s">
        <v>332</v>
      </c>
    </row>
    <row r="165" spans="1:2" x14ac:dyDescent="0.3">
      <c r="A165" t="s">
        <v>424</v>
      </c>
      <c r="B165" t="s">
        <v>317</v>
      </c>
    </row>
    <row r="166" spans="1:2" x14ac:dyDescent="0.3">
      <c r="A166" t="s">
        <v>425</v>
      </c>
      <c r="B166" t="s">
        <v>322</v>
      </c>
    </row>
    <row r="167" spans="1:2" x14ac:dyDescent="0.3">
      <c r="A167" t="s">
        <v>426</v>
      </c>
      <c r="B167" t="s">
        <v>324</v>
      </c>
    </row>
    <row r="168" spans="1:2" x14ac:dyDescent="0.3">
      <c r="A168" t="s">
        <v>427</v>
      </c>
      <c r="B168" t="s">
        <v>324</v>
      </c>
    </row>
    <row r="169" spans="1:2" x14ac:dyDescent="0.3">
      <c r="A169" t="s">
        <v>428</v>
      </c>
      <c r="B169" t="s">
        <v>324</v>
      </c>
    </row>
    <row r="170" spans="1:2" x14ac:dyDescent="0.3">
      <c r="A170" t="s">
        <v>429</v>
      </c>
      <c r="B170" t="s">
        <v>322</v>
      </c>
    </row>
    <row r="171" spans="1:2" x14ac:dyDescent="0.3">
      <c r="A171" t="s">
        <v>430</v>
      </c>
      <c r="B171" t="s">
        <v>330</v>
      </c>
    </row>
    <row r="172" spans="1:2" x14ac:dyDescent="0.3">
      <c r="A172" t="s">
        <v>431</v>
      </c>
      <c r="B172" t="s">
        <v>313</v>
      </c>
    </row>
    <row r="173" spans="1:2" x14ac:dyDescent="0.3">
      <c r="A173" t="s">
        <v>432</v>
      </c>
      <c r="B173" t="s">
        <v>313</v>
      </c>
    </row>
    <row r="174" spans="1:2" x14ac:dyDescent="0.3">
      <c r="A174" t="s">
        <v>433</v>
      </c>
      <c r="B174" t="s">
        <v>321</v>
      </c>
    </row>
    <row r="175" spans="1:2" x14ac:dyDescent="0.3">
      <c r="A175" t="s">
        <v>434</v>
      </c>
      <c r="B175" t="s">
        <v>331</v>
      </c>
    </row>
    <row r="176" spans="1:2" x14ac:dyDescent="0.3">
      <c r="A176" t="s">
        <v>435</v>
      </c>
      <c r="B176" t="s">
        <v>317</v>
      </c>
    </row>
    <row r="177" spans="1:2" x14ac:dyDescent="0.3">
      <c r="A177" t="s">
        <v>436</v>
      </c>
      <c r="B177" t="s">
        <v>328</v>
      </c>
    </row>
    <row r="178" spans="1:2" x14ac:dyDescent="0.3">
      <c r="A178" t="s">
        <v>437</v>
      </c>
      <c r="B178" t="s">
        <v>317</v>
      </c>
    </row>
    <row r="179" spans="1:2" x14ac:dyDescent="0.3">
      <c r="A179" t="s">
        <v>438</v>
      </c>
      <c r="B179" t="s">
        <v>324</v>
      </c>
    </row>
    <row r="180" spans="1:2" x14ac:dyDescent="0.3">
      <c r="A180" t="s">
        <v>439</v>
      </c>
      <c r="B180" t="s">
        <v>320</v>
      </c>
    </row>
    <row r="181" spans="1:2" x14ac:dyDescent="0.3">
      <c r="A181" t="s">
        <v>440</v>
      </c>
      <c r="B181" t="s">
        <v>333</v>
      </c>
    </row>
    <row r="182" spans="1:2" x14ac:dyDescent="0.3">
      <c r="A182" t="s">
        <v>441</v>
      </c>
      <c r="B182" t="s">
        <v>320</v>
      </c>
    </row>
    <row r="183" spans="1:2" x14ac:dyDescent="0.3">
      <c r="A183" t="s">
        <v>442</v>
      </c>
      <c r="B183" t="s">
        <v>314</v>
      </c>
    </row>
    <row r="184" spans="1:2" x14ac:dyDescent="0.3">
      <c r="A184" t="s">
        <v>443</v>
      </c>
      <c r="B184" t="s">
        <v>333</v>
      </c>
    </row>
    <row r="185" spans="1:2" x14ac:dyDescent="0.3">
      <c r="A185" t="s">
        <v>444</v>
      </c>
      <c r="B185" t="s">
        <v>323</v>
      </c>
    </row>
  </sheetData>
  <autoFilter ref="A1:B1" xr:uid="{5389081B-D851-4C10-BB4A-A92764F96FAF}"/>
  <conditionalFormatting sqref="C2:E3 C6:E77 C4:D5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Regions and 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Adalberto Rosendo</cp:lastModifiedBy>
  <dcterms:modified xsi:type="dcterms:W3CDTF">2026-06-10T15:27:35Z</dcterms:modified>
</cp:coreProperties>
</file>